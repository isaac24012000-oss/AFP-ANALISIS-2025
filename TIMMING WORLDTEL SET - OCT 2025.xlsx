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EPORTE MENSUAL WORLDTEL\DASHBOARD ANALISIS\WORLDTEL ANALISIS\ANALISIS-COMPARATIVO\AFP-ANALISIS-COMPARATIVO\AFP-ANALISIS\"/>
    </mc:Choice>
  </mc:AlternateContent>
  <xr:revisionPtr revIDLastSave="0" documentId="13_ncr:1_{F6BF9EF2-9B67-4691-A6F0-EF4D5C45499F}" xr6:coauthVersionLast="47" xr6:coauthVersionMax="47" xr10:uidLastSave="{00000000-0000-0000-0000-000000000000}"/>
  <bookViews>
    <workbookView xWindow="28680" yWindow="-120" windowWidth="29040" windowHeight="15720" firstSheet="3" activeTab="3" xr2:uid="{2DC30806-0B6C-4B1F-B066-C5EDD3209080}"/>
  </bookViews>
  <sheets>
    <sheet name="PLANILLAS" sheetId="14" r:id="rId1"/>
    <sheet name="planillasss" sheetId="18" r:id="rId2"/>
    <sheet name="GASTOS ADMIN" sheetId="11" r:id="rId3"/>
    <sheet name="TIMMING NOVIEMBRE" sheetId="19" r:id="rId4"/>
    <sheet name="GASTOS DIC" sheetId="24" r:id="rId5"/>
    <sheet name="CUADRO GAST" sheetId="6" r:id="rId6"/>
    <sheet name="PLANILLAS DIC" sheetId="21" r:id="rId7"/>
    <sheet name="CUADRO PLAN" sheetId="7" r:id="rId8"/>
    <sheet name="Hoja2" sheetId="16" r:id="rId9"/>
    <sheet name="Hoja12" sheetId="12" r:id="rId10"/>
  </sheets>
  <definedNames>
    <definedName name="_xlnm._FilterDatabase" localSheetId="5" hidden="1">'CUADRO GAST'!$A$1:$H$325</definedName>
    <definedName name="_xlnm._FilterDatabase" localSheetId="7" hidden="1">'CUADRO PLAN'!$A$1:$H$1154</definedName>
    <definedName name="_xlnm._FilterDatabase" localSheetId="2" hidden="1">'GASTOS ADMIN'!$A$3:$G$28</definedName>
  </definedNames>
  <calcPr calcId="191029"/>
  <pivotCaches>
    <pivotCache cacheId="13" r:id="rId11"/>
    <pivotCache cacheId="14" r:id="rId12"/>
    <pivotCache cacheId="15" r:id="rId13"/>
    <pivotCache cacheId="22" r:id="rId14"/>
    <pivotCache cacheId="33" r:id="rId15"/>
    <pivotCache cacheId="50" r:id="rId16"/>
    <pivotCache cacheId="8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3" i="19" l="1"/>
  <c r="N36" i="19"/>
  <c r="K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3" i="19"/>
  <c r="L3" i="19" s="1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3" i="19"/>
  <c r="F3" i="19" s="1"/>
  <c r="T6" i="24"/>
  <c r="T27" i="24"/>
  <c r="T26" i="24"/>
  <c r="T25" i="24"/>
  <c r="T24" i="24"/>
  <c r="T23" i="24"/>
  <c r="T22" i="24"/>
  <c r="T21" i="24"/>
  <c r="T20" i="24"/>
  <c r="T19" i="24"/>
  <c r="T18" i="24"/>
  <c r="T17" i="24"/>
  <c r="T16" i="24"/>
  <c r="T15" i="24"/>
  <c r="T14" i="24"/>
  <c r="T13" i="24"/>
  <c r="T12" i="24"/>
  <c r="T11" i="24"/>
  <c r="T10" i="24"/>
  <c r="T9" i="24"/>
  <c r="T8" i="24"/>
  <c r="T7" i="24"/>
  <c r="U6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5" i="24"/>
  <c r="N6" i="24"/>
  <c r="N7" i="24"/>
  <c r="N8" i="24"/>
  <c r="N9" i="24"/>
  <c r="N10" i="24"/>
  <c r="N11" i="24"/>
  <c r="N12" i="24"/>
  <c r="N13" i="24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5" i="24"/>
  <c r="M6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5" i="24"/>
  <c r="L6" i="24"/>
  <c r="L7" i="24"/>
  <c r="L8" i="24"/>
  <c r="L9" i="24"/>
  <c r="L10" i="24"/>
  <c r="L11" i="24"/>
  <c r="L12" i="24"/>
  <c r="L13" i="24"/>
  <c r="L14" i="24"/>
  <c r="L15" i="24"/>
  <c r="L16" i="24"/>
  <c r="L17" i="24"/>
  <c r="L18" i="24"/>
  <c r="L19" i="24"/>
  <c r="L20" i="24"/>
  <c r="L21" i="24"/>
  <c r="L22" i="24"/>
  <c r="L23" i="24"/>
  <c r="L24" i="24"/>
  <c r="L25" i="24"/>
  <c r="L26" i="24"/>
  <c r="L5" i="24"/>
  <c r="E30" i="19"/>
  <c r="E31" i="19"/>
  <c r="E32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29" i="19"/>
  <c r="K30" i="19"/>
  <c r="K31" i="19"/>
  <c r="K32" i="19"/>
  <c r="K33" i="19"/>
  <c r="K34" i="19"/>
  <c r="K35" i="19"/>
  <c r="K36" i="19"/>
  <c r="K37" i="19"/>
  <c r="K38" i="19"/>
  <c r="K39" i="19"/>
  <c r="K40" i="19"/>
  <c r="K41" i="19"/>
  <c r="K42" i="19"/>
  <c r="K43" i="19"/>
  <c r="K44" i="19"/>
  <c r="K45" i="19"/>
  <c r="K46" i="19"/>
  <c r="K47" i="19"/>
  <c r="K48" i="19"/>
  <c r="K49" i="19"/>
  <c r="K50" i="19"/>
  <c r="K29" i="19"/>
  <c r="O24" i="21"/>
  <c r="O25" i="21"/>
  <c r="O27" i="21"/>
  <c r="O26" i="21"/>
  <c r="L27" i="21"/>
  <c r="M27" i="21"/>
  <c r="N25" i="21"/>
  <c r="N26" i="21"/>
  <c r="M25" i="21"/>
  <c r="N27" i="21"/>
  <c r="M26" i="21"/>
  <c r="L26" i="21"/>
  <c r="L5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M5" i="18"/>
  <c r="N6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7" i="24" l="1"/>
  <c r="N27" i="24"/>
  <c r="O27" i="24"/>
  <c r="L4" i="19"/>
  <c r="L5" i="19" s="1"/>
  <c r="L6" i="19" s="1"/>
  <c r="L7" i="19" s="1"/>
  <c r="L8" i="19" s="1"/>
  <c r="L9" i="19" s="1"/>
  <c r="L10" i="19" s="1"/>
  <c r="L11" i="19" s="1"/>
  <c r="L12" i="19" s="1"/>
  <c r="L13" i="19" s="1"/>
  <c r="L14" i="19" s="1"/>
  <c r="L15" i="19" s="1"/>
  <c r="L16" i="19" s="1"/>
  <c r="L17" i="19" s="1"/>
  <c r="L18" i="19" s="1"/>
  <c r="L19" i="19" s="1"/>
  <c r="L20" i="19" s="1"/>
  <c r="L21" i="19" s="1"/>
  <c r="L22" i="19" s="1"/>
  <c r="L23" i="19" s="1"/>
  <c r="L24" i="19" s="1"/>
  <c r="F4" i="19"/>
  <c r="F5" i="19" s="1"/>
  <c r="F6" i="19" s="1"/>
  <c r="F7" i="19" s="1"/>
  <c r="F8" i="19" s="1"/>
  <c r="F9" i="19" s="1"/>
  <c r="F10" i="19" s="1"/>
  <c r="F11" i="19" s="1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U7" i="24"/>
  <c r="U8" i="24" s="1"/>
  <c r="U9" i="24" s="1"/>
  <c r="U10" i="24" s="1"/>
  <c r="U11" i="24" s="1"/>
  <c r="U12" i="24" s="1"/>
  <c r="U13" i="24" s="1"/>
  <c r="U14" i="24" s="1"/>
  <c r="U15" i="24" s="1"/>
  <c r="U16" i="24" s="1"/>
  <c r="U17" i="24" s="1"/>
  <c r="U18" i="24" s="1"/>
  <c r="U19" i="24" s="1"/>
  <c r="U20" i="24" s="1"/>
  <c r="U21" i="24" s="1"/>
  <c r="U22" i="24" s="1"/>
  <c r="U23" i="24" s="1"/>
  <c r="U24" i="24" s="1"/>
  <c r="U25" i="24" s="1"/>
  <c r="U26" i="24" s="1"/>
  <c r="U27" i="24" s="1"/>
  <c r="M27" i="24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72" i="7"/>
  <c r="H1773" i="7"/>
  <c r="H1774" i="7"/>
  <c r="H1775" i="7"/>
  <c r="H1776" i="7"/>
  <c r="H1777" i="7"/>
  <c r="H1778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182" i="7"/>
  <c r="H1183" i="7"/>
  <c r="H1657" i="7"/>
  <c r="H1947" i="7"/>
  <c r="H1948" i="7"/>
  <c r="H1949" i="7"/>
  <c r="H1950" i="7"/>
  <c r="H1951" i="7"/>
  <c r="H1952" i="7"/>
  <c r="H1953" i="7"/>
  <c r="H1954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54" i="7"/>
  <c r="H2055" i="7"/>
  <c r="H2056" i="7"/>
  <c r="H2057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13" i="7"/>
  <c r="H2214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1730" i="7"/>
  <c r="H1731" i="7"/>
  <c r="H1779" i="7"/>
  <c r="H1832" i="7"/>
  <c r="H1833" i="7"/>
  <c r="H1889" i="7"/>
  <c r="H1890" i="7"/>
  <c r="H1891" i="7"/>
  <c r="H2004" i="7"/>
  <c r="H2047" i="7"/>
  <c r="H2048" i="7"/>
  <c r="H2049" i="7"/>
  <c r="H2050" i="7"/>
  <c r="H2051" i="7"/>
  <c r="H2052" i="7"/>
  <c r="H2053" i="7"/>
  <c r="H2097" i="7"/>
  <c r="H2098" i="7"/>
  <c r="H2180" i="7"/>
  <c r="H2181" i="7"/>
  <c r="H2182" i="7"/>
  <c r="H2183" i="7"/>
  <c r="H2209" i="7"/>
  <c r="H2210" i="7"/>
  <c r="H2215" i="7"/>
  <c r="H2216" i="7"/>
  <c r="H2217" i="7"/>
  <c r="H2218" i="7"/>
  <c r="H2219" i="7"/>
  <c r="H2220" i="7"/>
  <c r="H2221" i="7"/>
  <c r="H2235" i="7"/>
  <c r="H2236" i="7"/>
  <c r="H2237" i="7"/>
  <c r="H2238" i="7"/>
  <c r="H2239" i="7"/>
  <c r="H2240" i="7"/>
  <c r="H2241" i="7"/>
  <c r="H2242" i="7"/>
  <c r="H2243" i="7"/>
  <c r="H2244" i="7"/>
  <c r="H2309" i="7"/>
  <c r="H2310" i="7"/>
  <c r="H2342" i="7"/>
  <c r="H2343" i="7"/>
  <c r="H2344" i="7"/>
  <c r="H2345" i="7"/>
  <c r="H2346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507" i="7"/>
  <c r="H1508" i="7"/>
  <c r="H1509" i="7"/>
  <c r="H1575" i="7"/>
  <c r="H1576" i="7"/>
  <c r="H1658" i="7"/>
  <c r="H1659" i="7"/>
  <c r="H1660" i="7"/>
  <c r="H1732" i="7"/>
  <c r="H1733" i="7"/>
  <c r="H1734" i="7"/>
  <c r="H1735" i="7"/>
  <c r="H1736" i="7"/>
  <c r="H1737" i="7"/>
  <c r="H1738" i="7"/>
  <c r="H1739" i="7"/>
  <c r="H1740" i="7"/>
  <c r="H1834" i="7"/>
  <c r="H1892" i="7"/>
  <c r="H1893" i="7"/>
  <c r="H1894" i="7"/>
  <c r="H1895" i="7"/>
  <c r="H1955" i="7"/>
  <c r="H1956" i="7"/>
  <c r="H2211" i="7"/>
  <c r="H2212" i="7"/>
  <c r="H2281" i="7"/>
  <c r="H2282" i="7"/>
  <c r="H2283" i="7"/>
  <c r="H2284" i="7"/>
  <c r="H2285" i="7"/>
  <c r="H2286" i="7"/>
  <c r="H2287" i="7"/>
  <c r="H2288" i="7"/>
  <c r="H1184" i="7"/>
  <c r="H1185" i="7"/>
  <c r="H1186" i="7"/>
  <c r="H1187" i="7"/>
  <c r="H1188" i="7"/>
  <c r="H1189" i="7"/>
  <c r="H1190" i="7"/>
  <c r="H1577" i="7"/>
  <c r="H1578" i="7"/>
  <c r="H1579" i="7"/>
  <c r="H1580" i="7"/>
  <c r="H1581" i="7"/>
  <c r="H1582" i="7"/>
  <c r="H1583" i="7"/>
  <c r="H1584" i="7"/>
  <c r="H1585" i="7"/>
  <c r="H1586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768" i="7"/>
  <c r="H1769" i="7"/>
  <c r="H1770" i="7"/>
  <c r="H1771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L29" i="19"/>
  <c r="T7" i="14"/>
  <c r="U27" i="14"/>
  <c r="U28" i="14" s="1"/>
  <c r="T27" i="14"/>
  <c r="T28" i="14"/>
  <c r="O28" i="14"/>
  <c r="L6" i="14"/>
  <c r="K6" i="14"/>
  <c r="J6" i="14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2" i="7"/>
  <c r="V25" i="11"/>
  <c r="U25" i="11"/>
  <c r="V26" i="18"/>
  <c r="U26" i="18"/>
  <c r="P26" i="18"/>
  <c r="L30" i="19" l="1"/>
  <c r="L31" i="19" s="1"/>
  <c r="L32" i="19" s="1"/>
  <c r="L33" i="19" s="1"/>
  <c r="L34" i="19" s="1"/>
  <c r="L35" i="19" s="1"/>
  <c r="L36" i="19" s="1"/>
  <c r="L37" i="19" s="1"/>
  <c r="L38" i="19" s="1"/>
  <c r="L39" i="19" s="1"/>
  <c r="L40" i="19" s="1"/>
  <c r="L41" i="19" s="1"/>
  <c r="L42" i="19" s="1"/>
  <c r="L43" i="19" s="1"/>
  <c r="L44" i="19" s="1"/>
  <c r="L45" i="19" s="1"/>
  <c r="L46" i="19" s="1"/>
  <c r="L47" i="19" s="1"/>
  <c r="L48" i="19" s="1"/>
  <c r="L49" i="19" s="1"/>
  <c r="L50" i="19" s="1"/>
  <c r="U7" i="18" l="1"/>
  <c r="U8" i="18"/>
  <c r="U9" i="18"/>
  <c r="U10" i="18"/>
  <c r="U11" i="18"/>
  <c r="U12" i="18"/>
  <c r="U13" i="18"/>
  <c r="U14" i="18"/>
  <c r="U15" i="18"/>
  <c r="U16" i="18"/>
  <c r="U17" i="18"/>
  <c r="U18" i="18"/>
  <c r="U19" i="18"/>
  <c r="U20" i="18"/>
  <c r="U21" i="18"/>
  <c r="U22" i="18"/>
  <c r="U23" i="18"/>
  <c r="U24" i="18"/>
  <c r="U25" i="18"/>
  <c r="U6" i="18"/>
  <c r="V6" i="18" s="1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5" i="18"/>
  <c r="R56" i="7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5" i="18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3" i="7"/>
  <c r="K5" i="11"/>
  <c r="M26" i="18" l="1"/>
  <c r="L26" i="18"/>
  <c r="V7" i="18"/>
  <c r="V8" i="18" s="1"/>
  <c r="V9" i="18" s="1"/>
  <c r="V10" i="18" s="1"/>
  <c r="V11" i="18" s="1"/>
  <c r="V12" i="18" s="1"/>
  <c r="V13" i="18" s="1"/>
  <c r="V14" i="18" s="1"/>
  <c r="V15" i="18" s="1"/>
  <c r="V16" i="18" s="1"/>
  <c r="V17" i="18" s="1"/>
  <c r="V18" i="18" s="1"/>
  <c r="V19" i="18" s="1"/>
  <c r="V20" i="18" s="1"/>
  <c r="V21" i="18" s="1"/>
  <c r="V22" i="18" s="1"/>
  <c r="V23" i="18" s="1"/>
  <c r="V24" i="18" s="1"/>
  <c r="V25" i="18" s="1"/>
  <c r="K26" i="18"/>
  <c r="T8" i="14" l="1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6" i="11"/>
  <c r="U6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P9" i="11" l="1"/>
  <c r="P7" i="11"/>
  <c r="J28" i="14"/>
  <c r="K28" i="14"/>
  <c r="P5" i="11"/>
  <c r="P6" i="11"/>
  <c r="M27" i="11"/>
  <c r="L27" i="11"/>
  <c r="K27" i="11"/>
  <c r="P8" i="11"/>
  <c r="L28" i="14"/>
  <c r="P25" i="11" l="1"/>
  <c r="V6" i="11"/>
  <c r="V7" i="11" s="1"/>
  <c r="V8" i="11" s="1"/>
  <c r="V9" i="11" s="1"/>
  <c r="V10" i="11" s="1"/>
  <c r="V11" i="11" s="1"/>
  <c r="V12" i="11" s="1"/>
  <c r="V13" i="11" s="1"/>
  <c r="V14" i="11" s="1"/>
  <c r="V15" i="11" s="1"/>
  <c r="V16" i="11" s="1"/>
  <c r="V17" i="11" s="1"/>
  <c r="V18" i="11" s="1"/>
  <c r="V19" i="11" s="1"/>
  <c r="V20" i="11" s="1"/>
  <c r="V21" i="11" s="1"/>
  <c r="V22" i="11" s="1"/>
  <c r="V23" i="11" s="1"/>
  <c r="V24" i="11" s="1"/>
  <c r="V26" i="11" s="1"/>
  <c r="U7" i="14"/>
  <c r="U8" i="14" s="1"/>
  <c r="U9" i="14" s="1"/>
  <c r="U10" i="14" s="1"/>
  <c r="U11" i="14" s="1"/>
  <c r="U12" i="14" s="1"/>
  <c r="U13" i="14" s="1"/>
  <c r="U14" i="14" s="1"/>
  <c r="U15" i="14" s="1"/>
  <c r="U16" i="14" s="1"/>
  <c r="U17" i="14" s="1"/>
  <c r="U18" i="14" s="1"/>
  <c r="U19" i="14" s="1"/>
  <c r="U20" i="14" s="1"/>
  <c r="U21" i="14" s="1"/>
  <c r="U22" i="14" s="1"/>
  <c r="U23" i="14" s="1"/>
  <c r="U24" i="14" s="1"/>
  <c r="U25" i="14" s="1"/>
  <c r="U26" i="14" s="1"/>
  <c r="T10" i="21" l="1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9" i="21"/>
  <c r="T8" i="21"/>
  <c r="T7" i="21"/>
  <c r="T6" i="21"/>
  <c r="U6" i="21" s="1"/>
  <c r="U7" i="21" l="1"/>
  <c r="U8" i="21" s="1"/>
  <c r="U9" i="21" s="1"/>
  <c r="U10" i="21" s="1"/>
  <c r="U11" i="21" s="1"/>
  <c r="U12" i="21" s="1"/>
  <c r="U13" i="21" s="1"/>
  <c r="U14" i="21" s="1"/>
  <c r="U15" i="21" s="1"/>
  <c r="U16" i="21" s="1"/>
  <c r="U17" i="21" s="1"/>
  <c r="U18" i="21" s="1"/>
  <c r="U19" i="21" s="1"/>
  <c r="U20" i="21" s="1"/>
  <c r="U21" i="21" s="1"/>
  <c r="U22" i="21" s="1"/>
  <c r="U23" i="21" s="1"/>
  <c r="U24" i="21" s="1"/>
  <c r="U25" i="21" s="1"/>
  <c r="U26" i="21" s="1"/>
  <c r="U27" i="21" s="1"/>
</calcChain>
</file>

<file path=xl/sharedStrings.xml><?xml version="1.0" encoding="utf-8"?>
<sst xmlns="http://schemas.openxmlformats.org/spreadsheetml/2006/main" count="10027" uniqueCount="2315">
  <si>
    <t>CAMPAÑA</t>
  </si>
  <si>
    <t>DOCUMENTO</t>
  </si>
  <si>
    <t>RAZON SOCIAL</t>
  </si>
  <si>
    <t>PERIODOS PAGADOS</t>
  </si>
  <si>
    <t>Fecha de Pago</t>
  </si>
  <si>
    <t>Suma Total</t>
  </si>
  <si>
    <t>PRESUNTA</t>
  </si>
  <si>
    <t>202507</t>
  </si>
  <si>
    <t>MEM SAC</t>
  </si>
  <si>
    <t>LAVANDERIA PRESS SAC</t>
  </si>
  <si>
    <t>A &amp; H COMPANY S.A.C.</t>
  </si>
  <si>
    <t>EMPRESA DE TRANSPORTES TURI SMO AMPAY SCRL</t>
  </si>
  <si>
    <t>202505, 202507, 202506</t>
  </si>
  <si>
    <t>GESCONP SRL</t>
  </si>
  <si>
    <t>PARROQUIA SANTA ROSA DEL MAR</t>
  </si>
  <si>
    <t>ICS PACK S.A.C.</t>
  </si>
  <si>
    <t>202506, 202507</t>
  </si>
  <si>
    <t>MICRODATA SRL</t>
  </si>
  <si>
    <t>202504</t>
  </si>
  <si>
    <t>THABNA CONTRATISTAS S.A.C.</t>
  </si>
  <si>
    <t>REFRISA S.R.LTDA.</t>
  </si>
  <si>
    <t>202412, 202411</t>
  </si>
  <si>
    <t>ZARAGOZA LOGISTICA Y TRANSPORTES E.I.R.L.</t>
  </si>
  <si>
    <t>GRAFITEX ISRAEL EIRL</t>
  </si>
  <si>
    <t>201708, 201707</t>
  </si>
  <si>
    <t>QUIROZ DELGADO NANCY</t>
  </si>
  <si>
    <t>JEHOVA JIREH ELIENAI GRUPO CORPORATIVO SAC</t>
  </si>
  <si>
    <t>202507, 202506</t>
  </si>
  <si>
    <t>TRANSPORTE MC Y LH SRL</t>
  </si>
  <si>
    <t>MARIA ELENA ALFARO RODRIGUEZ</t>
  </si>
  <si>
    <t>MENDOZA RODRIGUEZ LUIS PABLO</t>
  </si>
  <si>
    <t>SAN RAMON SAC</t>
  </si>
  <si>
    <t>Escuela de Servicios y GestiÃ³n de Riesgos SAC</t>
  </si>
  <si>
    <t>TRANSPORTES RUIZ VILLENA E.I.R.L</t>
  </si>
  <si>
    <t>AGROLEYKA SRL</t>
  </si>
  <si>
    <t>ALCAZAR SERNA GUSTAVO GOTARDO</t>
  </si>
  <si>
    <t>202505, 202504, 202503, 202507, 202506</t>
  </si>
  <si>
    <t>BREAD MILLS S.A.C</t>
  </si>
  <si>
    <t>202504, 202505</t>
  </si>
  <si>
    <t>IMAD PERU SAC</t>
  </si>
  <si>
    <t>Integradores de Soluciones Linux SAC</t>
  </si>
  <si>
    <t>SERVICIOS MIRSA E.I.R.L</t>
  </si>
  <si>
    <t>202507, 202506, 202505, 202504, 202503, 202502</t>
  </si>
  <si>
    <t>EMPRESA DE SEGURIDAD VIP PERU SRL</t>
  </si>
  <si>
    <t>MEDICAL MED SAC</t>
  </si>
  <si>
    <t>ACABADOS EXCLUSIVOS LUZ S.A.C.</t>
  </si>
  <si>
    <t>MONTAJE, INGENIERIA Y MANTENIMIENTO SCRL</t>
  </si>
  <si>
    <t>202504, 202503, 202502, 202501, 202412, 202411, 202410, 202409, 202408, 202407, 202406, 202405</t>
  </si>
  <si>
    <t>THE WINE COMPANY S.A.C.</t>
  </si>
  <si>
    <t>RODRIGO GALLO OROPEZA TRAUMA EIRL</t>
  </si>
  <si>
    <t>Institucion Educativa Privada Juan Pablo II SRL Zarumilla</t>
  </si>
  <si>
    <t>CIECLANCE SAC</t>
  </si>
  <si>
    <t>EL HUERTO COMERCIAL EIRL</t>
  </si>
  <si>
    <t>INVERSIONES Y REPRESENTACIONES LATINOAMERICA S.A.C.</t>
  </si>
  <si>
    <t>202507, 202506, 202505</t>
  </si>
  <si>
    <t>HABITAT OASIS S.A.C.</t>
  </si>
  <si>
    <t>202410, 202412, 202411</t>
  </si>
  <si>
    <t>GANADERIA Y TRANSPORTE EL BUEN PASTOR SAC</t>
  </si>
  <si>
    <t>202505, 202506</t>
  </si>
  <si>
    <t>CENTRO COMERCIAL ECO PLAZA SAC</t>
  </si>
  <si>
    <t>202407</t>
  </si>
  <si>
    <t>VIRTUAL LABS SAC</t>
  </si>
  <si>
    <t>TRADING FOODS COMPANY PERU S.A.C.</t>
  </si>
  <si>
    <t>VCM MEDICAL STAR LABS SAC</t>
  </si>
  <si>
    <t>TRANSPORTES Y SERVICIOS JOSMAR E.I.R.L.</t>
  </si>
  <si>
    <t>202506</t>
  </si>
  <si>
    <t>JUAN CARLOS MUÃ‘ANTE CARDENAS</t>
  </si>
  <si>
    <t>SHILCAYO TRANSPORTES SRL</t>
  </si>
  <si>
    <t>CHIFA CANTON JAEN E.I.R.L.</t>
  </si>
  <si>
    <t>TRANSP DE CARGA Y SERV SANTA ROSA SRL</t>
  </si>
  <si>
    <t>DROGUERIA CORPORACION CENTRALFARMA EIRL</t>
  </si>
  <si>
    <t>INGENIERIA EN MANTENIMIENTO Y SANITIZACION SA</t>
  </si>
  <si>
    <t>HYDRO PUMPS IMPORT SA</t>
  </si>
  <si>
    <t>202412, 202411, 202410, 202409, 202408, 202407, 202406, 202405, 202404, 202403, 202402, 202401, 202312</t>
  </si>
  <si>
    <t>GASES Y MANUFACTURAS ROMERO DEL NORTE SRL</t>
  </si>
  <si>
    <t>OKAY IMPORT S.A.C.</t>
  </si>
  <si>
    <t>CEMENTERA PERUANA S.A.C.</t>
  </si>
  <si>
    <t>202507, 202506, 202505, 202504, 202503, 202502, 202501, 202412, 202411, 202410, 202409, 202408</t>
  </si>
  <si>
    <t>MATIGLAS EIRL</t>
  </si>
  <si>
    <t>202212, 202211, 202210, 202209, 202208</t>
  </si>
  <si>
    <t>ABUGATTAS INGENIEROS S.A.</t>
  </si>
  <si>
    <t>FRANCISCO &amp; CRISTOBAL ASOCIADOS SAC</t>
  </si>
  <si>
    <t>MUNICIPALIDAD DISTRITAL DE SAN ANTONIO</t>
  </si>
  <si>
    <t>202503, 202502, 202505, 202504</t>
  </si>
  <si>
    <t>NM TELECOM SAC</t>
  </si>
  <si>
    <t>202207, 202206</t>
  </si>
  <si>
    <t>TAIPAWER S.A.C.</t>
  </si>
  <si>
    <t>202003, 202002, 202001, 201912, 201911, 201910, 201909</t>
  </si>
  <si>
    <t>WG HOLZ S.A.C.</t>
  </si>
  <si>
    <t>202104, 202103, 202102, 202101, 202012, 202011, 202010, 202009, 202008, 202007, 202006, 202005, 201910, 201909, 201908, 201907, 201906, 201905, 201904, 201903, 201902, 201901, 201812, 201811</t>
  </si>
  <si>
    <t>JIMENEZ LOAYZA LUIS JAVIER</t>
  </si>
  <si>
    <t>202003, 202002, 202001, 201912, 201911, 201910, 201909, 201908, 201907</t>
  </si>
  <si>
    <t>FLUJO</t>
  </si>
  <si>
    <t>REAL TOTAL</t>
  </si>
  <si>
    <t>CEIGNE JARDIN DE NINOS LA MERCED S.A</t>
  </si>
  <si>
    <t>ROSAS MENDOZA MARIA DEL PILAR</t>
  </si>
  <si>
    <t>DULANTO GILARDI OSCAR</t>
  </si>
  <si>
    <t>EVANGELISTA JULCA NORMA ISABEL</t>
  </si>
  <si>
    <t>SERV IND HALAVISI SAC</t>
  </si>
  <si>
    <t>PRODUCTOS LACTEOS NATURALES SAC</t>
  </si>
  <si>
    <t>J. TRIPLE E. E.I.R.L</t>
  </si>
  <si>
    <t>GLOBAL TOOLS PERU SAC</t>
  </si>
  <si>
    <t>REPARACIONES ESPECIALES SAC</t>
  </si>
  <si>
    <t>SOCIOS SERNOVA SAC</t>
  </si>
  <si>
    <t>3D CONCEPT STUDIO EIRL</t>
  </si>
  <si>
    <t>INVERSIONES AGROALIMENTARIA SRL</t>
  </si>
  <si>
    <t>LA ADICCION FAST FOOD E.I.R.L.</t>
  </si>
  <si>
    <t>NEMAS SERVICIOS E.I.R.L.</t>
  </si>
  <si>
    <t>AQUASHIELD PERU S.A.C.</t>
  </si>
  <si>
    <t>CORPORACION DE EXPORTACIONES PIMA SAC</t>
  </si>
  <si>
    <t>CONSTRUCTORA CAMINOS DEL INCA S.A.C.</t>
  </si>
  <si>
    <t>ASCENSORES JY SOCIEDAD ANONIMA CERRADA</t>
  </si>
  <si>
    <t>consultora fenix srl</t>
  </si>
  <si>
    <t>GESTIONES CARDT EIRL</t>
  </si>
  <si>
    <t>202506, 202505</t>
  </si>
  <si>
    <t>VALDERA SUCLUPE LUCILA ESTHER</t>
  </si>
  <si>
    <t>202505, 202504</t>
  </si>
  <si>
    <t>AGEIN CONTRUCTORES SAC</t>
  </si>
  <si>
    <t>KADE SERVICES PERU E.I.R.L</t>
  </si>
  <si>
    <t>202504, 202503</t>
  </si>
  <si>
    <t>DAEWOO INTERNATIONAL CORPORATION SUCURSAL PERUANA</t>
  </si>
  <si>
    <t>201001</t>
  </si>
  <si>
    <t>YARLEQUE INGA MIGUEL</t>
  </si>
  <si>
    <t>ORTEGA HIDROGO OSCAR OCTAVIO</t>
  </si>
  <si>
    <t>PARBINA SOTO GRACIELA BETHY</t>
  </si>
  <si>
    <t>APAZA SARCCO MAXIMO</t>
  </si>
  <si>
    <t>MALDONADO INCA ALFREDO</t>
  </si>
  <si>
    <t>PEÃ‘AFLOR DE SOUZA BRUNELA</t>
  </si>
  <si>
    <t>PAREDES PEREZ LORENZO</t>
  </si>
  <si>
    <t>MULTISERVICIOS SAN PEDRO DE CORONGO EIRL</t>
  </si>
  <si>
    <t>ESTUDIO ROQUE SALAZAR Y ASOCIADOS SAC</t>
  </si>
  <si>
    <t>abaco ingenieros sac</t>
  </si>
  <si>
    <t>RYC MERCHANDISING CORP EIRL</t>
  </si>
  <si>
    <t>AGROTECH GROUP SAC</t>
  </si>
  <si>
    <t>PHVA PERU S.A.C.</t>
  </si>
  <si>
    <t>DGALLDI S.A.C.</t>
  </si>
  <si>
    <t>H  T TRANSPORTES  HERNAN COLLADO BLANCO SRL</t>
  </si>
  <si>
    <t>MULTISERVICIOS URARINAS S.R.L</t>
  </si>
  <si>
    <t>202507, 202506, 202505, 202504</t>
  </si>
  <si>
    <t>CORPORACION GOLDEN SUN SAC</t>
  </si>
  <si>
    <t>SERVICIO LOGISTICO E Y M E.I.R.L.</t>
  </si>
  <si>
    <t>REAL COMPANY W M S.A.C.</t>
  </si>
  <si>
    <t>INVERSIONES MICA Y NERITA E.I.R.L.</t>
  </si>
  <si>
    <t>HEIMPER GROUP E.I.R.L.</t>
  </si>
  <si>
    <t>TRANSPORTE SOFIS S.A.C.</t>
  </si>
  <si>
    <t>CONSORCIO AGUAFIT S.A.C</t>
  </si>
  <si>
    <t>CALLHUB E.I.R.L</t>
  </si>
  <si>
    <t>MONTE BOSQUE SAC</t>
  </si>
  <si>
    <t>DV SMART SOLUTION E.I.R.L.</t>
  </si>
  <si>
    <t>202507, 202506, 202504, 202503</t>
  </si>
  <si>
    <t>APIWORKING LATAM S.A.C.</t>
  </si>
  <si>
    <t>TINTINAPON CHIROQUE LUIS ABELARDO</t>
  </si>
  <si>
    <t>LARRY ALBERTO PANTA SANCHEZ</t>
  </si>
  <si>
    <t>202506, 202505, 202504, 202507</t>
  </si>
  <si>
    <t>SERVICIO DE MECANICA FINA B Y B SAC</t>
  </si>
  <si>
    <t>SERVICIOS MUTLIPLES REMA SAC</t>
  </si>
  <si>
    <t>RIVERA GERVASI ASOCIADOS ABOGADOS SCRL</t>
  </si>
  <si>
    <t>GREENERGY SAC</t>
  </si>
  <si>
    <t>SOCIEDAD AGRÃCOLA PAMPA GRANDE S.A.C.</t>
  </si>
  <si>
    <t>CREE Y V SOLUCIONES S.R.L.</t>
  </si>
  <si>
    <t>202505, 202504, 202507, 202506</t>
  </si>
  <si>
    <t>Negocios de Informacion Tecnologia y Comunicaciones SAC</t>
  </si>
  <si>
    <t>202505</t>
  </si>
  <si>
    <t>CLEANING SERVICE KRYSTELL S.A.C</t>
  </si>
  <si>
    <t>202505, 202506, 202507</t>
  </si>
  <si>
    <t>AKIRA CORPORATION S.A.C.</t>
  </si>
  <si>
    <t>TRANSPORTES ROGRIGO S.A.C.</t>
  </si>
  <si>
    <t>202504, 202503, 202507, 202506, 202505</t>
  </si>
  <si>
    <t>GUEVARA LOZANO NILZON</t>
  </si>
  <si>
    <t>202503, 202502</t>
  </si>
  <si>
    <t>GRUPO R E.I.R.L.</t>
  </si>
  <si>
    <t>202503, 202505, 202504, 202507, 202506, 202502</t>
  </si>
  <si>
    <t>CLINICA INTEGRAL AVANZADA DEL TRATAMIENTO DE LAS OBESIDADES</t>
  </si>
  <si>
    <t>202503, 202505, 202504</t>
  </si>
  <si>
    <t>BEPYC DEL PERU SOCIEDAD ANONIMA CERRADA</t>
  </si>
  <si>
    <t>202502</t>
  </si>
  <si>
    <t>AVP Y SEGURIDAD SAC</t>
  </si>
  <si>
    <t>202507, 202506, 202505, 202504, 202503, 202502, 202501</t>
  </si>
  <si>
    <t>ANGOBALDO TORRES MALAGA MIGUEL GUILLERMO</t>
  </si>
  <si>
    <t>PANICHI PARDAVE BRUNO MARTIN</t>
  </si>
  <si>
    <t>CARRANZA CHAVEZ MARLENE MANUELA</t>
  </si>
  <si>
    <t>FARFAN ZEVALLOS CLORINDA</t>
  </si>
  <si>
    <t>SAUL ESTRADA HUILLCA</t>
  </si>
  <si>
    <t>ZAPATA BORJA LADYS CARLA BEATRIZ</t>
  </si>
  <si>
    <t>INVERSIONES HATUN FISH SRL</t>
  </si>
  <si>
    <t>CORPORACION KANDY SAC</t>
  </si>
  <si>
    <t>GOTECH PERU S.A.C.</t>
  </si>
  <si>
    <t>CLINICA BELLO HORIZONTE SA</t>
  </si>
  <si>
    <t>SERVICIOS GRAFICOS JCEM SAC</t>
  </si>
  <si>
    <t>CHIMAC SAC</t>
  </si>
  <si>
    <t>CONSULTOR EJECUTOR Y MULTISERVICIO KVEM EIRL</t>
  </si>
  <si>
    <t>ANCOSUR EIRL</t>
  </si>
  <si>
    <t>MGS SERVICIOS TELECORP SAC</t>
  </si>
  <si>
    <t>CAR GLASS AUTOMOTRIZ E.I.R.L.</t>
  </si>
  <si>
    <t>OCTANET S.A.C.</t>
  </si>
  <si>
    <t>LAIA CONSUL EIRL</t>
  </si>
  <si>
    <t>202507, 202506, 202504, 202503, 202502, 202505</t>
  </si>
  <si>
    <t>COLISEL SAC.</t>
  </si>
  <si>
    <t>INVERSIONES HOLDING GROUP S.A.C.</t>
  </si>
  <si>
    <t>RYN INNOVA S.A.C.</t>
  </si>
  <si>
    <t>ESPERANZA PALACIOS EIRL</t>
  </si>
  <si>
    <t>ALSUM S.A.C.</t>
  </si>
  <si>
    <t>CH Y G ASOCIADOS ASESORAMIENTO CONTABLE EIRL</t>
  </si>
  <si>
    <t>GRUPO NINACRISTO EMPRESA INDIVIDUAL DE RESPONSABILIDAD LIMIT</t>
  </si>
  <si>
    <t>CONFECCIONES YARA EIRL</t>
  </si>
  <si>
    <t>comercial jimenez  j.w.j eirl</t>
  </si>
  <si>
    <t>202507, 202506, 202505, 202504, 202503</t>
  </si>
  <si>
    <t>CETUMI E.I.R.L.</t>
  </si>
  <si>
    <t>GRUPO INMOBILIARIA SULCA S.A.C.</t>
  </si>
  <si>
    <t>NATURAL SENSES SAC</t>
  </si>
  <si>
    <t>WINE CENTRO CORPORAL GROUP E.I.R.L.</t>
  </si>
  <si>
    <t>202507, 202505, 202506</t>
  </si>
  <si>
    <t>CORPORACION PLAST PERU E.I.R.L.</t>
  </si>
  <si>
    <t>INDIETRO SAC</t>
  </si>
  <si>
    <t>HISTORIA TEXTIL SAC</t>
  </si>
  <si>
    <t>NIDO WELCOME S.A.C.</t>
  </si>
  <si>
    <t>INDUSTRIAS DERLEE SAC</t>
  </si>
  <si>
    <t>Smart Motion SAC</t>
  </si>
  <si>
    <t>MA MOTO SHOP E.I.R.L.</t>
  </si>
  <si>
    <t>SH ODONTOZ HEALTH S.A.C.</t>
  </si>
  <si>
    <t>CASA RIKY SOCIEDAD ANONIMA CERRADA</t>
  </si>
  <si>
    <t>ALSI CONSTRUCTORA S.A.C.</t>
  </si>
  <si>
    <t>GUADALUPE SERVICIOS INTEGRALES SRL</t>
  </si>
  <si>
    <t>PAQUITA FISH E.I.R.L.</t>
  </si>
  <si>
    <t>FODATEX SAC</t>
  </si>
  <si>
    <t>202502, 202503</t>
  </si>
  <si>
    <t>gilmer antonio flores tenazoa</t>
  </si>
  <si>
    <t>TALLER DE SOLDADURA JOEL E.I.R.L.</t>
  </si>
  <si>
    <t>202107</t>
  </si>
  <si>
    <t>America International Tours SA</t>
  </si>
  <si>
    <t>201804, 201803, 201802</t>
  </si>
  <si>
    <t>CASTRO RAMOS MARIA MAGDALENA</t>
  </si>
  <si>
    <t>RODRIGUEZ SUYO DORIS</t>
  </si>
  <si>
    <t>VIZCARRA RUIZ JAIRO</t>
  </si>
  <si>
    <t>MUOZ  CHAVEZ  ANDRES</t>
  </si>
  <si>
    <t>grove peru sa c</t>
  </si>
  <si>
    <t>TOURS PANASUR EIRL</t>
  </si>
  <si>
    <t>SMRL CANTERAS ASOCIADAS I</t>
  </si>
  <si>
    <t>TRANSPORTES CLARITA SRL</t>
  </si>
  <si>
    <t>INVERSIONES ROLCAS SAC</t>
  </si>
  <si>
    <t>mac inversiones y equipos sac</t>
  </si>
  <si>
    <t>GRUPO E Y CM CONTRATISTAS GENERALES SRL</t>
  </si>
  <si>
    <t>INVERSIONES RAPIVENTAS S.A.C.</t>
  </si>
  <si>
    <t>R &amp; D ARQUITECTURA INGENIERIA Y CONSTRUCCION SAC</t>
  </si>
  <si>
    <t>INGENIERIA Y CONSTRUCCION BEGO SAC</t>
  </si>
  <si>
    <t>G&amp;A TECNOLOGIAS S.A.C</t>
  </si>
  <si>
    <t>JAIDEC E.I.R.L.</t>
  </si>
  <si>
    <t>OVEJA NEGRA MOTORS SAC</t>
  </si>
  <si>
    <t>D' SARA CORPORACIÃ“N S.A.C.</t>
  </si>
  <si>
    <t>INVERNADEROS TIKARIY S.A.C</t>
  </si>
  <si>
    <t>EXTREME AIRE ACONDICIONADO Y REFRIGERACION S.A.C</t>
  </si>
  <si>
    <t>JAVAL INGENIEROS CONSTRUCTORES S.R.L.</t>
  </si>
  <si>
    <t>PARROQUIA SANTO TORIBIO DE MOGROVEJO</t>
  </si>
  <si>
    <t>GRUPO GASTRONOMICO MR E.I.R.L.</t>
  </si>
  <si>
    <t>CASTRO Y ABOG. S.A.C.</t>
  </si>
  <si>
    <t>GRUPO NAVHE S.R.L.</t>
  </si>
  <si>
    <t>FRANATPA INVERSIONES S.A.C</t>
  </si>
  <si>
    <t>SERVICIOS GENERALES GUEVARA E.I.R.L.</t>
  </si>
  <si>
    <t>LLANQUECHA TACO ARTEMIO VIDAL</t>
  </si>
  <si>
    <t>IVTEC LED S.A.C.</t>
  </si>
  <si>
    <t>C Y G INTERNATIONAL BUSINESS GROUP S.A.C.</t>
  </si>
  <si>
    <t>202506, 202505, 202507</t>
  </si>
  <si>
    <t>LABORATORIO SR DE QOYLLUR RITTI J B E.I.R.L.</t>
  </si>
  <si>
    <t>IMPACTA PUBLICIDAD GRAFICA E.I.R.L.</t>
  </si>
  <si>
    <t>Cooperativa Agraria Lideres Emprendedores en  Banano</t>
  </si>
  <si>
    <t>202506, 202505, 202504, 202503</t>
  </si>
  <si>
    <t>EMP. DE TRANSPORTES SOL DE AMERICA EIRL</t>
  </si>
  <si>
    <t>INTERVENCION  SOCIAL   ERICSSON  E.I.R.L</t>
  </si>
  <si>
    <t>INDUSTRIAS PERUANAS UNIDAS S.A.C.</t>
  </si>
  <si>
    <t>202504, 202503, 202502</t>
  </si>
  <si>
    <t>JUVENUS CAPITAL SAC</t>
  </si>
  <si>
    <t>ATLANTA CONSULTORES Y EJECUTORES E.I.R.L.</t>
  </si>
  <si>
    <t>202502, 202504, 202503</t>
  </si>
  <si>
    <t>CONSTRUCTORA MAKENA SAC</t>
  </si>
  <si>
    <t>202104</t>
  </si>
  <si>
    <t>Asociacion CEP Peruano Chino Diez De Octubre</t>
  </si>
  <si>
    <t>202410</t>
  </si>
  <si>
    <t>CEP BF SKINNER</t>
  </si>
  <si>
    <t>NEGOCIACION SANTA ANGELA S.A.C.</t>
  </si>
  <si>
    <t>OLEAGINOSAS PUCALLPA SAC</t>
  </si>
  <si>
    <t>TRANSDAM  SRL</t>
  </si>
  <si>
    <t>TRANSPORTES HERRERA EIRL</t>
  </si>
  <si>
    <t>ALLIANCE AIRFREIGHT Y OCEAN PERU SOCIEDAD ANONIMA</t>
  </si>
  <si>
    <t>CONCESIONARIO DE ALIMENTOS LUCE MIR EIRL</t>
  </si>
  <si>
    <t>SAHURT INGENIEROS EIRL</t>
  </si>
  <si>
    <t>CSICAP COMPANY E.I.R.L.</t>
  </si>
  <si>
    <t>Servicios Industriales Ruben S.A.C.</t>
  </si>
  <si>
    <t>CALETA DOLSA SAC</t>
  </si>
  <si>
    <t>CORPORACION COMERCIO SEGURO SAC</t>
  </si>
  <si>
    <t>F Y S MARTINEZ SAC</t>
  </si>
  <si>
    <t>INVERSIONES KAMILA IYARI E.I.R.L.</t>
  </si>
  <si>
    <t>PERUVIAN NORTH FOOD S.A.C.</t>
  </si>
  <si>
    <t>HIELO Y CONGELADOS PARACHIQUE SOCIEDAD ANONIMA CERRADA</t>
  </si>
  <si>
    <t>CORPORACION R TOMAS E.I.R.L.</t>
  </si>
  <si>
    <t>LABORATORIO LABMIN SAC</t>
  </si>
  <si>
    <t>DIGITAL CITY S.A.C.</t>
  </si>
  <si>
    <t>SERVICIOS DE ALIMENTOS GENERALES Y AFINES SAC</t>
  </si>
  <si>
    <t>GRUPO HR E INGENIEROS EIRL</t>
  </si>
  <si>
    <t>PERUVIAN ORGANIC LANDS S.A.C.</t>
  </si>
  <si>
    <t>BRAF PERU LOGISTIC S.A.C.</t>
  </si>
  <si>
    <t>SJW SRL</t>
  </si>
  <si>
    <t>Gear Computer SCRL</t>
  </si>
  <si>
    <t>202506, 202507, 202505</t>
  </si>
  <si>
    <t>CENTRO DE INVESTIGACION Y ASESORIA TRIBUTARIA ICHPAS SAC</t>
  </si>
  <si>
    <t>MGP SERVYPARTS E.I.R.L.</t>
  </si>
  <si>
    <t>CLINICA IMPLANTES DEL NORTE SRL</t>
  </si>
  <si>
    <t>202505, 202504, 202506, 202507</t>
  </si>
  <si>
    <t>INVERSIONES GORRION SAC</t>
  </si>
  <si>
    <t>COMERCIAL LA CRUZ Y MENDEZ SAC</t>
  </si>
  <si>
    <t>SANDRA RAMIREZ CARLOS</t>
  </si>
  <si>
    <t>202504, 202503, 202502, 202501</t>
  </si>
  <si>
    <t>JHUMAJER S.A.C.</t>
  </si>
  <si>
    <t>SERVICIOS DE SALUD YACC S.R.L</t>
  </si>
  <si>
    <t>202503, 202504</t>
  </si>
  <si>
    <t>GCY GROUP SAC</t>
  </si>
  <si>
    <t>buzos del pacifico eirl</t>
  </si>
  <si>
    <t>202502, 202501</t>
  </si>
  <si>
    <t>JYP CONSTRUCTORES GENERALES SAC</t>
  </si>
  <si>
    <t>HEXYTOSA EIRL</t>
  </si>
  <si>
    <t>201803, 201804, 201810, 201809, 201808, 201807, 201806, 201805</t>
  </si>
  <si>
    <t>EMP TRANSP VIRGEN DE LA PUERTA SA</t>
  </si>
  <si>
    <t>CALDERAS PERUANAS Y DERIVADOS SOCIEDAD ANONIMA CERRADA</t>
  </si>
  <si>
    <t>202506, 202504</t>
  </si>
  <si>
    <t>CORPORACION GUIMEL SAC</t>
  </si>
  <si>
    <t>CASTILLO LEON REYNALDO PASTOR</t>
  </si>
  <si>
    <t>GRUPO D'PALMA SAC</t>
  </si>
  <si>
    <t>HANDFLUID TRADING S.A.C.</t>
  </si>
  <si>
    <t>JNAVARRO INSTALACIONES E INGENIERIA SAC</t>
  </si>
  <si>
    <t>202305</t>
  </si>
  <si>
    <t>REYMER MORALES DARIA BEATRIZ</t>
  </si>
  <si>
    <t>DISTRIBUIDORA MULTIUTILES SAC</t>
  </si>
  <si>
    <t>electro comercial karol srl</t>
  </si>
  <si>
    <t>LINK CORREDORES DE SEGUROS S.A.C.</t>
  </si>
  <si>
    <t>JLB CORPORACION EIRL</t>
  </si>
  <si>
    <t>CRISERVIS E.I.R.L.</t>
  </si>
  <si>
    <t>Inversiones Cevhal SAC</t>
  </si>
  <si>
    <t>INDUSTRIA FG SOCIEDAD ANONIMA CERRADA</t>
  </si>
  <si>
    <t>ACVET PERU E.I.R.L.</t>
  </si>
  <si>
    <t>SERVICIO INTEGRAL PIERO ALDO E.I.R.L.</t>
  </si>
  <si>
    <t>LIKA - EPICERIE SAC</t>
  </si>
  <si>
    <t>GRUPO CORPORATIVO CHAVEZ EIRL</t>
  </si>
  <si>
    <t>IH FASHION</t>
  </si>
  <si>
    <t>MORVIDIESEL S.A.C.</t>
  </si>
  <si>
    <t>CALDERON ALTAMIRANO</t>
  </si>
  <si>
    <t>VILLANUEVA GARCIA CARMEN JANNET</t>
  </si>
  <si>
    <t>202205</t>
  </si>
  <si>
    <t>G &amp; G ARQUITECTOS</t>
  </si>
  <si>
    <t>200211</t>
  </si>
  <si>
    <t>SUC MORON VALDA ELENA ILDA</t>
  </si>
  <si>
    <t>PEÃ‘A CHIPANA NILTON ANDRES</t>
  </si>
  <si>
    <t>DRUGSTORE DIFAPAG EIRL</t>
  </si>
  <si>
    <t>CORPORACION ROSSE S.A.C.</t>
  </si>
  <si>
    <t>SAN MIGUEL ARCANGEL CONTRATISTAS GENERALES</t>
  </si>
  <si>
    <t>MEDIA IMPACT PERU SAC</t>
  </si>
  <si>
    <t>RR RAMIREZ SAC</t>
  </si>
  <si>
    <t>EFF INGENIEROS EIRL</t>
  </si>
  <si>
    <t>PLANTACIONES ORGANICAS DEL  PERU SAC</t>
  </si>
  <si>
    <t>JMM INGENIERIA &amp; SERVICIOS GENERALES S.A.C.</t>
  </si>
  <si>
    <t>FRIGORIFICO SANTA ESPERANZA SAC</t>
  </si>
  <si>
    <t>SERVICIOS GENERALES ARFAV E.I.R.L.</t>
  </si>
  <si>
    <t>202507, 202506, 202504, 202503, 202502, 202501</t>
  </si>
  <si>
    <t>SUSAN CAMILO VICTOR INGENIEROS S.A.C.</t>
  </si>
  <si>
    <t>CORPORACION LIKER E.I.R.L.</t>
  </si>
  <si>
    <t>PANIFICADORA SAC</t>
  </si>
  <si>
    <t>HATSUR EIRL</t>
  </si>
  <si>
    <t>DD COFFEE BAKERY GROUP S.A.C.</t>
  </si>
  <si>
    <t>ORGANIZACION EDUCATIVA DANIEL GOLEMAN EIRL</t>
  </si>
  <si>
    <t>LOPEZHER S.R.L.</t>
  </si>
  <si>
    <t>CONAGAS SAC</t>
  </si>
  <si>
    <t>Encalada MS S.A.C.</t>
  </si>
  <si>
    <t>LITOTRICIA JAVIER PRADO SAC</t>
  </si>
  <si>
    <t>202412, 202411, 202410</t>
  </si>
  <si>
    <t>academia de natacion angel romero srl</t>
  </si>
  <si>
    <t>201801</t>
  </si>
  <si>
    <t>SILVESTRE NUEZ SAAVEDRA</t>
  </si>
  <si>
    <t>RIOS VERASTEGUI MANUEL GENARO</t>
  </si>
  <si>
    <t>BARRIOS LUQUE KARINA</t>
  </si>
  <si>
    <t>FLORES SORIA KARL LODBER</t>
  </si>
  <si>
    <t>SAMPEN FLORES CARLOS HERNAN</t>
  </si>
  <si>
    <t>AGUILAR CENTURION RENE OMAR</t>
  </si>
  <si>
    <t>ALAYZA CONSULTORES LEGALES ASOCIADOS SOC. CIVIL DE RESPONSAB</t>
  </si>
  <si>
    <t>INVERSIONES MAJORO SAC</t>
  </si>
  <si>
    <t>LAN TRADING SA</t>
  </si>
  <si>
    <t>REPRESENTACIONES JHOSEP SAC</t>
  </si>
  <si>
    <t>VETERINARIA MI CACHORRITO SAC</t>
  </si>
  <si>
    <t>DANCAR CONTRATISTAS EIRL</t>
  </si>
  <si>
    <t>LOGISTICA &amp; SERVICIOS GENERALES DE LA CRUZ S.A.C.</t>
  </si>
  <si>
    <t>FAHLA CALL SAC</t>
  </si>
  <si>
    <t>GRUPO FACVRIL EIRL</t>
  </si>
  <si>
    <t>INNOVAGRO BIOSCIENCE SAC</t>
  </si>
  <si>
    <t>ESTUDIO JURIDICO MENENDEZ Y ASOCIADOS SRL</t>
  </si>
  <si>
    <t>202507, 202503, 202502</t>
  </si>
  <si>
    <t>KING DESIGN C Y G SOCIEDAD ANONIMA CERRADA</t>
  </si>
  <si>
    <t>EVOLUCION PERU TELECOMUNICACIONES S.A.C.</t>
  </si>
  <si>
    <t>ACN TRANSPORTES SAC</t>
  </si>
  <si>
    <t>DISTRIBUIDORA FERREMA S.A.C.</t>
  </si>
  <si>
    <t>DENT IMPORTACIONES SAYCA SAC.</t>
  </si>
  <si>
    <t>FORTI CONSTRUCTORES PERU S.A.C</t>
  </si>
  <si>
    <t>ALFONSO ENRIQUE GARCIA GARCIA</t>
  </si>
  <si>
    <t>ABASTECEDORA DE PRODUCTOS Y SERVICIOS EIRL</t>
  </si>
  <si>
    <t>JALD INVERSIONES EIRL</t>
  </si>
  <si>
    <t>202506, 202505, 202504, 202503, 202507</t>
  </si>
  <si>
    <t>elda e hijos consultores peru sac</t>
  </si>
  <si>
    <t>SEGURABG S.A.C</t>
  </si>
  <si>
    <t>SOLUCIONES D Y Z HOSSO EIRL</t>
  </si>
  <si>
    <t>202506, 202505, 202504, 202503, 202502, 202507</t>
  </si>
  <si>
    <t>SEGURIDAD Y SERVICIOS CLAVE 2 AREQUIPA EIRL</t>
  </si>
  <si>
    <t>Export Fashion Peruana SAC</t>
  </si>
  <si>
    <t>INVERSIONES TURISTICAS GALLO E.I.R.L</t>
  </si>
  <si>
    <t>CASA DE REPOSO MI GRAN ABUELO E.I.R.L.</t>
  </si>
  <si>
    <t>INTERANDINA VIAJES Y TURISMO SRL</t>
  </si>
  <si>
    <t>NORTHWEST SECURITY S.A.C</t>
  </si>
  <si>
    <t>202501</t>
  </si>
  <si>
    <t>SOLIMAR INDUSTRIA EIRL</t>
  </si>
  <si>
    <t>202208</t>
  </si>
  <si>
    <t>ESTABLECIMIENTOS INCA S.A.C.</t>
  </si>
  <si>
    <t>201406, 200512</t>
  </si>
  <si>
    <t>DE LAMA RISCO MARTHA AVELINA</t>
  </si>
  <si>
    <t>ALEGRIA AGUERO LUZMILA DEL CARMEN</t>
  </si>
  <si>
    <t>JOSE LUIS VILLAJUAN TOMAS</t>
  </si>
  <si>
    <t>ROJAS ORDOÃ‘EZ FIORELLA NICOLE</t>
  </si>
  <si>
    <t>AZABACHE NORIEGA JORGE LUIS</t>
  </si>
  <si>
    <t>Huaca Larga SAC</t>
  </si>
  <si>
    <t>PERUVIAN FOOD COMPANY SAC</t>
  </si>
  <si>
    <t>RIZAM CONTRATISTAS Y SERVICIOS GENERALES SAC</t>
  </si>
  <si>
    <t>Ã‘AÃ‘OCUY SAC</t>
  </si>
  <si>
    <t>GRUPO RV INGENIEROS ASOCIADOS S.R.L.</t>
  </si>
  <si>
    <t>FRIO KLEN E.I.R.L</t>
  </si>
  <si>
    <t>LA FRUTTA S.R.L.</t>
  </si>
  <si>
    <t>MELA MENICA EIRL</t>
  </si>
  <si>
    <t>202507, 202504, 202503, 202502, 202506, 202505</t>
  </si>
  <si>
    <t>FABRICA DE COLCHONES Y PRODUCTOS RELACIONADOS TORRES y TORRE</t>
  </si>
  <si>
    <t>CORPORACION Y INVERSIONES ELAMERICANO  S.A.C.</t>
  </si>
  <si>
    <t>AGRO EXPORTACION MIKAL SOCIEDAD ANONIMA CERRADA</t>
  </si>
  <si>
    <t>NEGOCIOS ALIMENTICIOS REYES S.R.L.</t>
  </si>
  <si>
    <t>TEXTILES JMK S.A.C.</t>
  </si>
  <si>
    <t>KCR SOCIO EMPRESARIAL S.A.C.</t>
  </si>
  <si>
    <t>MOL EL PIRATA DE CHICLAYO FUTBOL CLUB</t>
  </si>
  <si>
    <t>ASESORES VEYSA SAC</t>
  </si>
  <si>
    <t>VARGAS ESTRADA JOHJAN</t>
  </si>
  <si>
    <t>JJ CORREA E.I.R.L.</t>
  </si>
  <si>
    <t>LUCIANO SS E.I.R.L</t>
  </si>
  <si>
    <t>202404</t>
  </si>
  <si>
    <t>laboratorio  diesel G  A scrltda</t>
  </si>
  <si>
    <t>202301</t>
  </si>
  <si>
    <t>FRANSU TRADING SAC</t>
  </si>
  <si>
    <t>201907, 201906</t>
  </si>
  <si>
    <t>YOVIC S.A.C.</t>
  </si>
  <si>
    <t>201804, 201803</t>
  </si>
  <si>
    <t>OSTIM S.A.</t>
  </si>
  <si>
    <t>200812</t>
  </si>
  <si>
    <t>PERUVIAN SUN SAC</t>
  </si>
  <si>
    <t>200612</t>
  </si>
  <si>
    <t>POTENZA GAS SAC</t>
  </si>
  <si>
    <t>REDES MULTIMEDIA PERU SAC</t>
  </si>
  <si>
    <t>PROGRAMA DE CAPACITACION Y FORMACION DOCENTE E.I.R.L.</t>
  </si>
  <si>
    <t>SAN IGNACIO DE NUEVA ESPERANZA SAC</t>
  </si>
  <si>
    <t>SOLUCIONES EN TRANSPORTES MELIS SAC</t>
  </si>
  <si>
    <t>EDITORIAL MUCHIK S.A.C.</t>
  </si>
  <si>
    <t>AGRO SOLUTA S.A.C.</t>
  </si>
  <si>
    <t>SOPLIN E.I.R.L</t>
  </si>
  <si>
    <t>CORPORACION ELMAZ S.A.C.</t>
  </si>
  <si>
    <t>CORPORACION Y SERVICIOS MULTIPLES FLOR FR Y A SAC</t>
  </si>
  <si>
    <t>MAQUINARIA KOMIR SAC</t>
  </si>
  <si>
    <t>Celeste Mar S.A.C.</t>
  </si>
  <si>
    <t>TALENT PEOPLE OUTSOURCING S.A.C</t>
  </si>
  <si>
    <t>CORPORACION ARCOS S.A.C.</t>
  </si>
  <si>
    <t>METIS DREG S.A.C.</t>
  </si>
  <si>
    <t>202505, 202504, 202503</t>
  </si>
  <si>
    <t>AGRONEGOCIOS SUSY EIRL</t>
  </si>
  <si>
    <t>PACHAMAMA TRADITIONAL BANQUETS SAC</t>
  </si>
  <si>
    <t>202504, 202507, 202506, 202505</t>
  </si>
  <si>
    <t>SERVICIOS BURGA EIRL</t>
  </si>
  <si>
    <t>202503</t>
  </si>
  <si>
    <t>TRANSPORTES Y SERVICIOS GERALD SAC</t>
  </si>
  <si>
    <t>202405</t>
  </si>
  <si>
    <t>JUANA IRIS GUTIERREZ VEGA</t>
  </si>
  <si>
    <t>SERVICIOS GENERALES DORBEC E.I.R.L</t>
  </si>
  <si>
    <t>POLIFLEX GROUP SAC</t>
  </si>
  <si>
    <t>DISTRIBUIDORA HUARIPUMA SAC</t>
  </si>
  <si>
    <t>INVERSIONES TOMAS GUTARRA SAC</t>
  </si>
  <si>
    <t>CONFECCIONES TANTA SAC</t>
  </si>
  <si>
    <t>CALDERON NAVEZ EDITH KATHERIN</t>
  </si>
  <si>
    <t>GRUPO EDUCATIVO CULTURAL JESA S.R.L.</t>
  </si>
  <si>
    <t>M Y 3A CORPORACION ELECTRO INDUSTRIAL EIRL</t>
  </si>
  <si>
    <t>COMERCIALIZACION DE FIERROS Y METALES SAC</t>
  </si>
  <si>
    <t>202503, 202502, 202507, 202506, 202505, 202504</t>
  </si>
  <si>
    <t>ADHESIVOS PERUVIAN YMAN SAC</t>
  </si>
  <si>
    <t>202501, 202504</t>
  </si>
  <si>
    <t>J  J REPRESENTACIONES Y TURISTISTICAS SRL</t>
  </si>
  <si>
    <t>202008</t>
  </si>
  <si>
    <t>ARREDONDO SEGOVIA ROCIO</t>
  </si>
  <si>
    <t>ERSI IMPORTACIONES SRL.</t>
  </si>
  <si>
    <t>GRANDA CONTRATISTAS SRL</t>
  </si>
  <si>
    <t>J &amp; M  CONSTRUCTORES S.R.L.</t>
  </si>
  <si>
    <t>MECC CONSULTORES Y CONTRATISTAS GENERALES SAC</t>
  </si>
  <si>
    <t>CONSTRUCCIONES Y ACABADOS FUENTES E.I.R.L.</t>
  </si>
  <si>
    <t>HHM MAQUINARIAS Y SERVICIOS E.I.R.L.</t>
  </si>
  <si>
    <t>AKM LOGISTIC S.A.C.</t>
  </si>
  <si>
    <t>UNICOS COMPANY S.R.L.</t>
  </si>
  <si>
    <t>HOGA  MODA EIRL</t>
  </si>
  <si>
    <t>CONSORCIO LUBARU S.A.C.</t>
  </si>
  <si>
    <t>FIBRAS DEL SUR SAC</t>
  </si>
  <si>
    <t>ASOC DE PROPIETARIOS DEL MCO MODELO PARTICULAR SAN JUAN</t>
  </si>
  <si>
    <t>200701</t>
  </si>
  <si>
    <t>BLANCAS LAVADO EVELYN</t>
  </si>
  <si>
    <t>CANO ARBIETO MARIO</t>
  </si>
  <si>
    <t>ESBARI SAC</t>
  </si>
  <si>
    <t>INVERSIONES ROSANT SAC</t>
  </si>
  <si>
    <t>INVERSIONES SANTIAGO EIRL</t>
  </si>
  <si>
    <t>ASOCIACION DE DIFUSION CULTURAL UNIDA  ADCUNI</t>
  </si>
  <si>
    <t>CLASS PARKING SAC</t>
  </si>
  <si>
    <t>PAOLA SIZA PERU SAC</t>
  </si>
  <si>
    <t>CAFÃ‰ SANGUCHON FELIZ E.I.R.L.</t>
  </si>
  <si>
    <t>HAPPY MUNDO KIDS E.I.R.L.</t>
  </si>
  <si>
    <t>CORPORACIÃ“N MINERA ACME S.A.C.</t>
  </si>
  <si>
    <t>PPPERU SERVICIOS GENERALES S.A.C.</t>
  </si>
  <si>
    <t>ANGELES RODRIGUEZ EDWIN SANTIAGO</t>
  </si>
  <si>
    <t>IMDIMEX E.I.R.L.</t>
  </si>
  <si>
    <t>JAS CONSULTORIA Y SERVICIOS GENERALES EIRL</t>
  </si>
  <si>
    <t>NEGOCIOS Y SERVICIOS ANCAR EIRL</t>
  </si>
  <si>
    <t>AVINEY CARGO SAC</t>
  </si>
  <si>
    <t>201508, 201507</t>
  </si>
  <si>
    <t>macro service srl</t>
  </si>
  <si>
    <t>PERU TECHNOLOGY S.A.C</t>
  </si>
  <si>
    <t>199809</t>
  </si>
  <si>
    <t>PAREDES VILCA VICTORIA DAMIANA</t>
  </si>
  <si>
    <t>Huanaco Flores Gregorio Luciano</t>
  </si>
  <si>
    <t>MyL DISTRIBUIDORA EIRL</t>
  </si>
  <si>
    <t>ESTABLO LOS MEDANOS EIRL</t>
  </si>
  <si>
    <t>A Y P ABOGADOS Y CONSULTORES EIRL</t>
  </si>
  <si>
    <t>202507, 202506, 202505, 202502</t>
  </si>
  <si>
    <t>CALLE LOS CASTAÃ‘OS NUMERO 432-440-446 URBANIZACION COUNTRY</t>
  </si>
  <si>
    <t>EXUS SAC</t>
  </si>
  <si>
    <t>CHIFA POLLERIA BUFETT EXPRESS E.I.R.L.</t>
  </si>
  <si>
    <t>SERVICIOS GENERALES DEL PERU A Y B S.A.C.</t>
  </si>
  <si>
    <t>JIREH SOLUCIONES LOGISTICAS INTEGRALES S.A.C.</t>
  </si>
  <si>
    <t>AGORA EDUCORP S.A.C. BIC</t>
  </si>
  <si>
    <t>Inversiones Petroleras del Oriente Peruano S.A.C.</t>
  </si>
  <si>
    <t>ELECTRO FERIA EIRL</t>
  </si>
  <si>
    <t>202506, 202505, 202504</t>
  </si>
  <si>
    <t>COMERCIAL MODA KISS EIRL</t>
  </si>
  <si>
    <t>EVENTIVA SAC</t>
  </si>
  <si>
    <t>inversiones luxemsac sac</t>
  </si>
  <si>
    <t>202412, 202411, 202410, 202409, 202408</t>
  </si>
  <si>
    <t>EL REY CHICKEN GRILL S.A.C.</t>
  </si>
  <si>
    <t>202412</t>
  </si>
  <si>
    <t>PM FRUITS S.A.C.</t>
  </si>
  <si>
    <t>CONSTRUCTORA E INGENIERIA Y EJECUTORES GENERALES C &amp; D S.A.C</t>
  </si>
  <si>
    <t>202312, 202311</t>
  </si>
  <si>
    <t>MERZTHAL COLLAZOS LUIS MIGUEL</t>
  </si>
  <si>
    <t>PAMELA KATHERINE URSULA LAZARTE REY</t>
  </si>
  <si>
    <t>BRAVO AMPUERO WILSON JAVIER</t>
  </si>
  <si>
    <t>COLONIA HERRERA &amp; ASOCIADOS S.A.C.</t>
  </si>
  <si>
    <t>CONSORCIO EDUCATIVO MARIELS  S.R.L.</t>
  </si>
  <si>
    <t>TRANSPORTE LINZOR SAC</t>
  </si>
  <si>
    <t>SOLUCIONES MEDICAS MACI EIRL</t>
  </si>
  <si>
    <t>TECNOMIN PERU S.A.C.</t>
  </si>
  <si>
    <t>REFRACTARIOS SUPPLY SAC</t>
  </si>
  <si>
    <t>INVERSIONES Y SERVICIOS FORESTALES N Y M EIRL</t>
  </si>
  <si>
    <t>RH SERVICIOS GENERALES EIRL</t>
  </si>
  <si>
    <t>F &amp; Y SAC</t>
  </si>
  <si>
    <t>PACHACAMAC SPV I LIMA E.I.R.L.</t>
  </si>
  <si>
    <t>ASESORIA Y SERVICIOS EMPRESARIALES CONTRILAB E.I.R.L.</t>
  </si>
  <si>
    <t>GRIFO MARANATHA SAC</t>
  </si>
  <si>
    <t>CONSORCIO SAN MARTIN DE PORRES</t>
  </si>
  <si>
    <t>FENIX TECHNOLOGY S.A.C.</t>
  </si>
  <si>
    <t>SECURITY CRISS SOCIEDAD COMERCIAL DE RESPONSABILIDAD LIMITAD</t>
  </si>
  <si>
    <t>STEEL DIAMOND SAC</t>
  </si>
  <si>
    <t>CORPORACION JESHUA SAC</t>
  </si>
  <si>
    <t>CORPORACION WHU S.A.C.</t>
  </si>
  <si>
    <t>HNOS LAY MELLY SRLTDA</t>
  </si>
  <si>
    <t>200311</t>
  </si>
  <si>
    <t>CASTILLO ROSILLO NOLE</t>
  </si>
  <si>
    <t>ANDY FRANKS CABRERA IRIGOIN</t>
  </si>
  <si>
    <t>BOBADILLA SANCHEZ MONICA DEL PILAR</t>
  </si>
  <si>
    <t>DENIS ARMANDO VARGAS ANAYA</t>
  </si>
  <si>
    <t>CONVERT GROUP SAC</t>
  </si>
  <si>
    <t>INVERSIONES CABALLERO HERMANOS SAC</t>
  </si>
  <si>
    <t>EMPRESA DE TRANSPORTES GREYBE S.A.C</t>
  </si>
  <si>
    <t>GRUPO FERCOM INDUSTRIAL SAC</t>
  </si>
  <si>
    <t>SOLUCIONES INGENIERIA CONSULTORIA SEGURIDAD Y AMBIENTE SAC</t>
  </si>
  <si>
    <t>ELEVACION Y AUTOMATIZACION S.A.C.</t>
  </si>
  <si>
    <t>MAITA VIVANCO WILBER DANIEL</t>
  </si>
  <si>
    <t>BRACK IMPORT EIRL</t>
  </si>
  <si>
    <t>DISTRIBUIDORA KERAMIK F &amp; G E.I.R.L.</t>
  </si>
  <si>
    <t>INVERSIONES Y SERVICIOS GRLES MILANO EIRL</t>
  </si>
  <si>
    <t>HFK COMBUSTIBLES S.A.C.</t>
  </si>
  <si>
    <t>GAES REPRESENTACIONES E.I.R.L.</t>
  </si>
  <si>
    <t>CENTRO REGIONAL DE NOTICIAS S.R.L.</t>
  </si>
  <si>
    <t>VALDERRAMA SALAZAR HERACLIDES</t>
  </si>
  <si>
    <t>201905, 201904, 201903, 201902, 201901, 201812, 201806, 201805, 201804, 201803, 201802, 201801, 201712, 201711, 201710</t>
  </si>
  <si>
    <t>C.E.I.P. MI PEQUENO MUNDO</t>
  </si>
  <si>
    <t>200608</t>
  </si>
  <si>
    <t>GONZALES DEL VALLE LEIVA JULIO CESAR</t>
  </si>
  <si>
    <t>CONSTRUCTORA GUERRERO EIRL</t>
  </si>
  <si>
    <t>ROJMIN MAQUINARIAS PERÃš S.A.C.</t>
  </si>
  <si>
    <t>ENZOS TEKNOLOGI   CONSTRUCCION E.I.R.L.</t>
  </si>
  <si>
    <t>EMPRESA DE SERVICIOS GENERALES PAOLO LO  EIRL</t>
  </si>
  <si>
    <t>L Y L PATINES E.I.R.L.</t>
  </si>
  <si>
    <t>CONSORCIO PRIMAVERA</t>
  </si>
  <si>
    <t>INDUSTRIAS EL CISNE SAC</t>
  </si>
  <si>
    <t>ORIA CUSTODIO ROGER ZENON</t>
  </si>
  <si>
    <t>JIMENEZ CARRASCO JUAN ANTONIO</t>
  </si>
  <si>
    <t>Loayza Yupanqui France</t>
  </si>
  <si>
    <t>CRUZ POLO JAVIER WILDER</t>
  </si>
  <si>
    <t>INVERSIONES LUCIERNAGA E.I.R.L.</t>
  </si>
  <si>
    <t>EGUREN SERVICIOS SOCIEDAD ANONIMA CERRADA</t>
  </si>
  <si>
    <t>M Y A TIRE SAC</t>
  </si>
  <si>
    <t>C3 Extintores SAC</t>
  </si>
  <si>
    <t>INVERSIONES MULTIPLES DORKA  JM  SAC</t>
  </si>
  <si>
    <t>AC LIMP SERVICIOS GENERALES E.I.R.L.</t>
  </si>
  <si>
    <t>FURNINOX S.A.C</t>
  </si>
  <si>
    <t>OROBUS SOCIEDAD ANONIMA CERRADA</t>
  </si>
  <si>
    <t>B E MULTISERVICIOS INTEGRALES S.A.C.</t>
  </si>
  <si>
    <t>ASTRA ELECTRIC PERU E.I.R.L</t>
  </si>
  <si>
    <t>RODRIGUEZ BOCANEGRA CHRISTIAN JESUS</t>
  </si>
  <si>
    <t>POLICLINICO GREEN SOCIEDAD ANONIMA CERRADA</t>
  </si>
  <si>
    <t>202505, 202504, 202503, 202502</t>
  </si>
  <si>
    <t>GRUPO MATIC S.A.C.</t>
  </si>
  <si>
    <t>AYNE PERU TRINITARIAS SOLIDARIDAD Y DESARROLLO</t>
  </si>
  <si>
    <t>JOSE URQUIZO OLAECHEA ABOGADOS SAC</t>
  </si>
  <si>
    <t>200601</t>
  </si>
  <si>
    <t>PANEZ ISHIDA FAESA</t>
  </si>
  <si>
    <t>200001</t>
  </si>
  <si>
    <t>ABARCA CARRION MARIBEL</t>
  </si>
  <si>
    <t>ZEVALLOS ADRIANO CLAUDIA GUADALUPE</t>
  </si>
  <si>
    <t>OBREGON HUAMAN LIZ KATERIN</t>
  </si>
  <si>
    <t>TRANSPORTES MIGUEL EIRL</t>
  </si>
  <si>
    <t>Boas Inversiones SAC</t>
  </si>
  <si>
    <t>RAMIREZ Y ESCURRA DECORACIONES SAC</t>
  </si>
  <si>
    <t>M Y A GLOBAL E.I.R.L.</t>
  </si>
  <si>
    <t>M Y M SERVICIOS DENTALES SAC</t>
  </si>
  <si>
    <t>JEAL SERVICIOS GENERALES E.I.R.L.</t>
  </si>
  <si>
    <t>AESA GROUP BUSINESS SAC</t>
  </si>
  <si>
    <t>FUTURA INVERSION DANA S.A.C.</t>
  </si>
  <si>
    <t>BIENESTAR Y SALUD UNIVERSAL EIRL</t>
  </si>
  <si>
    <t>COPARA LLANOS JANET VIOLETA</t>
  </si>
  <si>
    <t>SEXAVE PERU EIRL</t>
  </si>
  <si>
    <t>LUGUAL SAC</t>
  </si>
  <si>
    <t>TEJICROCH SAC</t>
  </si>
  <si>
    <t>MENDOZA RAFAEL DAVID</t>
  </si>
  <si>
    <t>RCR CONSORCIO EDUCATIVO SOCIEDAD ANONIMA</t>
  </si>
  <si>
    <t>K Y K TRADING EIRL</t>
  </si>
  <si>
    <t>200206, 200106</t>
  </si>
  <si>
    <t>MOEBIUS SINGER MANFRED</t>
  </si>
  <si>
    <t>EMPRESA COMERCIAL ELE EIRL</t>
  </si>
  <si>
    <t>SOLOIMAGEN EIRL</t>
  </si>
  <si>
    <t>DV CONTRATISTA  TECNICOS CONSTRUCTORES SAC</t>
  </si>
  <si>
    <t>SGS SERVICIOS GENERALES S.A.C.</t>
  </si>
  <si>
    <t>YARELY DISTRIBUCIONES DEL SUR EIRL</t>
  </si>
  <si>
    <t>VASPER MEDEX SOCIEDAD COMERCIAL DE RESPONSABILIDAD LIMITADA</t>
  </si>
  <si>
    <t>BANANOS ORGANICOS SOL DE ORO SAC</t>
  </si>
  <si>
    <t>CAUTIVO INMOBILIARIA y CONSTRUCTORA PIURA SOCIEDAD ANONIMA C</t>
  </si>
  <si>
    <t>OLAS DEL PACIFICO E.I.R.L.</t>
  </si>
  <si>
    <t>SERVICIOS LOGISTICOS TJEL S.A.C.</t>
  </si>
  <si>
    <t>INSTITUCION EDUCATIVA JHON F. KENNEDY S.A.C.</t>
  </si>
  <si>
    <t>RAW BAR SAC</t>
  </si>
  <si>
    <t>CORDOVA RIOS PEDRO ALEX</t>
  </si>
  <si>
    <t>SERVICIOS INFORMATICOS CONTABLES ECOCONT S.R.L.</t>
  </si>
  <si>
    <t>New Life International E.I.R.L.</t>
  </si>
  <si>
    <t>COOPERATIVA AGRARIA DE PRODUCTORES RAIZ Y VIDA JIBITO</t>
  </si>
  <si>
    <t>INVERSIONES JUNDOCA SAC.</t>
  </si>
  <si>
    <t>DISTRIBUIDORA HORTEGA S.R.L.</t>
  </si>
  <si>
    <t>202202, 202201</t>
  </si>
  <si>
    <t>RODAS CARRION CRISTIAN RULLY</t>
  </si>
  <si>
    <t>DIGASCOM EIRL</t>
  </si>
  <si>
    <t>DERMACUORE E.I.R.L.</t>
  </si>
  <si>
    <t>CONSTRUCTORA ARA ATLANTIC S.A.C.</t>
  </si>
  <si>
    <t>Global Iplus E.I.R.L-</t>
  </si>
  <si>
    <t>COMSERMALU EIRL</t>
  </si>
  <si>
    <t>WISA TEC EIRL</t>
  </si>
  <si>
    <t>KMC COMPAÃ‘IA DE ALIMENTOS S.A.C.</t>
  </si>
  <si>
    <t>NET LOOKING E.I.R.L.</t>
  </si>
  <si>
    <t>NANCY LAMAN RIVERA</t>
  </si>
  <si>
    <t>CREZCO JUGANDO E.I.R.L.</t>
  </si>
  <si>
    <t>INVERSIONES MACCLA SA</t>
  </si>
  <si>
    <t>ASESORES DE SEGURIDAD Y SALUD OCUPACIONAL ASOCIADOS SAC</t>
  </si>
  <si>
    <t>C y R EQUIPOS SOLUCIONES TECNOLOGICAS S.A.C.</t>
  </si>
  <si>
    <t>AGROSERVICIOS CONVET E.I.R.L</t>
  </si>
  <si>
    <t>LÃ“PEZ FLOR WALTER ALEJANDRO</t>
  </si>
  <si>
    <t>D SABORES AQP EIRL</t>
  </si>
  <si>
    <t>202506, 202503, 202507, 202505, 202504, 202502</t>
  </si>
  <si>
    <t>INVERSIONES Y NEGOCIOS CALLUPE S.A.C</t>
  </si>
  <si>
    <t>DIGITAL PROCESS S.A.C.</t>
  </si>
  <si>
    <t>202411</t>
  </si>
  <si>
    <t>INFO EXPERT SAC</t>
  </si>
  <si>
    <t>200812, 200612</t>
  </si>
  <si>
    <t>COMERCIAL CASA DEL CARPINTERO SAC</t>
  </si>
  <si>
    <t>200603, 200602</t>
  </si>
  <si>
    <t>MAC CONSTRUCTORA SAC</t>
  </si>
  <si>
    <t>INVERSIONES LAVZUR S.A.C.</t>
  </si>
  <si>
    <t>TRANSPORTES ESTRELLA DE DAVID CARS S.A.C.</t>
  </si>
  <si>
    <t>NUTRICION ES ESCENCIAL S.A.C.</t>
  </si>
  <si>
    <t>SAN JOSE INGENIERIA Y PROYECTOS S.A.C.</t>
  </si>
  <si>
    <t>ETNIKAS TRAVEL Y CRAFTS SCRLtda.</t>
  </si>
  <si>
    <t>200901</t>
  </si>
  <si>
    <t>JFG CORPORATION SAC</t>
  </si>
  <si>
    <t>202405, 202404</t>
  </si>
  <si>
    <t>PRODUCTOS QUIMICOS INDUSTRIALES SA</t>
  </si>
  <si>
    <t>200705</t>
  </si>
  <si>
    <t>Etiquetas de fila</t>
  </si>
  <si>
    <t>Total general</t>
  </si>
  <si>
    <t>Oct</t>
  </si>
  <si>
    <t>3-Oct</t>
  </si>
  <si>
    <t>4-Oct</t>
  </si>
  <si>
    <t>6-Oct</t>
  </si>
  <si>
    <t>7-Oct</t>
  </si>
  <si>
    <t>9-Oct</t>
  </si>
  <si>
    <t>Suma de Suma Total</t>
  </si>
  <si>
    <t>CEGNE SAN SEBASTIAN</t>
  </si>
  <si>
    <t>202508, 202507</t>
  </si>
  <si>
    <t>SUPERDIAG GROUP S.A.C.</t>
  </si>
  <si>
    <t>202508, 202507, 202506</t>
  </si>
  <si>
    <t>CORPORACION SEPTIEMBRE S.A.C.</t>
  </si>
  <si>
    <t>202508</t>
  </si>
  <si>
    <t>TUNKY SOLUCIONES AMBIENTALES S.A.C.</t>
  </si>
  <si>
    <t>ELOHIM SERVICE E.I.R.L.</t>
  </si>
  <si>
    <t>GRUPO DE MERCADEO 360 S.A.</t>
  </si>
  <si>
    <t>JOSE TENORIO GOMEZ</t>
  </si>
  <si>
    <t>202508, 202507, 202506, 202505, 202504, 202503</t>
  </si>
  <si>
    <t>MAXIMILIANO RAFAEL ALEJO MONTES</t>
  </si>
  <si>
    <t>ANA MARIA VALENCIA JIMENEZ</t>
  </si>
  <si>
    <t>CIA Z DE MOVILIDAD Y MENSAJERIA SRL</t>
  </si>
  <si>
    <t>PIZZAS SANTA CLARA E.I.R.L.</t>
  </si>
  <si>
    <t>202508, 202507, 202505, 202506</t>
  </si>
  <si>
    <t>TRANSPORTES LAMT EIRL</t>
  </si>
  <si>
    <t>J Y M 1531 S.A.C.</t>
  </si>
  <si>
    <t>202508, 201812</t>
  </si>
  <si>
    <t>GRUPO CASIR SAC</t>
  </si>
  <si>
    <t>INSTITUTO DE CIENCIA Y TECNOLOGIA ICIT E.I.R.L.</t>
  </si>
  <si>
    <t>INVERSIONES IKER JOSE M Y M S.A.C.</t>
  </si>
  <si>
    <t>MG INDUSTRIA Y COMERCIO S.A.C</t>
  </si>
  <si>
    <t>GRUPO CASUVE S.A.C.</t>
  </si>
  <si>
    <t>INGENIEROS ELECTRICOS DEL NORTE SAC</t>
  </si>
  <si>
    <t>CERRITO NORTEÃ‘O FAMILIAR E.I.R.L.</t>
  </si>
  <si>
    <t>MULTITIENDAS DON DURO EIRL</t>
  </si>
  <si>
    <t>AGROSUR LA JOYA S.A.C.</t>
  </si>
  <si>
    <t>MULTIMARKET PARACAS S.A.C.</t>
  </si>
  <si>
    <t>MAQUINRENT EIRL</t>
  </si>
  <si>
    <t>202507, 202506, 202505, 202504, 202508</t>
  </si>
  <si>
    <t>SERVICIOS Y REPUESTOS GENERALES N &amp; N E.I.R.L.</t>
  </si>
  <si>
    <t>TAPPOYO FINTECH SAC</t>
  </si>
  <si>
    <t>202507, 202508</t>
  </si>
  <si>
    <t>INVERSIONES ELI MM SAC</t>
  </si>
  <si>
    <t>MAREA97 S.A.C.</t>
  </si>
  <si>
    <t>TOP LINE TRANSPORTES EIRL</t>
  </si>
  <si>
    <t>202503, 202502, 202504</t>
  </si>
  <si>
    <t>Professional Quality SRL</t>
  </si>
  <si>
    <t>INVERSIONES MELDAR SAC</t>
  </si>
  <si>
    <t>XTREME  PLAZA SAC</t>
  </si>
  <si>
    <t>ARKHES CONTRATISTAS GENERALES SAC</t>
  </si>
  <si>
    <t>W ANGELES SERVICIOS GENERALES</t>
  </si>
  <si>
    <t>EPQ S.A.C.</t>
  </si>
  <si>
    <t>202508, 202507, 202506, 202505</t>
  </si>
  <si>
    <t>GRUSEG JIMENEZ S.A.C.</t>
  </si>
  <si>
    <t>SOLUCIONES INTEGRALES DE FITNESS SAC</t>
  </si>
  <si>
    <t>CENTRO NEFROLOGICO ALBERTO SAC</t>
  </si>
  <si>
    <t>TRANSPORTE Y CONSECIONARIO DE ALIMENTOS EL MANA SAC</t>
  </si>
  <si>
    <t>EMBOTELLADORA CAMPO VERDE S.A.C.</t>
  </si>
  <si>
    <t>ENFIVAL TRANSPORTE GENERALES EIRL</t>
  </si>
  <si>
    <t>VERIM SERVICIOS DE INGENIERIA E.I.R.L.</t>
  </si>
  <si>
    <t>ENDEAVOR E.I.R.L.</t>
  </si>
  <si>
    <t>SUMAQ YACHAYWASI CARRION SCRL</t>
  </si>
  <si>
    <t>LIVING GREEN INTERNATIONAL S.A.C.</t>
  </si>
  <si>
    <t>CS-3 INGENIEROS E.I.R.L.</t>
  </si>
  <si>
    <t>IMPORTADORA Y DISTRIBUIDORA ARIANA EIRL</t>
  </si>
  <si>
    <t>ANGELICA S y P E.I.R.L.</t>
  </si>
  <si>
    <t>TRANSPORTES Y SERVICIOS MELLIZOS S.A.C.</t>
  </si>
  <si>
    <t>GEP COMUNICACIONES SAC</t>
  </si>
  <si>
    <t>CONECTING RED SACS</t>
  </si>
  <si>
    <t>AGRO DISTRIBUIDORA AMARAL PIURA SAC</t>
  </si>
  <si>
    <t>AMERICAN LOGISTICS GROUP Y ASSOCIATES SAC</t>
  </si>
  <si>
    <t>INVERSIONES PISCA S.A.C.</t>
  </si>
  <si>
    <t>CORPORACION OROPEL S.A.C.</t>
  </si>
  <si>
    <t>ANGULO VDA.DE IDROGO ENITH</t>
  </si>
  <si>
    <t>TORRES USCAMAYTA RENE</t>
  </si>
  <si>
    <t>CENTRAL SYSTEM S.A.C</t>
  </si>
  <si>
    <t>202506, 202508, 202507</t>
  </si>
  <si>
    <t>SAMIRIA JUNGLE HOTEL EIRL</t>
  </si>
  <si>
    <t>OKANE PERUVIAN AND CHINESE FOOD EIRL</t>
  </si>
  <si>
    <t>BACA GOMEZ MARIA SEGUNDA</t>
  </si>
  <si>
    <t>202505, 202508, 202507, 202506</t>
  </si>
  <si>
    <t>UNION GASTRO SAC</t>
  </si>
  <si>
    <t>J. BUILDING E.I.R.L.</t>
  </si>
  <si>
    <t>OLASCUAGA QUESADA DE AYALA MARIA</t>
  </si>
  <si>
    <t>202508, 202507, 202506, 202505, 202504</t>
  </si>
  <si>
    <t>ROLANDO CHOQUE ITO</t>
  </si>
  <si>
    <t>N.J.E. CONTRATISTAS SOCIEDAD ANONIMA CERRADA</t>
  </si>
  <si>
    <t>YAHVE MINERIA Y CONSTRUCCION EIRL</t>
  </si>
  <si>
    <t>SABOR A PERU S.A.C.</t>
  </si>
  <si>
    <t>DUBAI S.A.C</t>
  </si>
  <si>
    <t>202505, 202504, 202507, 202506, 202508</t>
  </si>
  <si>
    <t>JS CONSULTORIA &amp; CONSTRUCCION EIRL</t>
  </si>
  <si>
    <t>EUSEBIO ZAPATA ARAPA</t>
  </si>
  <si>
    <t>JOSE LUIS HERNANDEZ CRUZ</t>
  </si>
  <si>
    <t>202508, 202507, 202505, 202504, 202506</t>
  </si>
  <si>
    <t>MUEBLERIA Y DECORACIONES MAYO E HIJOS EIRL</t>
  </si>
  <si>
    <t>LABORATORIOS NUTRASURE S.A.C.</t>
  </si>
  <si>
    <t>COPMEC E.I.R.L.</t>
  </si>
  <si>
    <t>INTEXJHK S.A.C</t>
  </si>
  <si>
    <t>PERUVIAN BUSINESS CONSULTING SAC</t>
  </si>
  <si>
    <t>EDICIONES TECNOLOGICAS Y CIENTIFICAS S.A.C.</t>
  </si>
  <si>
    <t>MINERA EL GRAN AMANECER SAC</t>
  </si>
  <si>
    <t>MAYADIRI E.I.R.L.</t>
  </si>
  <si>
    <t>GRUPO CARTRANSAVILL SAC</t>
  </si>
  <si>
    <t>GRUPO DETECTTO SAC</t>
  </si>
  <si>
    <t>OBRAS Y PROYECTOS J Y M S.A.C.</t>
  </si>
  <si>
    <t>NIMASUR AUTOMOTRIZ S.A.C.</t>
  </si>
  <si>
    <t>SERVICIO Y DISTRIBUCION VALENTINA S.A.C.</t>
  </si>
  <si>
    <t>CONSULTORIA Y SERVICIOS GENERALES R Y V EIRL</t>
  </si>
  <si>
    <t>GyM ENERGY SAC</t>
  </si>
  <si>
    <t>BARRA FUTURA SAC</t>
  </si>
  <si>
    <t>CORPORACION AGRANZA SAC</t>
  </si>
  <si>
    <t>TEXTIPLAST SUPPLY S.A.C.</t>
  </si>
  <si>
    <t>ESTRUCTURAS METALICAS TECD S.A.C.</t>
  </si>
  <si>
    <t>LOGISTICA ANDES DEL NORTE SAC</t>
  </si>
  <si>
    <t>CONSORCIO HOZEGA</t>
  </si>
  <si>
    <t>A Y M04 S.A.C.</t>
  </si>
  <si>
    <t>CLINT PERU EIRL</t>
  </si>
  <si>
    <t>CONSORCIO VIAL KUELAP</t>
  </si>
  <si>
    <t>Wayra transporte de carga sociedad anÃ³nima cerrada</t>
  </si>
  <si>
    <t>CONSORCIO NINABAMBA</t>
  </si>
  <si>
    <t>PUBLICACIONES PACIFICO SAC</t>
  </si>
  <si>
    <t>CONSORCIO OPTIMUS S.R.L.</t>
  </si>
  <si>
    <t>CMD CORPORACION AUTOMOTRIZ E.I.R.L.</t>
  </si>
  <si>
    <t>FRAGGA SERVICES EIRL</t>
  </si>
  <si>
    <t>MUNDO DENTAL EIRL</t>
  </si>
  <si>
    <t>201904, 201903, 201902, 201901, 201812</t>
  </si>
  <si>
    <t>FERNANDO GRANDEZ ZARATE</t>
  </si>
  <si>
    <t>MAQUI RUIZ BETTY MILAGROS</t>
  </si>
  <si>
    <t>PETRONILA JENNY PARI SOTO</t>
  </si>
  <si>
    <t>ALCANTARA TINCO OTILIA</t>
  </si>
  <si>
    <t>ESCALANTE ROSALES CINTHYA NATALI ENMA</t>
  </si>
  <si>
    <t>202508, 202507, 202506, 202504, 202503</t>
  </si>
  <si>
    <t>AKENPEC TRANSPORTES Y OPERACIONES LOGISTICAS S.A.C</t>
  </si>
  <si>
    <t>COOPERATIVA MINERA SANTA ROSA DE ANANEA LTDA</t>
  </si>
  <si>
    <t>TAHUA POTTERY SAC</t>
  </si>
  <si>
    <t>Impresos Graficos Comerciales EIRL</t>
  </si>
  <si>
    <t>REMAN CONSTRUCCIONES E INMOBILIARIA SAC</t>
  </si>
  <si>
    <t>CENTRO DE SALUD RENAL SAN MATIAS S.A.C.</t>
  </si>
  <si>
    <t>J Y N GROUP INSTALL WORLD S.A.C. - INSTALL WORLD S.A.C.</t>
  </si>
  <si>
    <t>IEP NUESTRA SENORA DEL ROSARIO SOCIEDAD COMERCIAL DE RESPON</t>
  </si>
  <si>
    <t>TRANSPORTES OMAR DAGA VALDIVIESO S.A.C.</t>
  </si>
  <si>
    <t>GRUPO GOLDEN SERVICE EIRL</t>
  </si>
  <si>
    <t>TACONSER E.I.R.L.</t>
  </si>
  <si>
    <t>DAISMOL CONTRATISTAS GENERALES S.A.C.</t>
  </si>
  <si>
    <t>ARCES SOLUTIONS E.I.R.L.</t>
  </si>
  <si>
    <t>202508, 202507, 202506, 202505, 202504, 202503, 202502, 202501</t>
  </si>
  <si>
    <t>COMERCIALIZADORA GUIROM SRL</t>
  </si>
  <si>
    <t>ANTARES MANTENIMIENTO INDUSTRIAL SAC</t>
  </si>
  <si>
    <t>JHONSON SOLUTIONS S.A.C.</t>
  </si>
  <si>
    <t>A Y M CONSTRUCTORA SOCIEDAD ANONIMA CERRADA</t>
  </si>
  <si>
    <t>DISTRIBUIDORA E IMPORTACIONES REYNA S.A.C.</t>
  </si>
  <si>
    <t>LPF FRANCHISING S.A.C</t>
  </si>
  <si>
    <t>UROGARDI S.A.C.</t>
  </si>
  <si>
    <t>INVERSIONES CORAZON PURO PERU E.I.R.L.</t>
  </si>
  <si>
    <t>CONSTRUCTORA E INMOBILIARIA CHIRA VERDE S.A.C.</t>
  </si>
  <si>
    <t>PETGO AGENCIA DE VIAJES DE ANIMALES DE COMPAÃ‘IA E.I.R.L.</t>
  </si>
  <si>
    <t>SALUD MI AMOR S.A.C.</t>
  </si>
  <si>
    <t>RODRIGO PLASTICS E.I.R.L.</t>
  </si>
  <si>
    <t>TDD INVERSIONES SAC</t>
  </si>
  <si>
    <t>GRUPO BENICK LATAMSERVICE S.A.C</t>
  </si>
  <si>
    <t>ALEGRE TORRES DIANA YESSICA</t>
  </si>
  <si>
    <t>AGROPECUARIA DUMAN S.A.C.</t>
  </si>
  <si>
    <t>STUDIO 27 CREATING BEAUTY S.A.C.</t>
  </si>
  <si>
    <t>HEPAS MAQUINARIAS EIRL</t>
  </si>
  <si>
    <t>202404, 202403, 202402</t>
  </si>
  <si>
    <t>GRUPO BAX SAC</t>
  </si>
  <si>
    <t>202305, 202304</t>
  </si>
  <si>
    <t>JYM BRUDER S.A.C.</t>
  </si>
  <si>
    <t>202202, 202201, 202112, 202111, 202110, 202109, 202108, 202107, 202106, 202105, 202004, 202003, 202002, 202001, 201912, 201911, 202212, 202211, 202210, 202209, 202208, 202207, 202206, 202205, 202204, 202203, 202402, 202401, 202312, 202311, 202310, 202309, 202308, 202307, 202306, 202305, 202304, 202303, 202302, 202301, 202501, 202412, 202411, 202410, 202409, 202408, 202407, 202406, 202405, 202404, 202403, 202508, 202507, 202506, 202505, 202504, 202503, 202502</t>
  </si>
  <si>
    <t>TRANSPÃ“RTES NUEVO HORIZONTE Y.M. EIRL</t>
  </si>
  <si>
    <t>CRUZ MORANTE JOHANNA</t>
  </si>
  <si>
    <t>201101</t>
  </si>
  <si>
    <t>REDIRECCIONAMIENTO</t>
  </si>
  <si>
    <t>DISTRIBUIDORA MADEX SOCIEDAD ANONIMA CERRADA</t>
  </si>
  <si>
    <t>201406</t>
  </si>
  <si>
    <t>CORPORACION ELECTRO SVM E.I.R.L.</t>
  </si>
  <si>
    <t>201411, 201412, 201501, 201502</t>
  </si>
  <si>
    <t>LANGUAGE TRAINING CENTER PERU SA</t>
  </si>
  <si>
    <t>200807, 200808, 200809, 200810, 200811, 200812, 200902, 200903, 200904, 201008, 201012</t>
  </si>
  <si>
    <t>SERVICIOS TECNICOS DE INGENIERIA INDUSTRIAL METALICA SOCIEDAD COMERCIAL DE RESPONSABILIDAD LIMITADA</t>
  </si>
  <si>
    <t>200801, 200802, 200803, 200804</t>
  </si>
  <si>
    <t>LLERENA CANO DOBERT GUIDO</t>
  </si>
  <si>
    <t>VALLADOLID RODRIGUEZ MILAGRITOS PRISVETT</t>
  </si>
  <si>
    <t>Karin Rosario Ticona Barbaran</t>
  </si>
  <si>
    <t>ALEJANDRA JAKELINA VENTURA ABAD</t>
  </si>
  <si>
    <t>EMPRESA DE INGENIERIA Y MONTAJE S.A.C.</t>
  </si>
  <si>
    <t>LADRILLOS MURALLA S.C.RLTDA</t>
  </si>
  <si>
    <t>ALMANZA Y ROJAS CONTRATISTAS EIRL</t>
  </si>
  <si>
    <t>C Y R EDUCA SAC</t>
  </si>
  <si>
    <t>DISTRIBUIDORA NIGXA S.A.C.</t>
  </si>
  <si>
    <t>grupo gyd sac</t>
  </si>
  <si>
    <t>H L H CONTRATISTA GENERALES SAC</t>
  </si>
  <si>
    <t>AGRONEGOCIOS SOGASIM S.A.C.</t>
  </si>
  <si>
    <t>AYLA MEDIC S.A.C.</t>
  </si>
  <si>
    <t>M Y M RESOLVE SOLUTIONS SAC</t>
  </si>
  <si>
    <t>MULTISERVIS CGA S.A.C.</t>
  </si>
  <si>
    <t>TRANSPORTES Y LIMPIEZA OCCO S.A.C.</t>
  </si>
  <si>
    <t>EMPRESA DE TRANSPORTE Y SERVICIOS MULTIPLES  JVG SRL</t>
  </si>
  <si>
    <t>JLP CONTRATISTAS GENERALES S.A.C.</t>
  </si>
  <si>
    <t>JRJ PORTATIL PERÃš S.A.C.</t>
  </si>
  <si>
    <t>202202, 202201, 202112</t>
  </si>
  <si>
    <t>CEP CHRISTIAN BARNARD SAC</t>
  </si>
  <si>
    <t>INACONS INGENIERIA Y CONSTRUCCION SOCIEDAD ANONIMA CERRADA</t>
  </si>
  <si>
    <t>INVERSIONES Y SERVICIOS TARMA SAC</t>
  </si>
  <si>
    <t>202503, 202505, 202504, 202507, 202506</t>
  </si>
  <si>
    <t>CORONEL NEIRA VANESSA JACQUELINE</t>
  </si>
  <si>
    <t>COMPURED SAC</t>
  </si>
  <si>
    <t>CORPORACION TOMMY SAC</t>
  </si>
  <si>
    <t>CENTRO DE SERVICIOS PRODUCCION Y ORIENTACION FAMILIAR</t>
  </si>
  <si>
    <t>CONSORCIO SALUD EDUCATIVA COBBA SRL</t>
  </si>
  <si>
    <t>EMPRESA DE SERVICIOS MULTIPLES RAMON CASTILLA S.A.</t>
  </si>
  <si>
    <t>GLOBAL SKY SAC</t>
  </si>
  <si>
    <t>NEGOCIACIONES FERRYCENTER SAC</t>
  </si>
  <si>
    <t>MOLINOS MAIZAR PERU SAC</t>
  </si>
  <si>
    <t>CONTRATISTAS Y SERVICIOS HEMA S.R.L.</t>
  </si>
  <si>
    <t>EMPRESA DE TRANSPORTE A.G. PERU S.A.C.</t>
  </si>
  <si>
    <t>AGROINDUSTRIAL AGK TRADING SOCIEDAD ANONIMA CERRADA</t>
  </si>
  <si>
    <t>202508, 202507, 202506, 202505, 202504, 202503, 202502</t>
  </si>
  <si>
    <t>ACTION MEDIC S.A.C.</t>
  </si>
  <si>
    <t>ADVICE Y  MANAGEMENT IN CONSULTANCY E.I.R.L.</t>
  </si>
  <si>
    <t>infinity co Beauty salon sac</t>
  </si>
  <si>
    <t>CONSORCIO PAVIMENTADOR DEL NORTE</t>
  </si>
  <si>
    <t>MSM GENERACION DE DEMANDA S.A.C.</t>
  </si>
  <si>
    <t>EMPRESA DE TRANSPORTE MULTISERVICIOS J.P. RACING S.A.C.</t>
  </si>
  <si>
    <t>CORPORACION AMBIOR E.I.R.L.</t>
  </si>
  <si>
    <t>202506, 202508</t>
  </si>
  <si>
    <t>ASYM INDUSTRIAL S.A.C.</t>
  </si>
  <si>
    <t>W VIAL SRL</t>
  </si>
  <si>
    <t>ADMINISTRACION DE SERVICIOS MEDICOS SA</t>
  </si>
  <si>
    <t xml:space="preserve"> COPY FAST TECH S.A.C.</t>
  </si>
  <si>
    <t>200908, 200909, 200911, 200912, 201001, 201002, 201003, 201005, 201006, 201007, 201008, 201009, 201011, 201012</t>
  </si>
  <si>
    <t>HUGO DAVID CALDAS VIA</t>
  </si>
  <si>
    <t>MAGNOLIA ROSARIO SERRANO ABARCA</t>
  </si>
  <si>
    <t>PAUCAR YALAN JANETH VIRGINIA</t>
  </si>
  <si>
    <t>HARDWARE AND BUSINESS</t>
  </si>
  <si>
    <t>EMPRESA DE TRANSPORTES PICKMAN SRL</t>
  </si>
  <si>
    <t>MAIDO PERU S.A.C.</t>
  </si>
  <si>
    <t>VIGIZA CARGO S A C</t>
  </si>
  <si>
    <t>LABORATORIO CLINICO RSC SAC.</t>
  </si>
  <si>
    <t>HEALTHY CHOCOLATE S.A.C.</t>
  </si>
  <si>
    <t>CHILIA REPRESENTACIONES ESPINOZA E.I.R.L.</t>
  </si>
  <si>
    <t>COLEGIO PRIVADO PABLO NERUDA EIRL</t>
  </si>
  <si>
    <t>LAUSTIN S.A.C.</t>
  </si>
  <si>
    <t>ESENCIAL ARQUITECTO S.A.C</t>
  </si>
  <si>
    <t>MILAGROS TE ASESORA E.I.R.L.</t>
  </si>
  <si>
    <t>COMPAÃ‘IA DE ALIMENTOS JIMENEZ E.I.R.L</t>
  </si>
  <si>
    <t>CONSTRUCMARC EIRL</t>
  </si>
  <si>
    <t>YSELMIX S.A.C.</t>
  </si>
  <si>
    <t>202507, 202508, 202506</t>
  </si>
  <si>
    <t>MERCELAB FARMA S.A.C.</t>
  </si>
  <si>
    <t>TIPROC TECNOLOGIA Y PROCESOS E.I.R.L.</t>
  </si>
  <si>
    <t>GLOBAL TRANS SAC</t>
  </si>
  <si>
    <t>NANOTECHNOLOGY SAC</t>
  </si>
  <si>
    <t>202412, 202411, 202410, 202212</t>
  </si>
  <si>
    <t>FAYA ASCENCIO MARIA EUGENIA</t>
  </si>
  <si>
    <t>202003</t>
  </si>
  <si>
    <t>200201, 200111, 200110, 200109, 200108, 200106</t>
  </si>
  <si>
    <t>CORPORACION EBRO ANDES DE INVERSION S.A.C</t>
  </si>
  <si>
    <t>201410, 201411, 201412, 201502, 201503, 201504, 201505, 201506, 201508, 201509, 201510, 201511, 201512</t>
  </si>
  <si>
    <t>EL AUTENTICO SABOR TRUJILLANO S.A.C.</t>
  </si>
  <si>
    <t>201403, 201404, 201405, 201406, 201407, 201409, 201410, 201411, 201412, 201501, 201503, 201504, 201505, 201506, 201507, 201509, 201510, 201511, 201512, 201601</t>
  </si>
  <si>
    <t>BELEN DISTRIBUCIONES EMPRESA INDIVIDUAL DE RESPONSABILIDAD LIMITADA</t>
  </si>
  <si>
    <t>201010, 201011, 201101, 201102, 201103, 201104, 201105, 201107, 201108, 201109, 201110, 201111, 201201, 201202, 201203, 201204</t>
  </si>
  <si>
    <t>PEPE PAULINO CARPIO ALE</t>
  </si>
  <si>
    <t>Augusto Sebastian Quiroz Loza</t>
  </si>
  <si>
    <t>VELASQUEZ LORENZO JESUS ABEL</t>
  </si>
  <si>
    <t>VIMAPE SAC</t>
  </si>
  <si>
    <t>LUSATEX E.I.R.L.</t>
  </si>
  <si>
    <t>LA ESTRELLA TRADING Y LOGISTICA SAC</t>
  </si>
  <si>
    <t>JUUNTA DE PROPIETARIOS EDIFICIO RESIDENCIAL BONAVISTA</t>
  </si>
  <si>
    <t>PROYECTOS Y DISEÃ‘OS EN INGENIERIA PERU S.A.C.</t>
  </si>
  <si>
    <t>202508, 202507, 202506, 202505, 202504, 202503, 202502, 202501, 202412</t>
  </si>
  <si>
    <t>MULTISERVICIOS DENTAL MEDIC S.R.L</t>
  </si>
  <si>
    <t>LINGYANG SAC</t>
  </si>
  <si>
    <t>TRANSPORTES MINEROS ANDINOS S.A.C</t>
  </si>
  <si>
    <t>SERVIMAX Y PETROLEOS E.I.R.L.</t>
  </si>
  <si>
    <t>COBERTURAS DEL NORTE SRL</t>
  </si>
  <si>
    <t>VITAL ALIMENTACION SAC</t>
  </si>
  <si>
    <t>RCA CONSULTORES Y ASESORES EMPRESARIALES SAC</t>
  </si>
  <si>
    <t>PROCESADORA TUEROS S.A.C</t>
  </si>
  <si>
    <t>MAREAL CORPORACION SOCIEDAD ANONIMA CERRADA</t>
  </si>
  <si>
    <t>PROCESADORA CENTRAL DE CHOCOLATES DEL PERU SAC</t>
  </si>
  <si>
    <t>HUAROCHIRI MEDIC E.I.R.L.</t>
  </si>
  <si>
    <t>CONSORCIO NUEVA JERUSALEN 24</t>
  </si>
  <si>
    <t>MARSA MOTORS SAC</t>
  </si>
  <si>
    <t>SMART KIDS GLOBAL E.I.R.L.</t>
  </si>
  <si>
    <t>CORPORACION PERUANA GLOBAL SAC</t>
  </si>
  <si>
    <t>INVERSIONES Y NEGOCIOS BRICK S.A.C.</t>
  </si>
  <si>
    <t>CONSTRUCTORA  INMOBILIARIA NAVARRO E.I.R.L.</t>
  </si>
  <si>
    <t>SERVICIOS GENERALES DE REFRIGERACIÃ“N INDUSTRIAL SAC</t>
  </si>
  <si>
    <t>ELECSERTING S.R.L.</t>
  </si>
  <si>
    <t>202505, 202504, 202503, 202508, 202507, 202506</t>
  </si>
  <si>
    <t>PANTERA FITNESS GROUP S.A.C.</t>
  </si>
  <si>
    <t>202505, 202506, 202507, 202508</t>
  </si>
  <si>
    <t>ALGARROBOS ORGANICOS DEL PERU SAC</t>
  </si>
  <si>
    <t>SOLUCIONES DENTO GENERALES S.A.C.</t>
  </si>
  <si>
    <t>FLORERIAS FLORES Y DETALLES S.A.C.</t>
  </si>
  <si>
    <t>CONSORCIO VIAL BRM</t>
  </si>
  <si>
    <t>REPRESENTACIONES QBAS LU S.A.C.</t>
  </si>
  <si>
    <t>202104, 202103, 202102, 202101, 202012</t>
  </si>
  <si>
    <t>segurinport srl</t>
  </si>
  <si>
    <t>202003, 202002</t>
  </si>
  <si>
    <t>DELFA AMALIA VALERA DAZA</t>
  </si>
  <si>
    <t>201903</t>
  </si>
  <si>
    <t>201807, 201806, 201805</t>
  </si>
  <si>
    <t>INMOBILIARIA CASAS Y CONSTRUCCIONES SAC</t>
  </si>
  <si>
    <t>201206</t>
  </si>
  <si>
    <t>201008</t>
  </si>
  <si>
    <t>CEVA SALUD ANIMAL SAC</t>
  </si>
  <si>
    <t>200912</t>
  </si>
  <si>
    <t>RSC MULTISERVICIOS S.A.C.</t>
  </si>
  <si>
    <t>201408, 201409, 201407</t>
  </si>
  <si>
    <t>GONZALES DIAZ CAROLA BEATRIZ</t>
  </si>
  <si>
    <t>CRISTHIAN DAVID LEYVA ZULOETA</t>
  </si>
  <si>
    <t>CORPORACION LUOSEM CONSULTORES Y EJECUTORES S.R.L.</t>
  </si>
  <si>
    <t>INVERSIONES AMPSOES SA</t>
  </si>
  <si>
    <t>ENVASES SAN NICOLAS SAC</t>
  </si>
  <si>
    <t>M &amp; Y SERVICONT SCRL</t>
  </si>
  <si>
    <t>M Y M MEDICAL SAC</t>
  </si>
  <si>
    <t>GRUPO SQI CONSTRUCTORA E INMOBILIARIA SAC</t>
  </si>
  <si>
    <t>ACABADOS GRANIRUMI S.A.C.</t>
  </si>
  <si>
    <t>COPELSUR SAC</t>
  </si>
  <si>
    <t>FIBER BUSINESS SAC</t>
  </si>
  <si>
    <t>MERCALIZ CORPORATION SAC</t>
  </si>
  <si>
    <t>FUJI ELEVATOR TECHNOLOGY E.I.R.L.</t>
  </si>
  <si>
    <t>CORPORACION EOSUR E.I.R.L.</t>
  </si>
  <si>
    <t>MERCALIZ INVERSIONES S.A.C</t>
  </si>
  <si>
    <t>ALTARIA INFRAESTRUCTURA S.A.C.</t>
  </si>
  <si>
    <t>CONSORCIO PUENTE MIRAFLORES</t>
  </si>
  <si>
    <t>LOGISTICA Y TRANSPORTE MV E.I.R.L.</t>
  </si>
  <si>
    <t>PLANET CONSULTORES EIRL</t>
  </si>
  <si>
    <t>DISTRIBUIDORA DEL PACIFICO DEL PERU SAC</t>
  </si>
  <si>
    <t>202507, 202506, 202505, 202508</t>
  </si>
  <si>
    <t>CONSTRUCTORA  CONSULTORIA CUEVA S.A.C.</t>
  </si>
  <si>
    <t>ACC Y TECNOLOGIA S.A.C</t>
  </si>
  <si>
    <t>202507, 202504, 202503, 202502, 202501, 202412, 202410, 202409, 202408, 202407, 202406, 202405, 202404, 202403</t>
  </si>
  <si>
    <t>CONSTRUCCIONES Y NEGOCIOS DEL NORTE S.A.C.</t>
  </si>
  <si>
    <t>LMT INVERSIONES S.A.C.</t>
  </si>
  <si>
    <t>202506, 202505, 202504, 202508, 202507</t>
  </si>
  <si>
    <t>EXPORTABLES SAC</t>
  </si>
  <si>
    <t>jean carlo brian dominguez del castillo</t>
  </si>
  <si>
    <t>transportes de agregados romero srl</t>
  </si>
  <si>
    <t>OPERCOM LOGISTICA GLOBAL E.I.R.L.</t>
  </si>
  <si>
    <t>CORPORACION FREDERICK W TAYLOR SAC</t>
  </si>
  <si>
    <t>NEGOCIOS WILLY LLANOS SAC</t>
  </si>
  <si>
    <t>ERIQUE GUTIERREZ CARLOS JULIO</t>
  </si>
  <si>
    <t>202412, 202304</t>
  </si>
  <si>
    <t>TRANSPORTES AMAYCCASA EIRL</t>
  </si>
  <si>
    <t>202007</t>
  </si>
  <si>
    <t>FORESTALES DAXSA S.A.C.</t>
  </si>
  <si>
    <t>201201, 201202, 201203, 201204, 201206, 201207, 201208, 201209, 201210, 201212, 201301, 201302, 201303, 201304, 201305</t>
  </si>
  <si>
    <t>JACINTO PURIZACA MARTHA CRUZ</t>
  </si>
  <si>
    <t>MARIN DUEÃ‘AS MARIA ANGELICA</t>
  </si>
  <si>
    <t>EMPRESA CONSTRUCTORA CAMILA E.I.R.L.</t>
  </si>
  <si>
    <t>CASTAÃ‘EDA Y CASTAÃ‘EDA EIRL</t>
  </si>
  <si>
    <t>SERVICIOS ELECTROMEC INDUSTRIALES Y PROYECTOS EN GRAL EIRL</t>
  </si>
  <si>
    <t>IMPORTACIONES TAIZ SAC</t>
  </si>
  <si>
    <t>CONSTRUCTORA JDITH SAC</t>
  </si>
  <si>
    <t>MAS MOVIL SAC</t>
  </si>
  <si>
    <t>PROVEEDORES Y SERVICIOS MINEROS PREMIUM EIRL</t>
  </si>
  <si>
    <t>ARQUIDENT PERU SAC</t>
  </si>
  <si>
    <t>PLASTIC LIFE  EIRL</t>
  </si>
  <si>
    <t>URCOPE LURIN SAC</t>
  </si>
  <si>
    <t>SERVICIOS JM CARGO E.I.R.L.</t>
  </si>
  <si>
    <t>AIRES NUEVOS DEL PERU S.A.C.</t>
  </si>
  <si>
    <t>ECCA GROUP S.A.C.</t>
  </si>
  <si>
    <t>PRIMEINDUSTRIES S.A.C.</t>
  </si>
  <si>
    <t>MORALES ALAYO SANDRA INGRID</t>
  </si>
  <si>
    <t>PERU AMAZING QUILLAS TOURS SAC</t>
  </si>
  <si>
    <t>INDUSTRIA PANIFICADORA FAST PAN SRL</t>
  </si>
  <si>
    <t>SERVICIOS Y ALQUILERES EL SAUCE EIRL</t>
  </si>
  <si>
    <t>BRACATO EIRL</t>
  </si>
  <si>
    <t>CONSTRUCTORA Y CONSULTORA EB Y JB SAC</t>
  </si>
  <si>
    <t>PHYSICA PERU SAC</t>
  </si>
  <si>
    <t>PC NUEVO MUNDO S.A.C.</t>
  </si>
  <si>
    <t>RAMOS BOUILLON  PEDRO JOSE</t>
  </si>
  <si>
    <t>GINOR EMPRESA INDIVIDUAL DE RESPONSABILIDAD LIMITA</t>
  </si>
  <si>
    <t>200709, 200711, 200712, 200801, 200802, 200803, 200805, 200806, 200807, 200808, 200809, 200811, 200812</t>
  </si>
  <si>
    <t>CASTRO NAYRA MIRTHA</t>
  </si>
  <si>
    <t>TRANSPORTES CCITAR SAC</t>
  </si>
  <si>
    <t>CENTRO DE DIÃLISIS GRAN CHIMU SAC CEDIGRAN</t>
  </si>
  <si>
    <t>GEOGREEN TEC S.A.C</t>
  </si>
  <si>
    <t>ADM COMPANY S.A.C.</t>
  </si>
  <si>
    <t>RJ CARGO EIRL</t>
  </si>
  <si>
    <t>JR SOLUCIONES PERUANAS S.A.C.</t>
  </si>
  <si>
    <t>GRUPO IMPORT AB SAC</t>
  </si>
  <si>
    <t>CONSORCIO NORIEGA</t>
  </si>
  <si>
    <t>MINERA ALTAGRACIA E.I.R.L.</t>
  </si>
  <si>
    <t>COMERCIALIZACIONES AGRO CONTRERAS SAC</t>
  </si>
  <si>
    <t>202410, 202409</t>
  </si>
  <si>
    <t>TRANSPORTES YHOMARVI S.A.C.</t>
  </si>
  <si>
    <t>HOUSE STUDENT EIRL</t>
  </si>
  <si>
    <t>servicios equinos del norte eirl</t>
  </si>
  <si>
    <t>NELLY MAIZ AQUINO</t>
  </si>
  <si>
    <t>EMPRESA CONSTRUCTORA HARAMI SOCIEDAD ANONIMA CERRADA</t>
  </si>
  <si>
    <t>ATENCIONES RAPIDAS COMERCIALES E.I.R.L.</t>
  </si>
  <si>
    <t>organizacion de transportes equipos y maquinarias sac</t>
  </si>
  <si>
    <t>HACIENDA EL MONASTERIO SAC</t>
  </si>
  <si>
    <t>GAP IMPRESIONES EIRL</t>
  </si>
  <si>
    <t>ALIHCOM BUILD SAC</t>
  </si>
  <si>
    <t>MONGROUP EIRL</t>
  </si>
  <si>
    <t>INSUMOS Y ALIMENTOS DEL ANDE EIRL</t>
  </si>
  <si>
    <t>AUTOMOTRIZ RASO SAC</t>
  </si>
  <si>
    <t>CIENTIFICA CONSULTORES SAC</t>
  </si>
  <si>
    <t>TPT DEL PERU S.A.C.</t>
  </si>
  <si>
    <t>ELITIUM PERU E.I.R.L</t>
  </si>
  <si>
    <t>FORESTAL GANGMING SAC</t>
  </si>
  <si>
    <t>GRUPO GRAL E.I.R.L.</t>
  </si>
  <si>
    <t>WISGO PERU E.I.R.L.</t>
  </si>
  <si>
    <t>HERCAR COMBUSTIBLES S.A.C</t>
  </si>
  <si>
    <t>CGS CONSTRUCCIONES E.I.R.L.</t>
  </si>
  <si>
    <t>GLOBENATURAL INTERNACIONAL SA</t>
  </si>
  <si>
    <t>202506, 202507, 202508</t>
  </si>
  <si>
    <t>GRUPO NINA S.R.L.</t>
  </si>
  <si>
    <t>ESTACION DE SERVICIO TRES CRUCES DE ORO E.I.R.L.</t>
  </si>
  <si>
    <t>JOSE Y EDWIN CONTRATISTAS GENERALES SAC</t>
  </si>
  <si>
    <t>202507, 202506, 202508</t>
  </si>
  <si>
    <t>Empresa de Servicios MÃºltiples KS y J EIRL</t>
  </si>
  <si>
    <t>201909, 201908</t>
  </si>
  <si>
    <t>MJA CONSULTORIA S.A.C.</t>
  </si>
  <si>
    <t>INMOBILIARIA SIGNIA SAC</t>
  </si>
  <si>
    <t>CORPORACION LASER E.I.R.L.</t>
  </si>
  <si>
    <t>200806, 200807, 200809, 200810, 200811, 200812, 200901, 200903, 200904</t>
  </si>
  <si>
    <t>GONZALES VARGAS BERTHA MIGUELINA</t>
  </si>
  <si>
    <t>DIESEL IMPORT HERRERA SCRLtda</t>
  </si>
  <si>
    <t>CHAMPION WORLD SPORT SAC</t>
  </si>
  <si>
    <t>INVERSIONES KAMIYA SAC</t>
  </si>
  <si>
    <t>CORPORACIÃ“N MAVE SAC</t>
  </si>
  <si>
    <t>COEX TRANSPORTES SA</t>
  </si>
  <si>
    <t>SGCMM GROUP SAC</t>
  </si>
  <si>
    <t>JOURNEY ON WHEELS CUSCO S.R.L.</t>
  </si>
  <si>
    <t>202508, 202507, 202505, 202504</t>
  </si>
  <si>
    <t>CORPORACION ITC S.A.C.</t>
  </si>
  <si>
    <t>CORPORACION IBEROAMERICANA OCUPACIONAL CISS S.A.C.</t>
  </si>
  <si>
    <t>DIABOLA STORE S.A.C.</t>
  </si>
  <si>
    <t>INKA LAM E.I.R.L.</t>
  </si>
  <si>
    <t>POWER TIMBER S.A.C.</t>
  </si>
  <si>
    <t>A Y P FABRICACIONES E INSTALACIONES INDUSTRIALES SAC</t>
  </si>
  <si>
    <t>GRUPO EDUCATIVO ALFA EIRL</t>
  </si>
  <si>
    <t>202507, 202506, 202505, 202504, 202503, 202412, 202508</t>
  </si>
  <si>
    <t>COORPORACION TURISTICA H V SAC</t>
  </si>
  <si>
    <t>SON RUMBEKE E.I.R.L.</t>
  </si>
  <si>
    <t>AVANCE AUTOMOTRIZ FEJERROS SAC</t>
  </si>
  <si>
    <t>MARMOL AREQUIPA EIRL</t>
  </si>
  <si>
    <t>VIZOR PERU SAC</t>
  </si>
  <si>
    <t>RIEGO Y SANEAMIENTO AMBIENTAL SAC</t>
  </si>
  <si>
    <t>201309</t>
  </si>
  <si>
    <t>EUROCLIDON DEL NORTE S.A.C.</t>
  </si>
  <si>
    <t>201601, 201401, 201312, 201311, 201310, 201309, 201307, 201306, 201305, 201304, 201303</t>
  </si>
  <si>
    <t>CALDERON TAMAYO OLGA</t>
  </si>
  <si>
    <t>odex peru s.r.l.</t>
  </si>
  <si>
    <t>MODERNA ASOCIADOS S.A.C.</t>
  </si>
  <si>
    <t>Kentel Peru S.A.C</t>
  </si>
  <si>
    <t>PACIFICO TARAPOTO SAC</t>
  </si>
  <si>
    <t>BOLIVARIANA DE CARGAS S.R.LTDA</t>
  </si>
  <si>
    <t>LIZBET AMALIA RIOS D AMBROSIO</t>
  </si>
  <si>
    <t>ESPINOZA RAMOS DONY YOJHAN</t>
  </si>
  <si>
    <t>RP RODAS EIRL</t>
  </si>
  <si>
    <t>INVERSIONES CH  M SAC</t>
  </si>
  <si>
    <t>TRANSPORTE ACMA EIRL</t>
  </si>
  <si>
    <t>INVERSIONES MABGA SAC</t>
  </si>
  <si>
    <t>ANW OPERADORES LOGISTICOS EIRL</t>
  </si>
  <si>
    <t>ABISEO GROUP FOODS SAC</t>
  </si>
  <si>
    <t>ABC COMPANY S.A.C.</t>
  </si>
  <si>
    <t>DOLARITO E.I.R.L.</t>
  </si>
  <si>
    <t>CORPORACION PIBUSA S.A.C.</t>
  </si>
  <si>
    <t>CAR ELOLUTION JF SAC</t>
  </si>
  <si>
    <t>INVERSIONES ALIMENTARIAS ALMAYA SAC</t>
  </si>
  <si>
    <t>PREMIUM COLLEGE SRL</t>
  </si>
  <si>
    <t>SERVICIO INFORMATICO GRAFICO MASS S.A.C.</t>
  </si>
  <si>
    <t>201511, 201510, 201509</t>
  </si>
  <si>
    <t>FCG NEGOCIOS Y SERVICIOS SAC</t>
  </si>
  <si>
    <t>202106, 202105</t>
  </si>
  <si>
    <t>FESTINA  EIRL</t>
  </si>
  <si>
    <t>201009</t>
  </si>
  <si>
    <t>LIANG JIANHUA</t>
  </si>
  <si>
    <t>COLEGIO DE ARQUITECTOS REGIONAL PIURA I</t>
  </si>
  <si>
    <t>GLASS IMPORT AUTOMOTRIZ SAC</t>
  </si>
  <si>
    <t>CELESTE SERVICIOS GENERALES SRL</t>
  </si>
  <si>
    <t>GRUPO ASHKA S.A.C.</t>
  </si>
  <si>
    <t>ORKO INGENIEROS SAC</t>
  </si>
  <si>
    <t>ROMARC CONSTRUCTORA S.A.C.</t>
  </si>
  <si>
    <t>LOW RISK PERU E.I.R.L.</t>
  </si>
  <si>
    <t>HOTEL Y NEGOCIOS SAC</t>
  </si>
  <si>
    <t>REPUESTOS BURGA S.R.L.</t>
  </si>
  <si>
    <t>FISOPERU S.A.C</t>
  </si>
  <si>
    <t>GODMIR S.A.C.</t>
  </si>
  <si>
    <t>CLARITY CLEANING S.A.C.</t>
  </si>
  <si>
    <t>INDUSTRIAS DE METALES PERFORADAS SAC</t>
  </si>
  <si>
    <t>ESTACION DE SERVICIOS BATMAN E.I.R.L.</t>
  </si>
  <si>
    <t>CNC DIGITAL EIRL</t>
  </si>
  <si>
    <t>PENTAI INGENIERIA Y CONSTRUCCION EIRL</t>
  </si>
  <si>
    <t>RENTEQ MAQUINARIAS SAC</t>
  </si>
  <si>
    <t>MANEJOS ADMINISTRATIVOS EMPRESARIALES ZEN SAC</t>
  </si>
  <si>
    <t>JAIME EDUARDO MENDOZA TORRES</t>
  </si>
  <si>
    <t>ICEMA E.I.R.L.</t>
  </si>
  <si>
    <t>EXPERTOS EN NEGOCIOS 3A SRL</t>
  </si>
  <si>
    <t>CORPORACIÃ“N EMPRESARIAL PRC SAC</t>
  </si>
  <si>
    <t>202303</t>
  </si>
  <si>
    <t>MURGA PINZON GRACE KELLY</t>
  </si>
  <si>
    <t>ASOCIACION GRANJA AZUL COUNTRY CLUB DE GOLF</t>
  </si>
  <si>
    <t>CENTRO DE CONCILIACIÃ“N PARA LA PAZ</t>
  </si>
  <si>
    <t>COLEGIO QUIMICO FARMACEUTICO DEPARTAMENTAL DE CAJAMARCA</t>
  </si>
  <si>
    <t>ACCI CARGO SAC</t>
  </si>
  <si>
    <t>LCF INVERSIONES S.R.L</t>
  </si>
  <si>
    <t>DETODOPET S.A.C.</t>
  </si>
  <si>
    <t>NEGOCIOS E INVERSIONES AURORA SAC</t>
  </si>
  <si>
    <t>URIOBA E.I.R.L.</t>
  </si>
  <si>
    <t>ILUMIAX INSTALACIONES ELECTRICAS EN EDIFICACIONES EIRL</t>
  </si>
  <si>
    <t>MAREN PERU EIRL</t>
  </si>
  <si>
    <t>CORPORACION CURAT E.I.R.L.</t>
  </si>
  <si>
    <t>INVERSIONES PERUANAS TEO SAC</t>
  </si>
  <si>
    <t>DATA SCIENCE ANALYSIS E.I.R.L.</t>
  </si>
  <si>
    <t>AMFLEX SOLUCIONES VIALES S.A.C.</t>
  </si>
  <si>
    <t>CONCRELABMIX SAC</t>
  </si>
  <si>
    <t>CONSORCIO EDUCATIVO PROJECTS SERVICES SOLUTION S.A.C.</t>
  </si>
  <si>
    <t>GRUPO DORADO SERVICIOS GENERALES EIRL</t>
  </si>
  <si>
    <t>ZEMATEL CUSCO EIRL</t>
  </si>
  <si>
    <t>GRUPO MEKA INMOBILIARIA Y CONSTRUCTORA S.A.C.</t>
  </si>
  <si>
    <t>EPM LEGAL MANAGEMENT S.A.C.</t>
  </si>
  <si>
    <t>202506, 202505, 202504, 202503, 202508, 202507</t>
  </si>
  <si>
    <t>BIO EMPAQUES S.A.C.</t>
  </si>
  <si>
    <t>DIESEL TRUCK PARTS SAC</t>
  </si>
  <si>
    <t>ALOHA PEM S.A.C.</t>
  </si>
  <si>
    <t>CONSORCIO JIANGO CONSTRUCTORES</t>
  </si>
  <si>
    <t>CONSORCIO DEYSUR</t>
  </si>
  <si>
    <t>201910, 201909, 201908</t>
  </si>
  <si>
    <t>HIPER FAST SAC</t>
  </si>
  <si>
    <t>201108</t>
  </si>
  <si>
    <t>JUNTA DE PROPIETARIOS DEL EDIFCIO MAR MARIS</t>
  </si>
  <si>
    <t>201007</t>
  </si>
  <si>
    <t>CARDIOPULMONARY CARE SAC</t>
  </si>
  <si>
    <t>201006</t>
  </si>
  <si>
    <t>SANCHEZ SOTO FREDDY ALEJANDRO</t>
  </si>
  <si>
    <t>INVERSIONES Y REPRESENTACIONES FIRENZE SAC</t>
  </si>
  <si>
    <t>DAYANNA INGENIEROS SRL</t>
  </si>
  <si>
    <t>AGCL STUDIOS  S.A.C.</t>
  </si>
  <si>
    <t>SOMBRA IMEX S.A.C.</t>
  </si>
  <si>
    <t>HIDROMAR G Y M SRL</t>
  </si>
  <si>
    <t>202408, 202407, 202406</t>
  </si>
  <si>
    <t>MURGA SANTILLAN MARCO ANTONIO</t>
  </si>
  <si>
    <t>TTITO AMAU MISHELL ALEXANDRA</t>
  </si>
  <si>
    <t>CLÃNICA VIRGEN DEL PILAR SCRL</t>
  </si>
  <si>
    <t>ASOCIACION DEPORTIVA ALIANZA SULLANA</t>
  </si>
  <si>
    <t>SOMERLY E.I.R.L.</t>
  </si>
  <si>
    <t>DESTILERIA VILLACURI SAC</t>
  </si>
  <si>
    <t>3MD TRANSPORTE Y LOGISTICA SRL</t>
  </si>
  <si>
    <t>TRANSPORTES GARABANDAL E.I.R.L.</t>
  </si>
  <si>
    <t>ATENAS  SAN VALENTIN S A C</t>
  </si>
  <si>
    <t>INVERSIONES JHOSDANS E.I.R.L</t>
  </si>
  <si>
    <t>AGROVET ANDINA GROUP S.A.C.</t>
  </si>
  <si>
    <t>SERVICIOS DE TRANSPORTE Y ALQUILER ALTAMIRANO SAC</t>
  </si>
  <si>
    <t>PERU MALLAS VIP SAC</t>
  </si>
  <si>
    <t>CARRERA MELGAR JEFFRY MARTIN</t>
  </si>
  <si>
    <t>SIKMAZ SERVICE EIRL</t>
  </si>
  <si>
    <t>TRANSPORTES MOLLE SOCIEDAD ANONIMA CERRADA</t>
  </si>
  <si>
    <t>FATSUR SRL</t>
  </si>
  <si>
    <t>TAYPI UMA COMERCIO Y SERVICIOS GENERALES E.I.R.L.</t>
  </si>
  <si>
    <t>CENTRO DE ESPECIALIDADES OFTALMOLOGICAS E.I.R.L.</t>
  </si>
  <si>
    <t>APS SERVICIOS GENERALES SAC</t>
  </si>
  <si>
    <t>SECONS CONSULTORES Y CONTRATISTAS S.A.C.</t>
  </si>
  <si>
    <t>201903, 201902</t>
  </si>
  <si>
    <t>ALTA TECNOLOGIA MEDICA SAC</t>
  </si>
  <si>
    <t>GRUPO LUCY LIZ SOCIEDAD ANONIMA CERRADA</t>
  </si>
  <si>
    <t>AT YOUR SERVICE SRL</t>
  </si>
  <si>
    <t>DIOS BRILLA EN MI SOCIEDAD ANONIMA CERRADA</t>
  </si>
  <si>
    <t>SISTEMAS DE LIMPIEZA SAC</t>
  </si>
  <si>
    <t>202508, 202507, 202506, 202505, 202504, 202503, 202502, 202501, 202412, 202411, 202410, 202409, 202408</t>
  </si>
  <si>
    <t>CORPORACION RACOON SAC</t>
  </si>
  <si>
    <t>ANTA CREATIVA SOLUCIONES INTEGRALES SAC</t>
  </si>
  <si>
    <t>CORPORACION VERIMOBA S.A.C.</t>
  </si>
  <si>
    <t>LOGISTICA COMPLETA PERU EIRL</t>
  </si>
  <si>
    <t>TESELIA STUDIO S.R.L.</t>
  </si>
  <si>
    <t>TRANSPORTES NATALE S.A.C.</t>
  </si>
  <si>
    <t>IEP GRUPO SAN ANTONIO SAC</t>
  </si>
  <si>
    <t>202504, 202508, 202507, 202506, 202505</t>
  </si>
  <si>
    <t>GRUPO CJC SAC</t>
  </si>
  <si>
    <t>202501, 202412</t>
  </si>
  <si>
    <t>RR TELCO SAC</t>
  </si>
  <si>
    <t>AZ ESTRUCTURAS S.A.C.</t>
  </si>
  <si>
    <t>EDGAR ALEJANDRO SUAREZ GUERRA E.I.R.L.</t>
  </si>
  <si>
    <t>VC Y M OPERACIONES COMERCIALES EIRL</t>
  </si>
  <si>
    <t>HC CONSULTING SAC</t>
  </si>
  <si>
    <t>201109</t>
  </si>
  <si>
    <t>GAM ALQUILER PERU SAC</t>
  </si>
  <si>
    <t>201012</t>
  </si>
  <si>
    <t>200907, 200906, 200904, 200903, 200902, 200812, 200607, 200602, 200408, 200401</t>
  </si>
  <si>
    <t>EXCELENTS EIRL</t>
  </si>
  <si>
    <t>SERMED SERVICIOS INTEGRALES EN MEDICINA ESPECIALIZADA S.A.C.</t>
  </si>
  <si>
    <t>HIDRO SUPPLY EIRL</t>
  </si>
  <si>
    <t>AGROINDUSTRIAS ESPEJO PALOMINO SAC</t>
  </si>
  <si>
    <t>CONSTRUCCION REDES Y TELECOMUNICACIONES SAC</t>
  </si>
  <si>
    <t>J  S REAL STATE PERU S.A.C.</t>
  </si>
  <si>
    <t>GRUPO DIAMOND S.A.C.</t>
  </si>
  <si>
    <t>SECUREVEST E.I.R.L</t>
  </si>
  <si>
    <t>DIFAMMEI S.A.C</t>
  </si>
  <si>
    <t>BIOFER TRADING S.A.C.</t>
  </si>
  <si>
    <t>YM CONTRATISTAS SAC</t>
  </si>
  <si>
    <t>CORPORACION INTERN. CARRILLO E.I.R.L.</t>
  </si>
  <si>
    <t>PG SCHLUMBOHM SAC</t>
  </si>
  <si>
    <t>REYDEOROS COMPANY S.A.C.</t>
  </si>
  <si>
    <t>202504, 202507, 202506, 202505, 202508</t>
  </si>
  <si>
    <t>TIVOLI GROUP SAC</t>
  </si>
  <si>
    <t>JECK CONSTRUCCIONES EIRL</t>
  </si>
  <si>
    <t>DISTRIBUIDORA FARMACÃ‰UTICA MEDICAL PERÃš S.A.C</t>
  </si>
  <si>
    <t>Fazza Consultores S.A.C.</t>
  </si>
  <si>
    <t>202310, 202309, 202308</t>
  </si>
  <si>
    <t>COMERCIALIZADORA MARGAGU EIRL</t>
  </si>
  <si>
    <t>202204, 202203</t>
  </si>
  <si>
    <t>PERUTOURS SAC</t>
  </si>
  <si>
    <t>PLANCK X ENERGY PERÃš S.A.C.S</t>
  </si>
  <si>
    <t>V-LOZ OPERADOR LOGISTICO S.A.C.</t>
  </si>
  <si>
    <t>24 CUADROS AUDIOVISUAL S.A.C.</t>
  </si>
  <si>
    <t>TACTICO MKT SAC</t>
  </si>
  <si>
    <t>ALFRED TRANS EIRL</t>
  </si>
  <si>
    <t>202506, 202505, 202508, 202507</t>
  </si>
  <si>
    <t>TRIBALHOST SOCIEDAD ANONIMA CERRADA</t>
  </si>
  <si>
    <t>VIGILANCIA TAURO SOCIEDAD ANONIMA CERRADA</t>
  </si>
  <si>
    <t>inversiones y Negocios del Norte SAC</t>
  </si>
  <si>
    <t>PATT FRESH SAC</t>
  </si>
  <si>
    <t>DEGUSTACIONES Y SERVICIOS SAC</t>
  </si>
  <si>
    <t>MONTE LUMER S.A.C.</t>
  </si>
  <si>
    <t>202508, 202506</t>
  </si>
  <si>
    <t>CORPORACION LOGISTICA F Y P SRL</t>
  </si>
  <si>
    <t>CAIDIESEL S &amp; R S.A.C</t>
  </si>
  <si>
    <t>NEGOCIACIONES TH SAC</t>
  </si>
  <si>
    <t>EBALS CONSULTORES SAC</t>
  </si>
  <si>
    <t>TRANSPORTES LAS PERLAS DEL PACIFICO EIRL</t>
  </si>
  <si>
    <t>PEGASUS C  E S.A.C.</t>
  </si>
  <si>
    <t>JAML FER E.I.R.L.</t>
  </si>
  <si>
    <t>CONSORCIO AEROFACHADAS</t>
  </si>
  <si>
    <t>MIRKODONI INDUSTRIAS PANADERIA Y PASTELERIA E.I.R.L.</t>
  </si>
  <si>
    <t>VALUM VIC E.I.R.L.</t>
  </si>
  <si>
    <t>INVERSIONES JOVALI S.A.C.</t>
  </si>
  <si>
    <t>SERVICIOS NAVALES E INDUSTRIALES VELASQUEZ SAC</t>
  </si>
  <si>
    <t>ATM Soluciones de IngenierÃ­a SAC</t>
  </si>
  <si>
    <t>BIONIC PERU SOCIEDAD ANONIMA</t>
  </si>
  <si>
    <t>ESPINOZA RAMIREZ ESPERANZA AMPARO</t>
  </si>
  <si>
    <t>INVERSIONES YOLY SRL</t>
  </si>
  <si>
    <t>CONSTRUCTORA CINCO ESTRELLA S.A.C.</t>
  </si>
  <si>
    <t>MEGA LOGISTICA GEO EIRL</t>
  </si>
  <si>
    <t>CONSORCIO RUMI TOURS SAC</t>
  </si>
  <si>
    <t>SERVIMULT JESUS DE SIRAC SRL</t>
  </si>
  <si>
    <t>COOPERATIVA DE AHORRO Y CREDITO PROMOTORA DE NEGOCIOS Y SER</t>
  </si>
  <si>
    <t>DON VICTOR EIRL</t>
  </si>
  <si>
    <t>5-Oct</t>
  </si>
  <si>
    <t>8-Oct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</si>
  <si>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</si>
  <si>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</si>
  <si>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</si>
  <si>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</si>
  <si>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</si>
  <si>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</si>
  <si>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</si>
  <si>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</si>
  <si>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</si>
  <si>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</si>
  <si>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</si>
  <si>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</si>
  <si>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</si>
  <si>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</si>
  <si>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</si>
  <si>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</si>
  <si>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27-Oct</t>
  </si>
  <si>
    <t>28-Oct</t>
  </si>
  <si>
    <t>29-Oct</t>
  </si>
  <si>
    <t>30-Oct</t>
  </si>
  <si>
    <t>DEUDOR</t>
  </si>
  <si>
    <t>TIPO DE PAGO</t>
  </si>
  <si>
    <t>FECHA_PAGO</t>
  </si>
  <si>
    <t>MONTO</t>
  </si>
  <si>
    <t>PAGO</t>
  </si>
  <si>
    <t>CLINICA INTEGRAL AVANZADA DEL TRATAMIENTO DE LAS OBESIDADES S.A.C.</t>
  </si>
  <si>
    <t>DETECTIVES GIANDRO E.I.R.L.</t>
  </si>
  <si>
    <t>ESPERANZA PALACIOS E.I.R.L.</t>
  </si>
  <si>
    <t>CH &amp; G ASOCIADOS ASESORAMIENTO CONTABLE E.I.R.L.</t>
  </si>
  <si>
    <t>CALETA DOLSA SOCIEDAD ANONIMA CERRADA - CALETA DOLSA S.A.C.</t>
  </si>
  <si>
    <t>JAVAL INGENIEROS CONSTRUCTORES S.A.C.</t>
  </si>
  <si>
    <t>GRUPO HR E INGENIEROS E.I.R.L.</t>
  </si>
  <si>
    <t>CAUTIVO INMOBILIARIA &amp; CONSTRUCTORA PIURA SOCIEDAD ANONIMA CERRADA - CI &amp; CP S.A.C.</t>
  </si>
  <si>
    <t>GRUPO CORPORATIVO CHAVEZ EMPRESA INDIVIDUAL RESPONSABILIDAD LIMITADA</t>
  </si>
  <si>
    <t>PRIETO INGENIEROS CONSULTORES S.A .</t>
  </si>
  <si>
    <t>ACADEMIA DE NATACION ANGEL ROMERO SRLTD</t>
  </si>
  <si>
    <t>J &amp; P CONSTRUCTORES GENERALES SAC</t>
  </si>
  <si>
    <t>LITOTRICIA JAVIER PRADO S.A.C.</t>
  </si>
  <si>
    <t>ESCARCENA EVENTOS S.A.C.</t>
  </si>
  <si>
    <t>NUÑEZ SAAVEDRA SILVESTRE</t>
  </si>
  <si>
    <t>RR RAMIREZ S.A.C.</t>
  </si>
  <si>
    <t>COMERCIAL JIMENEZ J.W.J. E.I.R.L.</t>
  </si>
  <si>
    <t>FRANSU TRADING S.A.C.</t>
  </si>
  <si>
    <t>APLICANDO CONFIANZA PERU S.A.C.</t>
  </si>
  <si>
    <t>LOPEZ DELGADO EMERSON</t>
  </si>
  <si>
    <t>ELE OPERADOR LOGISTICO EMPRESA INDIVIDUAL DE RESPONSABILIDAD LIMITADA</t>
  </si>
  <si>
    <t>SECURITY CRISS SOCIEDAD COMERCIAL DE RESPONSABILIDAD LIMITADA</t>
  </si>
  <si>
    <t>LABORATORIO LABMIN S.A.C.</t>
  </si>
  <si>
    <t>AGRONEGOCIOS SUSY E.I.R.L.</t>
  </si>
  <si>
    <t>PANEZ ISHIDA FAESA CONSUL Y ASES EMP SA.</t>
  </si>
  <si>
    <t>ESTRUCTURAS METALICAS MONTAJES Y SERVICIOS GENERALES E.I.R.L.</t>
  </si>
  <si>
    <t>DE LAMA RISCO DE SANTA CRUZ MARTHA AVELINA</t>
  </si>
  <si>
    <t>MEDIA IMPACT PERU S.A.C.</t>
  </si>
  <si>
    <t>ELDA E HIJOS CONSULTORES PERU SOCIEDAD ANONIMA CERRADA - EH CONSULTORES PERU S.A.C.</t>
  </si>
  <si>
    <t>ASOCIACION DE PROP.MERCADO MODELO SAN JU</t>
  </si>
  <si>
    <t>J &amp; J REPRESENTACIONES GENERALES Y TURISTICAS S.R.L.</t>
  </si>
  <si>
    <t>PERU TECHNOLOGY S.A.</t>
  </si>
  <si>
    <t>INDUSTRIA FORESTAL PUMA S.A.C.</t>
  </si>
  <si>
    <t>OVEJA NEGRA MOTORS S.A.C.</t>
  </si>
  <si>
    <t>GRAFITEX ISRAEL E.I.R.L.</t>
  </si>
  <si>
    <t>ASCENSORES JY SOCIEDAD ANONIMA CERRADA - ASCENSORES JY S.A.C.</t>
  </si>
  <si>
    <t>WISA TEC E.I.R.L.</t>
  </si>
  <si>
    <t>HUANACO FLORES GREGORIO LUCIANO</t>
  </si>
  <si>
    <t>ESTRADA HUILLCA SAUL</t>
  </si>
  <si>
    <t>REFRACTARIOS SUPPLY SOCIEDAD ANONIMA CERRADA - REFSUPPLY S.A.C.</t>
  </si>
  <si>
    <t>C3 -EXTINTORES SAC</t>
  </si>
  <si>
    <t>HNOS. LAY MELLY S.R.LTDA.</t>
  </si>
  <si>
    <t>DAEWOO INTERNATIONAL CORPORATION SUCURSA L PERUANA</t>
  </si>
  <si>
    <t>P &amp; M FRUITS S.A.C.</t>
  </si>
  <si>
    <t>GANADERIA Y TRANSPORTE EL BUEN PASTOR S.A.C.</t>
  </si>
  <si>
    <t>AYNE PERU TRINITARIAS.SOLID.Y DESARROLLO</t>
  </si>
  <si>
    <t>SEXAVE-PERU E.I.R.L.</t>
  </si>
  <si>
    <t>LUGUAL S.A.C.</t>
  </si>
  <si>
    <t>NM TELECOM S.A.C.</t>
  </si>
  <si>
    <t>GARCIA GARCIA ALFONSO ENRIQUE</t>
  </si>
  <si>
    <t>CONVERT GROUP S.A.C. CONGROUP SAC</t>
  </si>
  <si>
    <t>G&amp;A TECNOLOGIAS S.A.C.</t>
  </si>
  <si>
    <t>COMERCIAL CDC SA</t>
  </si>
  <si>
    <t>3D PHARMACEUTICAL SOCIEDAD ANONIMA CERRADA</t>
  </si>
  <si>
    <t>AGEIN CONSTRUCTORES S.A.C.</t>
  </si>
  <si>
    <t>BIENESTAR &amp; SALUD UNIVERSAL E.I.R.L.</t>
  </si>
  <si>
    <t>INVERSIONES MEDICSALUD SERVICIOS MEDICOS OCUPACIONALES S.R.L.</t>
  </si>
  <si>
    <t>ETNIKA'S TRAVEL I CRAFTS SOCIEDAD COMERCIAL DE RESPONSABILIDAD LIMITADA</t>
  </si>
  <si>
    <t>JFG CORPORATION S.A.C.</t>
  </si>
  <si>
    <t>SALMA TELECOMUNICACIONES S.A.C.</t>
  </si>
  <si>
    <t>CONCESIONARIO EN ALIMENTACION PERUANA S.A.C.</t>
  </si>
  <si>
    <t>SETIEMBRE</t>
  </si>
  <si>
    <t>OCTUBRE</t>
  </si>
  <si>
    <t>PROYECTOS GINA Y RAUL SAC</t>
  </si>
  <si>
    <t>YAHVE MINERIA Y CONSTRUCCION E.I.R.L.</t>
  </si>
  <si>
    <t>COPY FAST TECH S.A.C.</t>
  </si>
  <si>
    <t>VALERA DAZA DELFA AMALIA</t>
  </si>
  <si>
    <t>PERUVIAN BUSINESS CONSULTING S.A.C.</t>
  </si>
  <si>
    <t>CLINT PERU E.I.R.L.</t>
  </si>
  <si>
    <t>SERVICIOS ONCOLOGICOS SAN ANTONIO EMPRESA INDIVIDUAL DE</t>
  </si>
  <si>
    <t>OBRAS Y PROYECTOS J &amp; M S.A.C.</t>
  </si>
  <si>
    <t>PROCESADORA TUEROS S.A.C.</t>
  </si>
  <si>
    <t>MG INDUSTRIA Y COMERCIO SAC</t>
  </si>
  <si>
    <t>SUDAMERIS: INGENIERIA, PROCURA, CONSTRUCCION, GERENCIA SOCIEDAD ANONIMA CERRADA</t>
  </si>
  <si>
    <t>FORESTALES DAXSA E.I.R.L.</t>
  </si>
  <si>
    <t>QUIROZ LOZA AUGUSTO SEBASTIAN</t>
  </si>
  <si>
    <t>G&amp;M ENERGY S.A.C.</t>
  </si>
  <si>
    <t>M &amp; L DISTRIBUIDORA S.A.C.</t>
  </si>
  <si>
    <t>HC CONSULTING S.A.C.</t>
  </si>
  <si>
    <t>INVERSIONES MELDAR S.A.C.</t>
  </si>
  <si>
    <t>TAHUA POTTERY S.A.C.</t>
  </si>
  <si>
    <t>GEP COMUNICACIONES SOCIEDAD ANONIMA CERRADA</t>
  </si>
  <si>
    <t>M Y M RESOLVE SOLUTIONS S.A.C.</t>
  </si>
  <si>
    <t>AGRO DISTRIBUIDORA AMARAL PIURA S.A.C.</t>
  </si>
  <si>
    <t>INFINITY Y CO.BEAUTY SALON S.A.C.</t>
  </si>
  <si>
    <t>TICONA BARBARAN KARIN ROSARIO</t>
  </si>
  <si>
    <t>LA ESTRELLA TRADING Y LOGISTICA S.A.C.</t>
  </si>
  <si>
    <t>GRUPO CASIR S.A.C.</t>
  </si>
  <si>
    <t>EMPRESA DE TRANSPORTE A.G. PERU S.A.C.- ETAGPERU S.A.C.</t>
  </si>
  <si>
    <t>FUJI ELEVATOR TECHNOLOGY S.A.C.</t>
  </si>
  <si>
    <t>CONSTRUCTORA &amp; CONSULTORIA CUEVA S.A.C.</t>
  </si>
  <si>
    <t>FESTINA E.I.R.L</t>
  </si>
  <si>
    <t>CORPORACION ELIANA E.I.R.L.</t>
  </si>
  <si>
    <t>JUNTA DE PROPIETARIOS DEL EDIFICIO MAR MARIS</t>
  </si>
  <si>
    <t>CAR EVOLUTION JF S.A.C.</t>
  </si>
  <si>
    <t>QUILPA COFFEE S.A.C.</t>
  </si>
  <si>
    <t>ANGELICA S Y P E.I.R.L.</t>
  </si>
  <si>
    <t>COMERCIALIZADORA MARGAGU E.I.R.L.</t>
  </si>
  <si>
    <t>LADRILLOS MURALLA SOCIEDAD COMERCIAL DE RESPONSABILIDAD LIMITADA</t>
  </si>
  <si>
    <t>CONSTRUCCIONES Y PROYECTOS ELECTRICOS DEL SUR S.A.C. - COPELSUR S.A.C.</t>
  </si>
  <si>
    <t>INVERSIONES ELI MM S.A.C.</t>
  </si>
  <si>
    <t>CORPORACION JALGRIM S.R.L.</t>
  </si>
  <si>
    <t>GRUPO BENICK LATAMSERVICE S.A.C.</t>
  </si>
  <si>
    <t>ASOCIACION DE COMERCIANTES UNIDOS DEL MERCADO MODELO DE PUERTO MALDONADO</t>
  </si>
  <si>
    <t>PARI SOTO PETRONILA JENNY</t>
  </si>
  <si>
    <t>ANTARES MANTENIMIENTO INDUSTRIAL S.A.C.</t>
  </si>
  <si>
    <t>K &amp; K TRADING E.I.R.L</t>
  </si>
  <si>
    <t>MOMIY MOMIY ROBERTO</t>
  </si>
  <si>
    <t>CELESTE SERVICIOS GENERALES S.R.L.</t>
  </si>
  <si>
    <t>SNIVE &amp; ASOCIADOS S.A.C.</t>
  </si>
  <si>
    <t>CAMPAÑA2</t>
  </si>
  <si>
    <t>Dia habil</t>
  </si>
  <si>
    <t>MES</t>
  </si>
  <si>
    <t>Total  MONTO</t>
  </si>
  <si>
    <t xml:space="preserve"> MONTO</t>
  </si>
  <si>
    <t>Total   Q</t>
  </si>
  <si>
    <t xml:space="preserve">  Q</t>
  </si>
  <si>
    <t xml:space="preserve">DIA HABIL </t>
  </si>
  <si>
    <t>DIA HABIL</t>
  </si>
  <si>
    <t xml:space="preserve">Total Q </t>
  </si>
  <si>
    <t xml:space="preserve">Q </t>
  </si>
  <si>
    <t>Total SUMA TOTAL</t>
  </si>
  <si>
    <t>SUMA TOTAL</t>
  </si>
  <si>
    <t>dia</t>
  </si>
  <si>
    <t>sept</t>
  </si>
  <si>
    <t>Total</t>
  </si>
  <si>
    <t>Fecha calendario</t>
  </si>
  <si>
    <t>Timing</t>
  </si>
  <si>
    <t>Meta dia</t>
  </si>
  <si>
    <t>Acumulado</t>
  </si>
  <si>
    <t>8-Set</t>
  </si>
  <si>
    <t>9-Set</t>
  </si>
  <si>
    <t>10-Set</t>
  </si>
  <si>
    <t>11-Set</t>
  </si>
  <si>
    <t>12-Set</t>
  </si>
  <si>
    <t>13-Set</t>
  </si>
  <si>
    <t>14-Set</t>
  </si>
  <si>
    <t>15-Set</t>
  </si>
  <si>
    <t>16-Set</t>
  </si>
  <si>
    <t>17-Set</t>
  </si>
  <si>
    <t>18-Set</t>
  </si>
  <si>
    <t>19-Set</t>
  </si>
  <si>
    <t>20-Set</t>
  </si>
  <si>
    <t>21-Set</t>
  </si>
  <si>
    <t>22-Set</t>
  </si>
  <si>
    <t>23-Set</t>
  </si>
  <si>
    <t>24-Set</t>
  </si>
  <si>
    <t>25-Set</t>
  </si>
  <si>
    <t>26-Set</t>
  </si>
  <si>
    <t>27-Set</t>
  </si>
  <si>
    <t>29-Set</t>
  </si>
  <si>
    <t>30-Set</t>
  </si>
  <si>
    <t>1-Oct</t>
  </si>
  <si>
    <t>2-Oct</t>
  </si>
  <si>
    <t>ASIGNACION</t>
  </si>
  <si>
    <t>DIA</t>
  </si>
  <si>
    <t>Cuenta de DOCUMENTO</t>
  </si>
  <si>
    <t>dia habil</t>
  </si>
  <si>
    <t>mes</t>
  </si>
  <si>
    <t>Total TOTAL</t>
  </si>
  <si>
    <t>TOTAL</t>
  </si>
  <si>
    <t>TIMMING GENERAL GASTOS ADMINISTRATIVOS</t>
  </si>
  <si>
    <t>TIMMING ASESOR GASTOS</t>
  </si>
  <si>
    <t>TIMMING GENERAL PLANILLAS</t>
  </si>
  <si>
    <t>TIMMING ASESOR PLANILLAS</t>
  </si>
  <si>
    <t>flujo</t>
  </si>
  <si>
    <t>presunta</t>
  </si>
  <si>
    <t>real</t>
  </si>
  <si>
    <t>redi</t>
  </si>
  <si>
    <t>MOVE.CONSULTING EIRL</t>
  </si>
  <si>
    <t>NUÃ‘EZ MAYTA BENITA</t>
  </si>
  <si>
    <t>CCOLQUE SARMIENTO MARLENI</t>
  </si>
  <si>
    <t>SANCHEZ VILCA LAYDYVERY CCORY</t>
  </si>
  <si>
    <t>INSUMOS Y ACCESORIOS DE OFICINA S.A.C</t>
  </si>
  <si>
    <t>EMPRESA DE TRANSPORTES CASCAS SRL</t>
  </si>
  <si>
    <t>EMIN EIRL</t>
  </si>
  <si>
    <t>JOM INGENIEROS SAC</t>
  </si>
  <si>
    <t>CONSTRUCTORA HUARI SRL</t>
  </si>
  <si>
    <t>EMPRESA DE SEGURIDAD TONY &amp; EA S.A.C.</t>
  </si>
  <si>
    <t>Seven Services EIRL</t>
  </si>
  <si>
    <t>COOL CENTER SAC</t>
  </si>
  <si>
    <t>SOLUCIONES Y SERVICIOS MULTIPLES PERU S.A.C. - SOLSER PERU S</t>
  </si>
  <si>
    <t>LUBRICANTES Y ARTICULOS INDUSTRIALES S.A.C.</t>
  </si>
  <si>
    <t>ALBER PROYECTOS EN GENERAL S.A.C</t>
  </si>
  <si>
    <t>REPRESENTACIONES V Y E IMPORT EXPORT S.R.L.</t>
  </si>
  <si>
    <t>J.H.T. MULTISERVICIOS S.A.C.</t>
  </si>
  <si>
    <t>MAS VALUE SAC</t>
  </si>
  <si>
    <t>COFESUR IMPORT EIRL</t>
  </si>
  <si>
    <t>ALTA ESTETICA PROTESICA S.A.C.</t>
  </si>
  <si>
    <t>CORPORACION Y SERVICIOS MULTIPLES B J SAC</t>
  </si>
  <si>
    <t>JMS INTERNACIONAL S.A.C.</t>
  </si>
  <si>
    <t>TIY E.I.R.L.</t>
  </si>
  <si>
    <t>NEGOCIACIONES GRANDEZ SAC</t>
  </si>
  <si>
    <t>LYM LOPEZ RETAIL SAC</t>
  </si>
  <si>
    <t>GRUPO VERTIZ SAC</t>
  </si>
  <si>
    <t>ATESA TRANS E.I.R.L</t>
  </si>
  <si>
    <t>GRUPO KALIMBO EIRL</t>
  </si>
  <si>
    <t>TRANSPORTES Y SERVICIOS MGR</t>
  </si>
  <si>
    <t>ACCESORIOS DFSK PERU E.I.R.L.</t>
  </si>
  <si>
    <t>GT AMAO S.A.C.</t>
  </si>
  <si>
    <t>MULTISERVICIOS MENA E.I.R.L.</t>
  </si>
  <si>
    <t>GROUP SAMUSA S.A.C.</t>
  </si>
  <si>
    <t>CONSTRUCTORA MONTECARLO MV S.R.L.</t>
  </si>
  <si>
    <t>DON JUAN CORPORATION E.I.R.L.</t>
  </si>
  <si>
    <t>MULTISERVICIOS CAMUS GONZALES E.I.R.L</t>
  </si>
  <si>
    <t>EMPRESA DE TRANSPORTES HILDA SAC</t>
  </si>
  <si>
    <t>IEP SOL DE FATIMA EIRL</t>
  </si>
  <si>
    <t>Minera Tantara SAC</t>
  </si>
  <si>
    <t>PROYECTOS HVAC E INGENIERIA EIRL</t>
  </si>
  <si>
    <t>MADELCA CONTRATISTA GENERALES EIRL</t>
  </si>
  <si>
    <t>MAGOKORO SERVICE E.I.R.L.</t>
  </si>
  <si>
    <t>CONSORCIO SONNE</t>
  </si>
  <si>
    <t>INGEN TELECOM S.A.C.</t>
  </si>
  <si>
    <t>CANTERA PATAPO LA VICTORIA SA</t>
  </si>
  <si>
    <t>INVERSIONES SALKAMAYU E.I.R.L</t>
  </si>
  <si>
    <t>4A SOLUCIONES INTEGRALES SAC</t>
  </si>
  <si>
    <t>EMPRESA DE TRANSPORTES Y CONSTRUCCIONES BELLIDO SAC</t>
  </si>
  <si>
    <t>GRUPO MARREROS SAC</t>
  </si>
  <si>
    <t>EMSERMUL JH EIRL SERVICIOS MULTIPLES JH SOUSA EIRL</t>
  </si>
  <si>
    <t>TRANSCASE SERVICIOS LOGISTICOS S.A.C.</t>
  </si>
  <si>
    <t>ENGINEERING AND ROADS EIRL</t>
  </si>
  <si>
    <t>PREVENCION VIGILANCIA Y SEGURIDAD DEL ORIENTE SAC</t>
  </si>
  <si>
    <t>VICAR TRAZO Y PUNTO SAC</t>
  </si>
  <si>
    <t>INTEGRACION DE TECNOLOGIAS INMOBILIARIAS S.A.C.</t>
  </si>
  <si>
    <t>ASCONTRI EMPRESARIAL S.A.C</t>
  </si>
  <si>
    <t>EMPRESA DE TRANSPORTES GAF LAOS E.I.R.L.</t>
  </si>
  <si>
    <t>CITV GAMBETTA S.A.C.</t>
  </si>
  <si>
    <t>DISTRIBUIDORA INFANTE EIRL</t>
  </si>
  <si>
    <t>DISTRIBUIDORA Y SERVICIOS SANTIAGO E.I.R.L</t>
  </si>
  <si>
    <t>CONSORCIO EDUCATIVO DIVINO CORAZON DE JESUS SAC</t>
  </si>
  <si>
    <t>MARKYS  B &amp; K S.A.C</t>
  </si>
  <si>
    <t>OVRC INVERSIONES EN TURISMO EIRL</t>
  </si>
  <si>
    <t>INVERSIONES Y SERVICIOS LOS LAGOS SAC</t>
  </si>
  <si>
    <t>AGENCIA DE VIAJES Y TRANSPORTE TURISTICO JJ PERU E.I.R.L.</t>
  </si>
  <si>
    <t>FUNDO ECOTURISTICO EL COLIBRI S.A.C.</t>
  </si>
  <si>
    <t>BOTICA DERMA PERU S Y S S.A.C.</t>
  </si>
  <si>
    <t>E-MAX PERU S.A.C.</t>
  </si>
  <si>
    <t>QUISPE CALDERON LIZANDRO</t>
  </si>
  <si>
    <t>IPARRAGUIRRE CAHUANA</t>
  </si>
  <si>
    <t>Aracelli de Lima Paulino Gamio</t>
  </si>
  <si>
    <t>ROHA CONSTRUCCION Y MINERIA SAC</t>
  </si>
  <si>
    <t>EMPRESA AMAZONICA PELE Y VENUS</t>
  </si>
  <si>
    <t>INVESTMENT PROJECT EIRL</t>
  </si>
  <si>
    <t>PRO AVAN CE S.A.C.</t>
  </si>
  <si>
    <t>ROMIFER EIRL</t>
  </si>
  <si>
    <t>CONST JAMSA INGENIEROS CONT GENERALES SAC</t>
  </si>
  <si>
    <t>INMOBILIARIA NAPOLI S.A.C.</t>
  </si>
  <si>
    <t>JCR PRODUCCIONES SRL</t>
  </si>
  <si>
    <t>ADVANCED NETWORKS EIRL</t>
  </si>
  <si>
    <t>INDUSTRIAS DEL FRIO FA MAU SAC</t>
  </si>
  <si>
    <t>TRANSPORTES CAJITAS CARGO EIRL</t>
  </si>
  <si>
    <t>A C servicios ElectromecÃ¡nicos Industriales SAC</t>
  </si>
  <si>
    <t>KFA SOLUTIONS EIRL</t>
  </si>
  <si>
    <t>CORPORACION VANIA MICHELL S.A.C.</t>
  </si>
  <si>
    <t>GRUPO BDV SAC</t>
  </si>
  <si>
    <t>ECHE CONSTRUCTORES E.I.R.L.</t>
  </si>
  <si>
    <t>HC TRANSPORTE Y SERVICIOS SAC</t>
  </si>
  <si>
    <t>MOLINERA DON JULIO SAC</t>
  </si>
  <si>
    <t>POLLERIA BROSTERIA MR COJO SAC</t>
  </si>
  <si>
    <t>M &amp; M CHAF D EIRL</t>
  </si>
  <si>
    <t>GRUPO SOTO GREEN HOUSE E.I.R.L.</t>
  </si>
  <si>
    <t>REPRESENTACIONES GENERALES K Y L S.A.C.</t>
  </si>
  <si>
    <t>GRUPO 33 PROYECTOS GASTRONOMICOS SOCIEDAD ANÃ“NIMA CERRADA</t>
  </si>
  <si>
    <t>GRUPO DUOFARMA PERU S.A.C.</t>
  </si>
  <si>
    <t>E. GOURMET SAC</t>
  </si>
  <si>
    <t>ITS MANAGEMENT S.A.C.</t>
  </si>
  <si>
    <t>OCEAN RECRUITMENT AGENT E.I.R.L</t>
  </si>
  <si>
    <t>INVERSIONES MAQUINSERVICE S.A.C</t>
  </si>
  <si>
    <t>HRC ENGINEERED SECURITY S.A.C.</t>
  </si>
  <si>
    <t>CORPORACION BENAVIDES Y ASOCIADOS GUTIERREZ SAC</t>
  </si>
  <si>
    <t>HERTZ ELECTRICIDAD Y AUTOMATIZACION INDUSTRIAL E.I.R.L.</t>
  </si>
  <si>
    <t>INSTITUCION EDUCATIVA PRIVADA SAN JUAN BAUTISTA DE LIMA  S.A</t>
  </si>
  <si>
    <t>AVO SANTA S.A.C.</t>
  </si>
  <si>
    <t>LOGISTIC LUCCIANA E.I.R.L.</t>
  </si>
  <si>
    <t>REPRESENTACIONES LA REINA S.A.C.</t>
  </si>
  <si>
    <t>ARANGAXEL E.I.R.L</t>
  </si>
  <si>
    <t>CONSORCIO SAN MATEO</t>
  </si>
  <si>
    <t>VALETAXI SAC</t>
  </si>
  <si>
    <t>CADENA DE AUTOSERVICOS HAKATA EIRL</t>
  </si>
  <si>
    <t>GEOINNOVACION S.A.C.</t>
  </si>
  <si>
    <t>CAMINO DEL CAFÃ‰ S.R.L</t>
  </si>
  <si>
    <t>CORPORACION SINCHI AYLLU S.A.C.</t>
  </si>
  <si>
    <t>VEGA RODRIGUEZ MIGUEL ANGEL</t>
  </si>
  <si>
    <t>ARGUEDAS VIZCARRA RENE LUIS</t>
  </si>
  <si>
    <t>RIVERA MORENO MIKEY VICENTE</t>
  </si>
  <si>
    <t>ARQUITEX SA</t>
  </si>
  <si>
    <t>EMPRESA DE SERVICIO  DE HOSPEDAJE EL GALEON</t>
  </si>
  <si>
    <t>TRUJILLO PAN SAC</t>
  </si>
  <si>
    <t>talentum cgz empresa individual de responsabilidad limitda</t>
  </si>
  <si>
    <t>ENERGIA Y ECOLOGIA S.A.C.</t>
  </si>
  <si>
    <t>CORPORACION E INVERSIONES PISCIS SAC</t>
  </si>
  <si>
    <t>HOSTALES Y RESTAURANTS EL ESCUDERO EIRL</t>
  </si>
  <si>
    <t>PANADERIA Y PASTELERIA AVE MARIA E.I.R.L.</t>
  </si>
  <si>
    <t>CORONA IMPORTADORES E.I.R.L.</t>
  </si>
  <si>
    <t>DONOSTI  S.A.C.</t>
  </si>
  <si>
    <t>INVERSIONES CHUPACA SAC</t>
  </si>
  <si>
    <t>CONSULTORIA DE INGENIERIA Y CONSTRUCCION SA</t>
  </si>
  <si>
    <t>MULTISERVICIOS EXPRESO DEL SUR SAC</t>
  </si>
  <si>
    <t>CORPORACION XIANFI SAC</t>
  </si>
  <si>
    <t>C S NEGOCIOS INMOBILIARIOS SAC</t>
  </si>
  <si>
    <t>ENMODEL S.A.C</t>
  </si>
  <si>
    <t>4G EVENTS SAC</t>
  </si>
  <si>
    <t>ENGINEERS SYSTEMS AND INVESTMENTS SAC</t>
  </si>
  <si>
    <t>BERNACHEA IMPORT S.A.C.</t>
  </si>
  <si>
    <t>cyber value sac.</t>
  </si>
  <si>
    <t>SERVICIOS GRUPOS ELECTROGENOS TELECOMUNICACIONES ENERGIA SRL</t>
  </si>
  <si>
    <t>GRUPO VARBUS SAC</t>
  </si>
  <si>
    <t>DAR ASESORES Y CORREDORES DE SEGUROS SAC</t>
  </si>
  <si>
    <t>CENTRO INTEGRAL LA CASITA DE JOAQUIN EIRL</t>
  </si>
  <si>
    <t>SELINSAB S.A.C.</t>
  </si>
  <si>
    <t>XMIEL TECHNOLOGY SOCIEDAD ANONIMA CERRADA</t>
  </si>
  <si>
    <t>HISPANATURA SAC</t>
  </si>
  <si>
    <t>EMPRESA ROMAEDRU EIRL</t>
  </si>
  <si>
    <t>DEVIAL.N INFINITY E.I.R.L.</t>
  </si>
  <si>
    <t>GAANDY E.I.R.L..</t>
  </si>
  <si>
    <t>INVERSIONES Y SERVICIOS REMA S.A.C.</t>
  </si>
  <si>
    <t>JARDINES DE LOS ANGELES E.I.R.L.</t>
  </si>
  <si>
    <t>GRUPO PECAN S.A.C.</t>
  </si>
  <si>
    <t>KUNAK THINK SECURE S.A.C.</t>
  </si>
  <si>
    <t>BAYONETT S.A.C.</t>
  </si>
  <si>
    <t>CORPOOL TELECOM Y ELECTRIC PERÃš SAC</t>
  </si>
  <si>
    <t>MATRG INVERSIONES E.I.R.L.</t>
  </si>
  <si>
    <t>CODIFICACION PERU SA</t>
  </si>
  <si>
    <t>SERVICIOS GENERALES CRISJHAR Y MILA S.A.C.</t>
  </si>
  <si>
    <t>VISUALIZA JK E.I.R.L.</t>
  </si>
  <si>
    <t>CROMOPLASTIC EIRL</t>
  </si>
  <si>
    <t>FAMP  R SAC</t>
  </si>
  <si>
    <t>KOMPRESSUR SAC</t>
  </si>
  <si>
    <t>PELAEZ MEREGILDO DE EUSTAQUIO SANDRA JUDITH</t>
  </si>
  <si>
    <t>ANDREA PAMELA VELASQUES LOPEZ</t>
  </si>
  <si>
    <t>HYDROEVAL INGENIEROS SRL</t>
  </si>
  <si>
    <t>W &amp; A SUMINISTROS E INSTALACIONES CONTRA INCENDIOS E.I.R.L.</t>
  </si>
  <si>
    <t>MYM BIENES Y SERVICIOS SAC</t>
  </si>
  <si>
    <t>J.P.M. DEL PERU S.A.C.</t>
  </si>
  <si>
    <t>LO DE JUAN CHICKEN GRILL</t>
  </si>
  <si>
    <t>HOLDING AMBIENTAL SAC</t>
  </si>
  <si>
    <t>SOLUCIONES Y NEGOCIOS HERMANOS OSPINA S.A.C</t>
  </si>
  <si>
    <t>SEGUTRONIC SAC</t>
  </si>
  <si>
    <t>CORPORATION LOGISTIC MALVINAS SAC</t>
  </si>
  <si>
    <t>GLOBAL COLOR IMPRESORES E.I.R.L</t>
  </si>
  <si>
    <t>CONTRATISTAS GENERALES SAN JOSE DRILLING PERU S.A.C</t>
  </si>
  <si>
    <t>GRUPO ROQUIS EIRL</t>
  </si>
  <si>
    <t>RESULTADOS Y SOLUCIONES INTEGRALES S.A.C.</t>
  </si>
  <si>
    <t>VH SERVICIOS INVERSIONES GENERALES SAC</t>
  </si>
  <si>
    <t>SERVICIOS  TRANSPORTES BRAINS S.R.L.</t>
  </si>
  <si>
    <t>CORPORACION TEXAM CHAVEZ SAC</t>
  </si>
  <si>
    <t>TRANSPORTE COPYY  SAC</t>
  </si>
  <si>
    <t>GRUPO TECKNOMEAL FYN SAC</t>
  </si>
  <si>
    <t>CIANES SAC</t>
  </si>
  <si>
    <t>HR SOLUTIONS &amp; SUPPORT E.I.R.L.</t>
  </si>
  <si>
    <t>M Y H INGENIERIA ELECTRICA S.A.C.</t>
  </si>
  <si>
    <t>SIETE MEDIOS SAC</t>
  </si>
  <si>
    <t>PERUVIAN INKA FRUIT SAC</t>
  </si>
  <si>
    <t>BRAVO CORAL E.I.R.L.</t>
  </si>
  <si>
    <t>ARSOU GROUP S.A.C.</t>
  </si>
  <si>
    <t>LEON TRUCK LOGISTICS E.I.R.L.</t>
  </si>
  <si>
    <t>REGALOS COSITA LINDA DEL PERU E.I.R.L.</t>
  </si>
  <si>
    <t>CORPORACION 4C SOCIEDAD ANONIMA CERRADA</t>
  </si>
  <si>
    <t>REVISION TECNICA VEHICULAR NAZCA PERU S.A.C.</t>
  </si>
  <si>
    <t>AYVA E.I.R.L .</t>
  </si>
  <si>
    <t>MULTISERVICIOS MEJAMS SAC</t>
  </si>
  <si>
    <t>METAL GROUP MR SAC</t>
  </si>
  <si>
    <t>JENY ARQUITECTURA CONSTRUCCIÃ“N E INMOBILIARIA E.I.R.L.</t>
  </si>
  <si>
    <t>SOFEDAS E.I.R.L.</t>
  </si>
  <si>
    <t>PRANEE SAC</t>
  </si>
  <si>
    <t>CEPOS SOLUCIONES INTEGRALES S.A.C.</t>
  </si>
  <si>
    <t>GWU TRADE S.A.C.</t>
  </si>
  <si>
    <t>INVERSIONES MOURAA EIRL</t>
  </si>
  <si>
    <t>SOLUCIONES TECNOLOGICAS DE ALTA CALIDAD S.A.C.</t>
  </si>
  <si>
    <t>EL BUEN CONTADOR S.A.C.</t>
  </si>
  <si>
    <t>MONTENEGRO ROSALINO JOSE DALMAZ</t>
  </si>
  <si>
    <t>SERVICIOS MEDICOS Y LABORATORIOS VIRGEN DEL CARMEN E.I.R.L.</t>
  </si>
  <si>
    <t>rosales huerta jando diogenes</t>
  </si>
  <si>
    <t>ASOCIACION BIO HUERTO VILLA MIRAFLORES</t>
  </si>
  <si>
    <t>JR ESTUDIO CONTABLE SRL</t>
  </si>
  <si>
    <t>IEP NUESTRA SENORA DE LA ASUNTA SRL</t>
  </si>
  <si>
    <t>Transportes Jaimito EIRL</t>
  </si>
  <si>
    <t>VELASQUEZ Y BENDEZU INGENIEROS SAC</t>
  </si>
  <si>
    <t>R&amp;C Contenedores S.A.C.</t>
  </si>
  <si>
    <t>CORPORACION VIRGEN DE GUADALUPE SAC</t>
  </si>
  <si>
    <t>INVERSIONES VICCA VERDE SAC</t>
  </si>
  <si>
    <t>SISTEMAS INTEGRALES HR SAC</t>
  </si>
  <si>
    <t>SERVICIO DE CALIBRACION Y LABORATORIOS SAC</t>
  </si>
  <si>
    <t>S Y V TRANSPORTES Y SERVICIOS GENERALES SAC</t>
  </si>
  <si>
    <t>REPRESENTACIONES VALEFAN S.A.C.</t>
  </si>
  <si>
    <t>CASAVID S.A.C.</t>
  </si>
  <si>
    <t>FABRICACIONES OSELU EIRL</t>
  </si>
  <si>
    <t>AVANTI DISENOS Y PROYECTOS SAC</t>
  </si>
  <si>
    <t>CONSULTORA MORALES Y REYES SAC</t>
  </si>
  <si>
    <t>INGENIEROS &amp; ASOCIADOS IBERAM S.A.C</t>
  </si>
  <si>
    <t>JESPINOZA EIRL</t>
  </si>
  <si>
    <t>FANTASTIC TRADE SAC</t>
  </si>
  <si>
    <t>LA TAULA FOOD S.R.L</t>
  </si>
  <si>
    <t>HEARTBEAT MARKETING S.A.C.</t>
  </si>
  <si>
    <t>MRL IMPORT &amp; TRADING S.A.C</t>
  </si>
  <si>
    <t>ALAYO Y ASOCIADOS SAC</t>
  </si>
  <si>
    <t>VELCCO INSTALACIONES MINERAS S.A.C.</t>
  </si>
  <si>
    <t>POWERSTEEL MANTENIMIENTO INDUSTRIAL  SAC</t>
  </si>
  <si>
    <t>CON Y AR INGENIEROS Y CONTRATISTAS S.R.L</t>
  </si>
  <si>
    <t>DYET ARQUITECTURA INGENIERIA Y CONSTRUCCION S.A.C.</t>
  </si>
  <si>
    <t>AREMIR SERVICIOS GENERALES SAC</t>
  </si>
  <si>
    <t>DULCE VICTORIA CAFE BAR SAC</t>
  </si>
  <si>
    <t>INMOBILIARIA CAVANA S.A.C.</t>
  </si>
  <si>
    <t>EDEN PHARMACEUTICAL SAC</t>
  </si>
  <si>
    <t>hv electric services sac</t>
  </si>
  <si>
    <t>BOSQUES Y CONSTRUCCIONES INGENIEROS S.R.L.</t>
  </si>
  <si>
    <t>JDM STO DOMINGO DE GUZMAN S.A.C.</t>
  </si>
  <si>
    <t>SERVICIOS KARTING S.A.C.</t>
  </si>
  <si>
    <t>ESTILOS DARUAST EIRL</t>
  </si>
  <si>
    <t>ASOCIACION CIVIL EDUCATIVA AGAPE KAI DIACONIA OLMOS</t>
  </si>
  <si>
    <t>PIZANO ALIAGA JHON EDWARD</t>
  </si>
  <si>
    <t>SOCIEDAD MINERA JA EL MILAGRO SA</t>
  </si>
  <si>
    <t>INVERSIONES MINERAS W Y R S.A.C.</t>
  </si>
  <si>
    <t>CGEL SECURITY SAC</t>
  </si>
  <si>
    <t>TUBOL SA</t>
  </si>
  <si>
    <t>CORPORACION ANGO SAC</t>
  </si>
  <si>
    <t>ASISTENCIA TECNICA INTERNACIONAL SAC</t>
  </si>
  <si>
    <t>VITALITY SAC</t>
  </si>
  <si>
    <t>PHOENIX EPC SAC</t>
  </si>
  <si>
    <t>COLEGIO PARTICULAR KLARETIANO PUERTO MALDONADO EIRL</t>
  </si>
  <si>
    <t>PLANTAS Y SOLUCIONES CATMET SRL</t>
  </si>
  <si>
    <t>REPRESENTACIONES EL VIAJERO E.I.R.L.</t>
  </si>
  <si>
    <t>CIMANDESPERU S.A.C.</t>
  </si>
  <si>
    <t>LYL GRANE SAGITARIO S.A.C.</t>
  </si>
  <si>
    <t>MOXI-DENTAL GROUP S.A.C.</t>
  </si>
  <si>
    <t>FLS CONAN SECURITY S.A.C.</t>
  </si>
  <si>
    <t>DARS SOLUTIONS E.I.R.L.</t>
  </si>
  <si>
    <t>BORGOÃ‘O SERVICIOS Y PRODUCCION DE ALIMENTOS S.A.C.</t>
  </si>
  <si>
    <t>MEAT GOURMET HP S.A.C.</t>
  </si>
  <si>
    <t>INDUSTRIAS GANADERAS HP S.A.C</t>
  </si>
  <si>
    <t>SOLEGA ASOCIADOS S.A.C.</t>
  </si>
  <si>
    <t>CENTRO AGROPECUARIO PUENTE S.R.L.</t>
  </si>
  <si>
    <t>LA ESTAMPIDA DEL MALL S.A.C.</t>
  </si>
  <si>
    <t>TRANSPORTES E INVERSIONES SANCHEZ SAC</t>
  </si>
  <si>
    <t>VIGO PERU S.A.C.</t>
  </si>
  <si>
    <t>TABLEROS BREÃ‘A S.A.C.</t>
  </si>
  <si>
    <t>ALLESMARKT EMPRESA INDIVIDUAL DE RESPONSABILIDAD LIMITADA</t>
  </si>
  <si>
    <t>CORPORACION LOGISTIC A Y G SAC</t>
  </si>
  <si>
    <t>ACIP-ACADEMIA CIENTIFICA DEL PACIFICO S.A.C.</t>
  </si>
  <si>
    <t>VARGAS MEDINA LUIS FERNANDO</t>
  </si>
  <si>
    <t>AAR SERVICIOS DE ALIMENTACION S.A.C.</t>
  </si>
  <si>
    <t>SALVADOR LOGISTICA INTEGRADA S.A.C</t>
  </si>
  <si>
    <t>REFRIGERACION Y SERVICIOS GENERALES ALCASA S.A.C.</t>
  </si>
  <si>
    <t>CORPORATIVO ATAUCHI E.I.R.L.</t>
  </si>
  <si>
    <t>CAFE Y SPA SAC</t>
  </si>
  <si>
    <t>INVERSIONES INDUSTIALES JMQ EIRL</t>
  </si>
  <si>
    <t>PEXOM GAS S.A.C.</t>
  </si>
  <si>
    <t>SUNI HUANCA JESUS</t>
  </si>
  <si>
    <t>RODRIGUEZ JUAREZ VICTOR ALEXIS</t>
  </si>
  <si>
    <t>DISTRIBUIDORA COMERCIAL SAN BLAS S.R.L.</t>
  </si>
  <si>
    <t>AQUA FLASH FONTANEROS S.R.L</t>
  </si>
  <si>
    <t>GM INGESA SAC</t>
  </si>
  <si>
    <t>PERU CONCEPT SOCIEDAD ANONIMA CERRADA</t>
  </si>
  <si>
    <t>MANUFACTURAS METALICAS HERJISA S.A.C</t>
  </si>
  <si>
    <t>CONSTRUCTORA ROKA SAC</t>
  </si>
  <si>
    <t>H &amp; Q COMERCIAL LISAGE E.I.R.L</t>
  </si>
  <si>
    <t>COMERCIAL ALEX JOS E.I.R.L.</t>
  </si>
  <si>
    <t>S&amp;V MULTITOYS SAC</t>
  </si>
  <si>
    <t>ARCONDI ARQUITECTOS E INGENIEROS SERVICIOS GENERALES EIRL</t>
  </si>
  <si>
    <t>LAURELES 321 SAC</t>
  </si>
  <si>
    <t>FISEND SERVICIOS GENERALES SAC</t>
  </si>
  <si>
    <t>IVISA CATERING EMPRESA INDIVIDUAL DE RESPONSABILIDAD LIMITAD</t>
  </si>
  <si>
    <t>DOS TORRES CORPORATION S.A.C.</t>
  </si>
  <si>
    <t>DECORACIONES IMPORT Y EXPORT DILUSADA SAC</t>
  </si>
  <si>
    <t>MULTINET WORKING SAC</t>
  </si>
  <si>
    <t>ADMINISTRADORA GRUPO CARMELINO S.A.C.</t>
  </si>
  <si>
    <t>CALDERON HERNANDEZ EQUIPAMIENTO SOCIEDAD ANONIMA CERRADA</t>
  </si>
  <si>
    <t>RAMOS PALOMINO YLIANA GLADYS</t>
  </si>
  <si>
    <t>S GAS S.A</t>
  </si>
  <si>
    <t>CORPORACION CLEANWORK EIRL</t>
  </si>
  <si>
    <t>AGUAS LATINAS PERU S.A.C.</t>
  </si>
  <si>
    <t>BUSINESS RENTS &amp; SERVICES E.I.R.L.</t>
  </si>
  <si>
    <t>I. E. P Â PORTAL DE BELEN S.A.C</t>
  </si>
  <si>
    <t>VILA ESQUIVEL DOLLY CARMELA</t>
  </si>
  <si>
    <t>CARLA MARGARITA ROMERO BUSTILLOS</t>
  </si>
  <si>
    <t>PERUVIAN SAFARIS SA</t>
  </si>
  <si>
    <t>EMP DE TRANSP TRUJILLO EXPRESS SRLTDA</t>
  </si>
  <si>
    <t>DANIEL PACHECO SILVA EIRL</t>
  </si>
  <si>
    <t>TRANLAZ E.I.R.L</t>
  </si>
  <si>
    <t>LAMIMUNDO E.I.R.L.</t>
  </si>
  <si>
    <t>ALTERNATIVA AZUL S.A.C</t>
  </si>
  <si>
    <t>Junta de Propietarios Av Javier Prado Oeste 1740 1748 1756</t>
  </si>
  <si>
    <t>SUMAC CATERING EIRL</t>
  </si>
  <si>
    <t>PERUVIAN WISDOM E.I.R.L.</t>
  </si>
  <si>
    <t>Millennials Investments SAC</t>
  </si>
  <si>
    <t>MARKETING ROOTS EIRL</t>
  </si>
  <si>
    <t>CLINICA SOLIDARIA SANTA ANITA S.A.C</t>
  </si>
  <si>
    <t>DEL MAR SUREÃ‘O S.A.C.</t>
  </si>
  <si>
    <t>RAN LOGISTICS S.A.C.</t>
  </si>
  <si>
    <t>HIDALGO DENTAL CARE S.A.C.</t>
  </si>
  <si>
    <t>CUATRO ESTACIONES S.A</t>
  </si>
  <si>
    <t>VICMARK EXPRESS E.I.R.L.</t>
  </si>
  <si>
    <t>EL CLUB DEL CAMARON E.I.R.L.</t>
  </si>
  <si>
    <t>CONSORCIO EJECUTOR SUNEC</t>
  </si>
  <si>
    <t>PULPO DEL PACIFICO E.I.R.L.</t>
  </si>
  <si>
    <t>AUTOFIX MOTORS S.A.C.</t>
  </si>
  <si>
    <t>AREVALO CORONADO HENRY</t>
  </si>
  <si>
    <t>NV Y CV S.A.C.</t>
  </si>
  <si>
    <t>CONSTRUCCION MANTENIMIENTO DE TELECOMUNICACIONES S.A.C. - CO</t>
  </si>
  <si>
    <t>TE ESCUCHO CENTRO TERAPEUTICO S.A.C.</t>
  </si>
  <si>
    <t>GAEL SPORT SAC</t>
  </si>
  <si>
    <t>QORI IMPORT EXPORT SAC</t>
  </si>
  <si>
    <t>GLM SERV. TERMO - ELECTROFUSION HDPE S.A.C.</t>
  </si>
  <si>
    <t>ASOCIACION CONGREGACION RELIGIOSA ASAMBLEA DE DIOS</t>
  </si>
  <si>
    <t>Frutos Ecologicos del Peru SAC</t>
  </si>
  <si>
    <t>INVERSIONES REFCH EIRL</t>
  </si>
  <si>
    <t>EMPRESA CONSTRUCTORA FORCON SOCIEDAD ANONIMA CERRADA</t>
  </si>
  <si>
    <t>inversiones bonzul sac</t>
  </si>
  <si>
    <t>RB CONSTRUCCIONES Y ACABADOS S.A.C</t>
  </si>
  <si>
    <t>ISC COMUNICATIONS S.A.C.</t>
  </si>
  <si>
    <t>CARES IMPORT S.A.C.</t>
  </si>
  <si>
    <t>VIDAL HENRIQUEZ JOSE MARTIN</t>
  </si>
  <si>
    <t>GRUPO ECONOLUX SAC</t>
  </si>
  <si>
    <t>INVERSIONES Y TRANSPORTES RIGO EIRL</t>
  </si>
  <si>
    <t>DOFERT S.A.C.</t>
  </si>
  <si>
    <t>ALIADOS Y MARKETING STRATEGY S.A.C.</t>
  </si>
  <si>
    <t>ILUMINITY DENT S.A.C.</t>
  </si>
  <si>
    <t>santos apolinar araujo ruiz</t>
  </si>
  <si>
    <t>SMART TRANSPORT SAC</t>
  </si>
  <si>
    <t>BUTRON RIVEROS JOHNNY AUGUSTO</t>
  </si>
  <si>
    <t>CLINICA SAN PEDRO SAC</t>
  </si>
  <si>
    <t>MINERA AURIPERU SAC</t>
  </si>
  <si>
    <t>CASA MATUK SRL</t>
  </si>
  <si>
    <t>VITRUBIO MUNDO DE INGENIERIA CONSULTORES Y CONTRATISTAS SAC</t>
  </si>
  <si>
    <t>SENOR DE HUANCA FACTORIA EIRL</t>
  </si>
  <si>
    <t>TRUCK EXPERTPERU S.A.C.</t>
  </si>
  <si>
    <t>SUMAC APAC SAC</t>
  </si>
  <si>
    <t>MATPHARMA S.A.C.</t>
  </si>
  <si>
    <t>SPORT SYSTEM LATAM EIRL</t>
  </si>
  <si>
    <t>COPCON CONSTRUCTORES SCRL</t>
  </si>
  <si>
    <t>SERVICIOS GENERALES ARTIC GROUP S.A.C.</t>
  </si>
  <si>
    <t>CONSTRUCCIONES Y PAVIMENTOS DEL NORTE EIRL</t>
  </si>
  <si>
    <t>GRUPO CARZAVILHINO SAC</t>
  </si>
  <si>
    <t>CONSTRUCTORA AQU PAMPA SOCIEDAD ANONIMA CERRADA</t>
  </si>
  <si>
    <t>TOLENTINO ALEJANDRO PORFIRIO CECILIO</t>
  </si>
  <si>
    <t>ALPE PERU CONTRATISTAS GENERALES SAC</t>
  </si>
  <si>
    <t>HYDROMATIC PERU SAC</t>
  </si>
  <si>
    <t>SERVI SEGURIDAD S.A.C.</t>
  </si>
  <si>
    <t>MERRIS CALZADO E.I.R.L.</t>
  </si>
  <si>
    <t>CHISAN Y GASTELO CONSULTORES SAC</t>
  </si>
  <si>
    <t>CLAS NUEVO CANDAMO</t>
  </si>
  <si>
    <t>HC INGENIEROS Y ARQUITECTOS ASOCIADOS SAC</t>
  </si>
  <si>
    <t>A Y CONTADORES SAC</t>
  </si>
  <si>
    <t>GRUPO EVC GAS EIRL</t>
  </si>
  <si>
    <t>EMPRESA DE TRANSPORTES Y SERVICIOS GENERALES ABESA EIRL</t>
  </si>
  <si>
    <t>golden asociados sac</t>
  </si>
  <si>
    <t>VILLE BLUE E.I.R.L</t>
  </si>
  <si>
    <t>STAMPA2 BLUE EIRL</t>
  </si>
  <si>
    <t>CORPORACION BODY POWER SAC</t>
  </si>
  <si>
    <t>RH ORQUIDEAS E.I.R.L.</t>
  </si>
  <si>
    <t>DUST COLLECTOR INGENIERIA Y TECNOLOGIA E.I.R.L.</t>
  </si>
  <si>
    <t>CONSORCIO VIAL PORTACHUELO</t>
  </si>
  <si>
    <t>IMPACK MEDIA SOCIEDAD ANONIMA CERRADA</t>
  </si>
  <si>
    <t>INVERSIONES ACTIVA M Y M S.A.C.</t>
  </si>
  <si>
    <t>TRANSPORTES Y SERVICIOS 2C Y K SAC</t>
  </si>
  <si>
    <t>GRUPO DHAMIR SAC</t>
  </si>
  <si>
    <t>EQUIPARQ S.A.C.</t>
  </si>
  <si>
    <t>LOTTUS CORPORATION E I R L</t>
  </si>
  <si>
    <t>CORPORACION ROANKA SAC</t>
  </si>
  <si>
    <t>TRANSPORTES &amp; SERVICIOS LOPEZ MOSQUERA E.I.R.L.</t>
  </si>
  <si>
    <t>CONTRATISTAS GENERALES NOOVA SAC</t>
  </si>
  <si>
    <t>ANDESMAR G Y M S.A.C.</t>
  </si>
  <si>
    <t>IPCT CONTRATISTAS GENERALES SRL</t>
  </si>
  <si>
    <t>M &amp; M Soluciones en Capital Humano SAC</t>
  </si>
  <si>
    <t>ALGOTEX TRADING SAC</t>
  </si>
  <si>
    <t>SERVICIOS DEL ACERO EIRL</t>
  </si>
  <si>
    <t>RM RIMER LOGISTICA CONSTRUCCION SAC</t>
  </si>
  <si>
    <t>METROLOGIA &amp; CALIDAD PERU S.A.C. MECALPE S.A.C.</t>
  </si>
  <si>
    <t>GRUPO LYS SERVICIOS EMPRESARIALES S.A.C.</t>
  </si>
  <si>
    <t>CL TRUCKS S.R.L.</t>
  </si>
  <si>
    <t>CONSTRUCTORA Y SERVICIOS  SHALOM SAC</t>
  </si>
  <si>
    <t>ER REPRESENTACIONES DEL SUR S.A.C.</t>
  </si>
  <si>
    <t>ByB INGENIERIA Y PROYECTOS S.A.C</t>
  </si>
  <si>
    <t>FS QUÃMICOS S.A.C.</t>
  </si>
  <si>
    <t>LEIMPORT EXPORT S.A.C.</t>
  </si>
  <si>
    <t>M Y R SHEGO EIRL</t>
  </si>
  <si>
    <t>CONSTRUCTORA E INGENIERIA S.A.M. EIRL</t>
  </si>
  <si>
    <t>DECORACIONES DE INT SOMAR EIRL</t>
  </si>
  <si>
    <t>GONZALEZ ROALCABA INGENIERO SAC</t>
  </si>
  <si>
    <t>Pardabe Cavilia Margot Elvira</t>
  </si>
  <si>
    <t>CHAVEZ GARRIDO EDGAR</t>
  </si>
  <si>
    <t>FORESTAL GIL SOCIEDAD COMERCIAL DE RESPONSABILIDAD LIMITADA</t>
  </si>
  <si>
    <t>TASK SERVICIOS PETROLEROS E.I.R.L.</t>
  </si>
  <si>
    <t>IngenierÃ­a Ambiental SAC</t>
  </si>
  <si>
    <t>MAYORSA IMPORT EIRL</t>
  </si>
  <si>
    <t>GESTION CONTINUA SOCIEDAD ANONIMA CERRADA</t>
  </si>
  <si>
    <t>REVERDECE PERU SAC</t>
  </si>
  <si>
    <t>SERVIARTE DRYWALL SAC</t>
  </si>
  <si>
    <t>MONTAJES Y OBRAS ELECTRICAS DEL NORTE EIRL</t>
  </si>
  <si>
    <t>CONSTRUCTORA JARG EIRL</t>
  </si>
  <si>
    <t>INVERSIONES KINTU CUSCO E.I.R.L.</t>
  </si>
  <si>
    <t>OBJETO S.A.C.</t>
  </si>
  <si>
    <t>CORPORACION M R Y S SRL</t>
  </si>
  <si>
    <t>ZEIBAR CC S.A.C.</t>
  </si>
  <si>
    <t>IMPORTACIONES D'LIDIA EIRL</t>
  </si>
  <si>
    <t>TRASCIENDE HC CONSTRUCCION S.A.C</t>
  </si>
  <si>
    <t>BCP CONSULTING E.I.R.L.</t>
  </si>
  <si>
    <t>JOLAND INGENIERIA Y CONSTRUCCION SOCIEDAD ANONIMA CERRADA</t>
  </si>
  <si>
    <t>ZANE DISTRIBUCIONES S.A.C.</t>
  </si>
  <si>
    <t>MENDEZ TENORIO DE VARGAS NATALY MARCELIN</t>
  </si>
  <si>
    <t>TEPS GROUP SAC</t>
  </si>
  <si>
    <t>CREACIONES VANA SRL</t>
  </si>
  <si>
    <t>DIAZ GABANCHO JAIME</t>
  </si>
  <si>
    <t>MULTIVENTAS MATERIALES DE CONSTRUCCION SAC</t>
  </si>
  <si>
    <t>LUBRICANTES Y SERVICIOS EL INCA EIRL</t>
  </si>
  <si>
    <t>TITANIUM 3Z GROUP SOCIEDAD ANONIMA CERRADA</t>
  </si>
  <si>
    <t>EVOLUCION LOGISTICA S.A.C.</t>
  </si>
  <si>
    <t>CORPORACION JOSECITO S.R.L.</t>
  </si>
  <si>
    <t>MULTILLANTAS DMV S.R.L.</t>
  </si>
  <si>
    <t>ASIA POWER TOOLS IMPORT SAC</t>
  </si>
  <si>
    <t>REALCE ACABADOS SOCIEDAD COMERCIAL DE RESPONSABILIDAD LIMITA</t>
  </si>
  <si>
    <t>3D DENTAL ASIA S.A.C.</t>
  </si>
  <si>
    <t>JS ENGINEERING NDT SERVICES CONSTRUCTION LOGISTICS SAC</t>
  </si>
  <si>
    <t>CONSORCIO PEDAGOGICO</t>
  </si>
  <si>
    <t>CAPSTONE GOLD CORPORATION E.I.R.L</t>
  </si>
  <si>
    <t>CAHUANA YARANGA DORIS MARITZA</t>
  </si>
  <si>
    <t>URANO CONSTRUCCIONES S.A.C.</t>
  </si>
  <si>
    <t>EMPRESA DE SERVICIOS MULTIPLES ALBERT EINSTEIN E.I.R.L</t>
  </si>
  <si>
    <t>JTELECOM S.A.C.</t>
  </si>
  <si>
    <t>EMPRESA DE TRANSPORTES MARIN HERMANOS SOCIEDAD ANONIMA CERRA</t>
  </si>
  <si>
    <t>GSA CORPORACION DEL PERU S.A.C.</t>
  </si>
  <si>
    <t>WOLF S GROUP H Y E S.A.C.</t>
  </si>
  <si>
    <t>MASTER METAL SERVICE E.I.R.L.</t>
  </si>
  <si>
    <t>GRUPO JH SEGURIDAD SOCIEDAD ANONIMA CERRADA</t>
  </si>
  <si>
    <t>SERVICIOS DE CARGA JV S.A.C.</t>
  </si>
  <si>
    <t>TRANSPORTES  E INVERSIONES LAGO   EIRL</t>
  </si>
  <si>
    <t>GRUPO CODISAL   SAC</t>
  </si>
  <si>
    <t>ALMACENES AYM SAC</t>
  </si>
  <si>
    <t>CORPORACION BRUNELLA E.I.R.L.</t>
  </si>
  <si>
    <t>GESMEDIC E.I.R.L.</t>
  </si>
  <si>
    <t>CEP SAN JUAN EIRL</t>
  </si>
  <si>
    <t>LAVANDERIA INDUSTRIAL SOLAR SAC</t>
  </si>
  <si>
    <t>MASA WERK S.A.C.</t>
  </si>
  <si>
    <t>HUAMAN GRANDA GLORIA MARIA</t>
  </si>
  <si>
    <t>MEZA DELGADO NORMA ALEJANDRA</t>
  </si>
  <si>
    <t>REPUESTOS Y REPRESENTACIONES H.P.G. E.I.R.L.</t>
  </si>
  <si>
    <t>METAL TEK J.J.B.G. S.A.C.</t>
  </si>
  <si>
    <t>GRUPO COMERCIAL MARY SAC</t>
  </si>
  <si>
    <t>CORPORACION SALUD J Y K EIRL</t>
  </si>
  <si>
    <t>DAHA SOLUCIONES E.I.R.L.</t>
  </si>
  <si>
    <t>GONZALES SOLES OSWALDO REYNERIO</t>
  </si>
  <si>
    <t>BATERIAS JAS EIRL</t>
  </si>
  <si>
    <t>ALANA GROUP S.A.C.</t>
  </si>
  <si>
    <t>ASOCIACION  DE POBLADORES DELPUEBLO  JOVEN  VIA  ALTA</t>
  </si>
  <si>
    <t>EMPRESA DE SERVICIOS GENERALES VENTURA SRL</t>
  </si>
  <si>
    <t>TRANSPORTES AGUERO EIRL</t>
  </si>
  <si>
    <t>GUSTOS MARY SAC</t>
  </si>
  <si>
    <t>ARPAY PERÃš S.A.C.</t>
  </si>
  <si>
    <t>CONSTRUCCIONES D Y OR SAC</t>
  </si>
  <si>
    <t>INVERSIONES YOSCARS E.I.R.L.</t>
  </si>
  <si>
    <t>METAL MECANICA PORRAS CAMACHO SAC</t>
  </si>
  <si>
    <t>CORPORACION REYPACK SOCIEDAD ANONIMA CERRADA</t>
  </si>
  <si>
    <t>TERLINDA DEL ROCIO LUNA VICTORIA RIVERA</t>
  </si>
  <si>
    <t>INVERSIONES REPSA E.I.R.L.</t>
  </si>
  <si>
    <t>JSA DEL PERU SAC</t>
  </si>
  <si>
    <t>STETIC SMART E.I.R.L.</t>
  </si>
  <si>
    <t>GZA PROVEEDORES PERU SAC</t>
  </si>
  <si>
    <t>QS REFRIGERACION Y PROYECTOS SAC</t>
  </si>
  <si>
    <t>ZAPATARIA KIARA LIZETH SAC</t>
  </si>
  <si>
    <t>QUESADA KATZUREN WALTER JESUS</t>
  </si>
  <si>
    <t>MURILLO BRICEÃ‘O JULIO CESAR</t>
  </si>
  <si>
    <t>OPTICA VALERIA  EIRL</t>
  </si>
  <si>
    <t>CORPORACION BRITAKY SAC</t>
  </si>
  <si>
    <t>CONSTRUCTORA Y SERVICIOS GENERALES LEMAR E.I.R.L.</t>
  </si>
  <si>
    <t>C Y B LOGINTEG S.A.C.</t>
  </si>
  <si>
    <t>INGENIEROS G Y CENTTI S.A.C.</t>
  </si>
  <si>
    <t>SATUS EIRL.</t>
  </si>
  <si>
    <t>ESCALANTE ARANDA JEYSON JAVIER</t>
  </si>
  <si>
    <t>COMERCIALIZADORA TONY PIG EIRL</t>
  </si>
  <si>
    <t>HUILLCA UMASI KARYN MARIBEL</t>
  </si>
  <si>
    <t>OYOLA Y ASOCIADOS SAC</t>
  </si>
  <si>
    <t>EL CAÃ‘AVERAL RECREACIONES SOCIEDAD COMERCIAL DE RESPONSABILI</t>
  </si>
  <si>
    <t>TRANSJUNIN SRL</t>
  </si>
  <si>
    <t>CORPORACION E INVERSIONES MY TRIUNFO EIRL</t>
  </si>
  <si>
    <t>MATATA FOOD CENTER E.I.R.L</t>
  </si>
  <si>
    <t>GRUPO EDUCATIVO INIYKUSIRIY SAC</t>
  </si>
  <si>
    <t>GRUPO EMPRESARIAL C &amp; S S.A.C.</t>
  </si>
  <si>
    <t>CONSTRUCTORA BERNILLA E.I.R.L.</t>
  </si>
  <si>
    <t>VIRINGOS RESTOBAR S.A.C.</t>
  </si>
  <si>
    <t>DIOS ES MI PASTOR PLANTA DE BENEFICIO LOS PAUCAR E.I.R.L.</t>
  </si>
  <si>
    <t>AZARPERU SAC</t>
  </si>
  <si>
    <t>INDUSTRIAS Y SERVICIOS FORESTALES EL CEDRO EIRL</t>
  </si>
  <si>
    <t>FAENCAR SRL</t>
  </si>
  <si>
    <t>MINERA IRL S.A.</t>
  </si>
  <si>
    <t>ANA KAREN NEGOCIOS Y REPRESENTACIONES S.A.C.</t>
  </si>
  <si>
    <t>JOCTA CONSTRUCTORES EIRL</t>
  </si>
  <si>
    <t>municipalidad c p Villa del mar</t>
  </si>
  <si>
    <t>INGECORP SEGURIDAD E INGENIERIA E.I.R.L.</t>
  </si>
  <si>
    <t>INVERSIONES ODIMAR SAC</t>
  </si>
  <si>
    <t>INVERSIONES PUREZA EIRL</t>
  </si>
  <si>
    <t>BUENA VISTA CONTRATISTAS GENERALES SAC</t>
  </si>
  <si>
    <t>Negociaciones Maximus EIRL</t>
  </si>
  <si>
    <t>INVERSIONES JESSIMAR E.I.R.L.</t>
  </si>
  <si>
    <t>CORPORACION ORE DIAZ EIRL</t>
  </si>
  <si>
    <t>CONSORCIO SUPERVISOR VIAL NORTE</t>
  </si>
  <si>
    <t>EMPRESA DE SERVICIOS SANTA MONICA SRL</t>
  </si>
  <si>
    <t>GC Business School S.A.C.</t>
  </si>
  <si>
    <t>NOA ULARTE REYNA SOLEDAD</t>
  </si>
  <si>
    <t>CERVEZAS ARTESANALES PERU SAC</t>
  </si>
  <si>
    <t>J &amp; S AUTOMOTRIZ ASOCIADOS E.I.R.L.</t>
  </si>
  <si>
    <t>STRUCTURAL SMART EQUIPAMENT RETAIL SAC</t>
  </si>
  <si>
    <t>ARESTAMINA CORPORATION S.A.C.</t>
  </si>
  <si>
    <t>M Y G  SPAZIO S.A.C</t>
  </si>
  <si>
    <t>MARKET CHINA SAC</t>
  </si>
  <si>
    <t>ELVIS INVERSIONES INMOBILIARIAS EIRL</t>
  </si>
  <si>
    <t>MIAVAL EIRL</t>
  </si>
  <si>
    <t>TABLEROS KEPAL E.I.R.L</t>
  </si>
  <si>
    <t>CLINIC MEDICAL MANCORA S.A.C.</t>
  </si>
  <si>
    <t>TECNOPLAS SRL</t>
  </si>
  <si>
    <t>CAPRI'S BULLS S.R.L.</t>
  </si>
  <si>
    <t>CONSORCIO SUPERVISOR DESARROLLO VIAL</t>
  </si>
  <si>
    <t>CORPORACION DE CONSTRUCCION Y TRANSPORTE MAYRA SAC</t>
  </si>
  <si>
    <t>CORIDIMIS S.R.L.</t>
  </si>
  <si>
    <t>INVERSIONES Y NEGOCIACIONES TURISTICAS FYM EIRL</t>
  </si>
  <si>
    <t>AGROPECUARIA VALLECITO SA</t>
  </si>
  <si>
    <t>MANUEL ESTUARDO MASIAS MARROU</t>
  </si>
  <si>
    <t>CAMARA INTERNACIONAL DE GASTRONOMIA</t>
  </si>
  <si>
    <t>AISLAMIENTOS TERMICOS CERAMICOS SOCIEDAD ANONIMA CERRADA</t>
  </si>
  <si>
    <t>DEXER SRL</t>
  </si>
  <si>
    <t>INGO CASA PERU S.A.C.</t>
  </si>
  <si>
    <t>SUCLUPE MORANTE KATTY ELIZABETH</t>
  </si>
  <si>
    <t>INDUSTRIAS WINDSOR SAC</t>
  </si>
  <si>
    <t>OVM SAC</t>
  </si>
  <si>
    <t>IDEAS APLICADAS S.A</t>
  </si>
  <si>
    <t>NOVIEMBRE</t>
  </si>
  <si>
    <t>10004908843</t>
  </si>
  <si>
    <t>10026192400</t>
  </si>
  <si>
    <t>10081338774</t>
  </si>
  <si>
    <t>10086115072</t>
  </si>
  <si>
    <t>MARAVI LAGOS JORGE</t>
  </si>
  <si>
    <t>10100261605</t>
  </si>
  <si>
    <t>10178375291</t>
  </si>
  <si>
    <t>10277471332</t>
  </si>
  <si>
    <t>10321087952</t>
  </si>
  <si>
    <t>10404047103</t>
  </si>
  <si>
    <t>ROSALES HUERTA JANDO DIOGENES</t>
  </si>
  <si>
    <t>10410886150</t>
  </si>
  <si>
    <t>DE LIMA PAULINO GAMIO ARACELLI</t>
  </si>
  <si>
    <t>15603354831</t>
  </si>
  <si>
    <t>ARQUITEX S A</t>
  </si>
  <si>
    <t>20100112648</t>
  </si>
  <si>
    <t>EMPRESA DE TRANSPORTES HILDA S.A.C.</t>
  </si>
  <si>
    <t>20123697864</t>
  </si>
  <si>
    <t>ASOCIACION DE POBLADORES DEL PUEBLO JOVEN VIÑA ALTA LA MOLINA</t>
  </si>
  <si>
    <t>20197398567</t>
  </si>
  <si>
    <t>20321592229</t>
  </si>
  <si>
    <t>AQUA FLASH - FONTANEROS S.R.L.</t>
  </si>
  <si>
    <t>20376827055</t>
  </si>
  <si>
    <t>M &amp; M SOLUCIONES EN CAPITAL HUMANO SAC</t>
  </si>
  <si>
    <t>20451491297</t>
  </si>
  <si>
    <t>ROHA CONSTRUCCION Y MINERIA S.A.C.</t>
  </si>
  <si>
    <t>20454377011</t>
  </si>
  <si>
    <t>20480515961</t>
  </si>
  <si>
    <t>4A SOLUCIONES INTEGRALES S.A.C.</t>
  </si>
  <si>
    <t>20492325784</t>
  </si>
  <si>
    <t>PANADERIA Y PASTELERIA AVE MARIA E.I.R.L</t>
  </si>
  <si>
    <t>20493382528</t>
  </si>
  <si>
    <t>TUBOL S.A.</t>
  </si>
  <si>
    <t>20498082913</t>
  </si>
  <si>
    <t>CASA MATUK S.R.L.</t>
  </si>
  <si>
    <t>20498587012</t>
  </si>
  <si>
    <t>ROMIFER E.I.R.L.</t>
  </si>
  <si>
    <t>20504796508</t>
  </si>
  <si>
    <t>CORPORACION ANGO S.A.C.</t>
  </si>
  <si>
    <t>20510202946</t>
  </si>
  <si>
    <t>CORPORACION VIRGEN DE GUADALUPE SOCIEDAD ANONIMA CERRADA-CORPORACION VIRGEN DE GUADALUPE S.A.C.</t>
  </si>
  <si>
    <t>20515204165</t>
  </si>
  <si>
    <t>JCR PRODUCCIONES S.R.L.</t>
  </si>
  <si>
    <t>20520988239</t>
  </si>
  <si>
    <t>20523226933</t>
  </si>
  <si>
    <t>20534421703</t>
  </si>
  <si>
    <t>MULTISERVICIOS EXPRESO DEL SUR SOCIEDAD ANONIMA CERRADA</t>
  </si>
  <si>
    <t>20535090883</t>
  </si>
  <si>
    <t>INDUSTRIAS DEL FRIO FA MAU S.A.C.</t>
  </si>
  <si>
    <t>20537295334</t>
  </si>
  <si>
    <t>GUSTOS MARY SOCIEDAD ANONIMA CERRADA</t>
  </si>
  <si>
    <t>20537886294</t>
  </si>
  <si>
    <t>20538512312</t>
  </si>
  <si>
    <t>TRANSPORTES CAJITAS CARGO E.I.R.L.</t>
  </si>
  <si>
    <t>20543817512</t>
  </si>
  <si>
    <t>INVERSIONES Y SERVICIOS LOS LAGOS S.A.C.</t>
  </si>
  <si>
    <t>20544296222</t>
  </si>
  <si>
    <t>S &amp; V TRANSPORTE Y SERVICIOS GENERALES S.A.C.</t>
  </si>
  <si>
    <t>20549017470</t>
  </si>
  <si>
    <t>VITALITY S.A.C.</t>
  </si>
  <si>
    <t>20549119043</t>
  </si>
  <si>
    <t>INVERSIONES REFCH E.I.R.L.</t>
  </si>
  <si>
    <t>20554482211</t>
  </si>
  <si>
    <t>SERVIARTE DRYWALL S.A.C.</t>
  </si>
  <si>
    <t>20558361248</t>
  </si>
  <si>
    <t>HV ELECTRIC SERVICES S.A.C.</t>
  </si>
  <si>
    <t>20558622068</t>
  </si>
  <si>
    <t>20560037628</t>
  </si>
  <si>
    <t>20566213002</t>
  </si>
  <si>
    <t>METROLOGIA &amp; CALIDAD PERU S.A.C. - MECALPE S.A.C.</t>
  </si>
  <si>
    <t>20600292197</t>
  </si>
  <si>
    <t>ASOCIACION CIVIL EDUCATIVA AGAPE KAI DIACONIA-OLMOS</t>
  </si>
  <si>
    <t>20600298080</t>
  </si>
  <si>
    <t>CORPORACION CLEANWORK E.I.R.L.</t>
  </si>
  <si>
    <t>20600510330</t>
  </si>
  <si>
    <t>ALBER PROYECTOS EN GENERAL S.A.C.</t>
  </si>
  <si>
    <t>20600630033</t>
  </si>
  <si>
    <t>MONTAJES Y OBRAS ELECTRICAS DEL NORTE EMPRESA INDIVIDUAL DE RESPONSABILIDAD LIMITADA</t>
  </si>
  <si>
    <t>20600707346</t>
  </si>
  <si>
    <t>EMPRESA DE TRANSPORTES Y SERVICIOS GENERALES ABESA E.I.R.L.</t>
  </si>
  <si>
    <t>20600720636</t>
  </si>
  <si>
    <t>ARCONDI ARQUITECTOS E INGENIEROS SERVICIOS GENERALES E.I.R.L</t>
  </si>
  <si>
    <t>20601068088</t>
  </si>
  <si>
    <t>20601096430</t>
  </si>
  <si>
    <t>20601305276</t>
  </si>
  <si>
    <t>20601638496</t>
  </si>
  <si>
    <t>FABRICACIONES OSELU E.I.R.L.</t>
  </si>
  <si>
    <t>20601648661</t>
  </si>
  <si>
    <t>20601652600</t>
  </si>
  <si>
    <t>G &amp; D SURCONS S.A.C.</t>
  </si>
  <si>
    <t>20601909732</t>
  </si>
  <si>
    <t>CONSULTORA MORALES &amp; REYES SOCIEDAD ANONIMA CERRADA - CONSULTORA MORALES &amp; REYES S.A.C.</t>
  </si>
  <si>
    <t>20602022308</t>
  </si>
  <si>
    <t>CORPORACION TEXAM CHAVEZ S.A.C.</t>
  </si>
  <si>
    <t>20602042295</t>
  </si>
  <si>
    <t>MOLINERA DON JULIO S.A.C.</t>
  </si>
  <si>
    <t>20602290248</t>
  </si>
  <si>
    <t>VILLE BLUE E.I.R.L.</t>
  </si>
  <si>
    <t>20602354939</t>
  </si>
  <si>
    <t>GRUPO TEKNOMEAL - FYN S.A.C.</t>
  </si>
  <si>
    <t>20602720391</t>
  </si>
  <si>
    <t>20602799361</t>
  </si>
  <si>
    <t>SIETE MEDIOS S.A.C.</t>
  </si>
  <si>
    <t>20603083670</t>
  </si>
  <si>
    <t>20603257121</t>
  </si>
  <si>
    <t>PERUVIAN INKA FRUIT S.A.C.</t>
  </si>
  <si>
    <t>20603513925</t>
  </si>
  <si>
    <t>CORPORACION BODY POWER S.A.C.</t>
  </si>
  <si>
    <t>20603717105</t>
  </si>
  <si>
    <t>LA TAULA FOOD S.R.L.</t>
  </si>
  <si>
    <t>20603841418</t>
  </si>
  <si>
    <t>20603930283</t>
  </si>
  <si>
    <t>ALLESMARKT EMPRESA INDIVIDUAL DE RESPONSABILIDAD LIMITADA - ALLESMARKT E.I.R.L.</t>
  </si>
  <si>
    <t>20604136548</t>
  </si>
  <si>
    <t>20604726906</t>
  </si>
  <si>
    <t>CLINICA SOLIDARIA SANTA ANITA SOCIEDAD ANONIMA CERRADA - CLINICA SOLIDARIA SANTA ANITA S.A.C.</t>
  </si>
  <si>
    <t>20605358129</t>
  </si>
  <si>
    <t>RH ORQUIDEAS S.A.C.</t>
  </si>
  <si>
    <t>20605360174</t>
  </si>
  <si>
    <t>GRUPO 33 PROYECTOS GASTRONOMICOS SOCIEDAD ANONIMA CERRADA</t>
  </si>
  <si>
    <t>20605481656</t>
  </si>
  <si>
    <t>20605598804</t>
  </si>
  <si>
    <t>XBEL TECHNOLOGY S.A.C.</t>
  </si>
  <si>
    <t>20605625585</t>
  </si>
  <si>
    <t>HISPANATURA S.A.C.</t>
  </si>
  <si>
    <t>20605733027</t>
  </si>
  <si>
    <t>20606009021</t>
  </si>
  <si>
    <t>20606176199</t>
  </si>
  <si>
    <t>20606269031</t>
  </si>
  <si>
    <t>DEL MAR SUREÑO SOCIEDAD ANONIMA CERRADA</t>
  </si>
  <si>
    <t>20606379588</t>
  </si>
  <si>
    <t>20606512636</t>
  </si>
  <si>
    <t>20606543353</t>
  </si>
  <si>
    <t>20607244686</t>
  </si>
  <si>
    <t>20607301515</t>
  </si>
  <si>
    <t>AYVA E.I.R.L.</t>
  </si>
  <si>
    <t>20608197681</t>
  </si>
  <si>
    <t>20608666851</t>
  </si>
  <si>
    <t>20608703277</t>
  </si>
  <si>
    <t>20608792113</t>
  </si>
  <si>
    <t>EMPRESA DE TRANSPORTES GAF LAOS E.I.R.L. - GAF LAOS E.I.R.L.</t>
  </si>
  <si>
    <t>20608879022</t>
  </si>
  <si>
    <t>IMPORTACIONES D´LIDIA EIRL</t>
  </si>
  <si>
    <t>20608904655</t>
  </si>
  <si>
    <t>MULTISERVICIOS MEJAMS S.A.C.</t>
  </si>
  <si>
    <t>20609040433</t>
  </si>
  <si>
    <t>METAL GROUP M&amp;R SOCIEDAD ANONIMA CERRADA</t>
  </si>
  <si>
    <t>20609392208</t>
  </si>
  <si>
    <t>20609499517</t>
  </si>
  <si>
    <t>20609655870</t>
  </si>
  <si>
    <t>20609904110</t>
  </si>
  <si>
    <t>20609908964</t>
  </si>
  <si>
    <t>INVERSIONES MAQUINSERVICE S.A.C.</t>
  </si>
  <si>
    <t>20609988658</t>
  </si>
  <si>
    <t>20610011609</t>
  </si>
  <si>
    <t>20610091955</t>
  </si>
  <si>
    <t>20610157450</t>
  </si>
  <si>
    <t>20610364935</t>
  </si>
  <si>
    <t>CORPORACIÓN BENAVIDES &amp; ASOCIADOS GUTIERREZ S.A.C</t>
  </si>
  <si>
    <t>20610521739</t>
  </si>
  <si>
    <t>PRANEE SOCIEDAD ANONIMA CERRADA</t>
  </si>
  <si>
    <t>20610786686</t>
  </si>
  <si>
    <t>LOTTUS CORPORATION EMPRESA INDIVIDUAL DE RESPONSABILIDAD LIMITADA</t>
  </si>
  <si>
    <t>20611106191</t>
  </si>
  <si>
    <t>20611659131</t>
  </si>
  <si>
    <t>20611662492</t>
  </si>
  <si>
    <t>INDUSTRIAS GANADERAS HP S.A.C.</t>
  </si>
  <si>
    <t>20611665076</t>
  </si>
  <si>
    <t>INSTITUCION EDUCATIVA PRIVADA SAN JUAN BAUTISTA DE LIMA S.A.C.</t>
  </si>
  <si>
    <t>20612189189</t>
  </si>
  <si>
    <t>20612404454</t>
  </si>
  <si>
    <t>TABLEROS BREÑA S.A.C.</t>
  </si>
  <si>
    <t>20612873497</t>
  </si>
  <si>
    <t>20612966797</t>
  </si>
  <si>
    <t>ESTILOS DARUAST E.I.R.L.</t>
  </si>
  <si>
    <t>20613318802</t>
  </si>
  <si>
    <t>20613388126</t>
  </si>
  <si>
    <t>20614141990</t>
  </si>
  <si>
    <t>20614142627</t>
  </si>
  <si>
    <t>DECORACIONES DE INTERIORES SOMAR E.I.R.L</t>
  </si>
  <si>
    <t>20614221292</t>
  </si>
  <si>
    <t>IDEAS APLICADAS SA</t>
  </si>
  <si>
    <t>20107945874</t>
  </si>
  <si>
    <t>INSTITUCION EDUCATIVA NUESTRA SEñORA DE LA ASUNTA S.R.L. - IENSA S.R.L.</t>
  </si>
  <si>
    <t>20453989861</t>
  </si>
  <si>
    <t>20477349243</t>
  </si>
  <si>
    <t>20479722138</t>
  </si>
  <si>
    <t>20508114843</t>
  </si>
  <si>
    <t>20509470848</t>
  </si>
  <si>
    <t>20514740152</t>
  </si>
  <si>
    <t>20519499780</t>
  </si>
  <si>
    <t>MASIAS MARROU MANUEL ESTUARDO</t>
  </si>
  <si>
    <t>10070065571</t>
  </si>
  <si>
    <t>AGROPECUARIA VALLECITO S.A.</t>
  </si>
  <si>
    <t>20203252324</t>
  </si>
  <si>
    <t>DEXER S R L</t>
  </si>
  <si>
    <t>20216839570</t>
  </si>
  <si>
    <t>CAPRI´S BULLS S.R.L.</t>
  </si>
  <si>
    <t>20440395164</t>
  </si>
  <si>
    <t>20515270036</t>
  </si>
  <si>
    <t>20601613256</t>
  </si>
  <si>
    <t>MIAVAL E.I.R.L.</t>
  </si>
  <si>
    <t>20601745438</t>
  </si>
  <si>
    <t>20613793357</t>
  </si>
  <si>
    <t>20613405322</t>
  </si>
  <si>
    <t>Total Suma de Suma Total</t>
  </si>
  <si>
    <t>Total Q</t>
  </si>
  <si>
    <t>Q</t>
  </si>
  <si>
    <t>9</t>
  </si>
  <si>
    <t>10</t>
  </si>
  <si>
    <t>11</t>
  </si>
  <si>
    <t>Mes</t>
  </si>
  <si>
    <t>Nov</t>
  </si>
  <si>
    <t>Dia Habil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</si>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</sst>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0.0%"/>
    <numFmt numFmtId="165" formatCode="_-* #,##0.0_-;\-* #,##0.0_-;_-* &quot;-&quot;??_-;_-@_-"/>
    <numFmt numFmtId="166" formatCode="_-[$S/-280A]\ * #,##0.00_-;\-[$S/-280A]\ * #,##0.00_-;_-[$S/-280A]\ * &quot;-&quot;??_-;_-@_-"/>
    <numFmt numFmtId="168" formatCode="&quot;S/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1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2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left"/>
    </xf>
    <xf numFmtId="164" fontId="0" fillId="0" borderId="0" xfId="2" applyNumberFormat="1" applyFont="1" applyBorder="1"/>
    <xf numFmtId="0" fontId="0" fillId="0" borderId="5" xfId="0" applyBorder="1" applyAlignment="1">
      <alignment horizontal="left"/>
    </xf>
    <xf numFmtId="164" fontId="0" fillId="0" borderId="0" xfId="0" applyNumberFormat="1"/>
    <xf numFmtId="164" fontId="0" fillId="3" borderId="0" xfId="0" applyNumberFormat="1" applyFill="1"/>
    <xf numFmtId="0" fontId="3" fillId="4" borderId="6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16" fontId="0" fillId="0" borderId="0" xfId="0" applyNumberFormat="1" applyAlignment="1">
      <alignment horizontal="left"/>
    </xf>
    <xf numFmtId="164" fontId="2" fillId="5" borderId="0" xfId="2" applyNumberFormat="1" applyFont="1" applyFill="1" applyBorder="1"/>
    <xf numFmtId="165" fontId="0" fillId="0" borderId="0" xfId="1" applyNumberFormat="1" applyFont="1" applyBorder="1"/>
    <xf numFmtId="165" fontId="0" fillId="0" borderId="7" xfId="1" applyNumberFormat="1" applyFont="1" applyBorder="1"/>
    <xf numFmtId="0" fontId="0" fillId="0" borderId="5" xfId="0" applyBorder="1"/>
    <xf numFmtId="0" fontId="0" fillId="0" borderId="8" xfId="0" applyBorder="1"/>
    <xf numFmtId="9" fontId="0" fillId="0" borderId="8" xfId="2" applyFont="1" applyBorder="1"/>
    <xf numFmtId="165" fontId="0" fillId="0" borderId="8" xfId="1" applyNumberFormat="1" applyFont="1" applyBorder="1"/>
    <xf numFmtId="165" fontId="0" fillId="0" borderId="9" xfId="1" applyNumberFormat="1" applyFont="1" applyBorder="1"/>
    <xf numFmtId="0" fontId="2" fillId="2" borderId="10" xfId="0" applyFont="1" applyFill="1" applyBorder="1"/>
    <xf numFmtId="0" fontId="0" fillId="0" borderId="10" xfId="0" applyBorder="1"/>
    <xf numFmtId="0" fontId="0" fillId="0" borderId="10" xfId="0" applyBorder="1" applyAlignment="1">
      <alignment horizontal="left"/>
    </xf>
    <xf numFmtId="164" fontId="0" fillId="0" borderId="10" xfId="2" applyNumberFormat="1" applyFont="1" applyBorder="1"/>
    <xf numFmtId="164" fontId="0" fillId="0" borderId="10" xfId="0" applyNumberFormat="1" applyBorder="1"/>
    <xf numFmtId="164" fontId="0" fillId="3" borderId="10" xfId="0" applyNumberFormat="1" applyFill="1" applyBorder="1"/>
    <xf numFmtId="165" fontId="0" fillId="0" borderId="10" xfId="1" applyNumberFormat="1" applyFont="1" applyBorder="1"/>
    <xf numFmtId="16" fontId="0" fillId="0" borderId="0" xfId="0" applyNumberFormat="1" applyBorder="1" applyAlignment="1">
      <alignment horizontal="left"/>
    </xf>
    <xf numFmtId="0" fontId="0" fillId="0" borderId="0" xfId="0" applyBorder="1"/>
    <xf numFmtId="9" fontId="0" fillId="0" borderId="2" xfId="2" applyFont="1" applyBorder="1"/>
    <xf numFmtId="165" fontId="0" fillId="0" borderId="2" xfId="1" applyNumberFormat="1" applyFont="1" applyBorder="1"/>
    <xf numFmtId="14" fontId="0" fillId="3" borderId="0" xfId="0" applyNumberFormat="1" applyFill="1"/>
    <xf numFmtId="166" fontId="0" fillId="0" borderId="0" xfId="0" applyNumberFormat="1" applyAlignment="1">
      <alignment horizontal="center"/>
    </xf>
    <xf numFmtId="10" fontId="2" fillId="5" borderId="0" xfId="2" applyNumberFormat="1" applyFont="1" applyFill="1" applyBorder="1"/>
    <xf numFmtId="10" fontId="0" fillId="0" borderId="0" xfId="2" applyNumberFormat="1" applyFont="1" applyBorder="1"/>
    <xf numFmtId="16" fontId="0" fillId="0" borderId="8" xfId="0" applyNumberFormat="1" applyBorder="1" applyAlignment="1">
      <alignment horizontal="left"/>
    </xf>
    <xf numFmtId="0" fontId="0" fillId="0" borderId="4" xfId="0" applyFill="1" applyBorder="1" applyAlignment="1">
      <alignment horizontal="left"/>
    </xf>
    <xf numFmtId="164" fontId="0" fillId="0" borderId="8" xfId="2" applyNumberFormat="1" applyFont="1" applyBorder="1"/>
    <xf numFmtId="10" fontId="0" fillId="0" borderId="8" xfId="2" applyNumberFormat="1" applyFont="1" applyBorder="1"/>
    <xf numFmtId="43" fontId="0" fillId="0" borderId="0" xfId="0" applyNumberFormat="1"/>
    <xf numFmtId="9" fontId="0" fillId="0" borderId="0" xfId="2" applyFont="1" applyBorder="1"/>
    <xf numFmtId="164" fontId="0" fillId="3" borderId="0" xfId="2" applyNumberFormat="1" applyFont="1" applyFill="1"/>
    <xf numFmtId="164" fontId="0" fillId="0" borderId="0" xfId="2" applyNumberFormat="1" applyFont="1"/>
    <xf numFmtId="165" fontId="0" fillId="6" borderId="10" xfId="1" applyNumberFormat="1" applyFont="1" applyFill="1" applyBorder="1"/>
    <xf numFmtId="44" fontId="0" fillId="0" borderId="0" xfId="3" applyFont="1"/>
    <xf numFmtId="9" fontId="0" fillId="0" borderId="0" xfId="0" applyNumberFormat="1"/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left"/>
    </xf>
    <xf numFmtId="168" fontId="0" fillId="0" borderId="0" xfId="0" pivotButton="1" applyNumberFormat="1" applyAlignment="1">
      <alignment horizontal="center"/>
    </xf>
    <xf numFmtId="168" fontId="0" fillId="0" borderId="0" xfId="0" applyNumberFormat="1" applyAlignment="1">
      <alignment horizontal="center"/>
    </xf>
    <xf numFmtId="14" fontId="0" fillId="0" borderId="0" xfId="0" applyNumberFormat="1" applyFill="1"/>
    <xf numFmtId="164" fontId="0" fillId="5" borderId="0" xfId="2" applyNumberFormat="1" applyFont="1" applyFill="1" applyBorder="1"/>
    <xf numFmtId="164" fontId="0" fillId="0" borderId="0" xfId="2" applyNumberFormat="1" applyFont="1" applyFill="1" applyBorder="1"/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429"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numFmt numFmtId="168" formatCode="&quot;S/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_-[$S/-280A]\ * #,##0.00_-;\-[$S/-280A]\ * #,##0.00_-;_-[$S/-280A]\ * &quot;-&quot;??_-;_-@_-"/>
    </dxf>
    <dxf>
      <numFmt numFmtId="166" formatCode="_-[$S/-280A]\ * #,##0.00_-;\-[$S/-280A]\ * #,##0.00_-;_-[$S/-280A]\ * &quot;-&quot;??_-;_-@_-"/>
    </dxf>
    <dxf>
      <numFmt numFmtId="166" formatCode="_-[$S/-280A]\ * #,##0.00_-;\-[$S/-280A]\ * #,##0.00_-;_-[$S/-280A]\ * &quot;-&quot;??_-;_-@_-"/>
    </dxf>
    <dxf>
      <numFmt numFmtId="166" formatCode="_-[$S/-280A]\ * #,##0.00_-;\-[$S/-280A]\ * #,##0.00_-;_-[$S/-280A]\ * &quot;-&quot;??_-;_-@_-"/>
    </dxf>
    <dxf>
      <numFmt numFmtId="166" formatCode="_-[$S/-280A]\ * #,##0.00_-;\-[$S/-280A]\ * #,##0.00_-;_-[$S/-280A]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Libro2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66.471548842594" createdVersion="7" refreshedVersion="7" minRefreshableVersion="3" recordCount="43" xr:uid="{AF4E882D-3569-4FCA-BB45-D65F4A586A06}">
  <cacheSource type="worksheet">
    <worksheetSource ref="A2:E45" sheet="Hoja9" r:id="rId2"/>
  </cacheSource>
  <cacheFields count="5">
    <cacheField name="Etiquetas de fila" numFmtId="14">
      <sharedItems containsSemiMixedTypes="0" containsNonDate="0" containsDate="1" containsString="0" minDate="2025-09-09T00:00:00" maxDate="2025-11-05T00:00:00"/>
    </cacheField>
    <cacheField name="Q" numFmtId="0">
      <sharedItems containsSemiMixedTypes="0" containsString="0" containsNumber="1" containsInteger="1" minValue="1" maxValue="12"/>
    </cacheField>
    <cacheField name="Suma de MONTO" numFmtId="0">
      <sharedItems containsSemiMixedTypes="0" containsString="0" containsNumber="1" minValue="66.099999999999994" maxValue="4761.17"/>
    </cacheField>
    <cacheField name="Dia habil" numFmtId="0">
      <sharedItems containsSemiMixedTypes="0" containsString="0" containsNumber="1" containsInteger="1" minValue="1" maxValue="22" count="22"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1"/>
        <n v="3"/>
        <n v="4"/>
        <n v="5"/>
        <n v="6"/>
        <n v="2"/>
      </sharedItems>
    </cacheField>
    <cacheField name="MES" numFmtId="0">
      <sharedItems containsSemiMixedTypes="0" containsString="0" containsNumber="1" containsInteger="1" minValue="9" maxValue="10" count="2">
        <n v="9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66.523274189814" createdVersion="7" refreshedVersion="7" minRefreshableVersion="3" recordCount="1153" xr:uid="{25EA27E9-79F3-489E-9E21-27C9099A8A65}">
  <cacheSource type="worksheet">
    <worksheetSource ref="A1:G1154" sheet="CUADRO PLAN"/>
  </cacheSource>
  <cacheFields count="8">
    <cacheField name="CAMPAÑA" numFmtId="0">
      <sharedItems/>
    </cacheField>
    <cacheField name="DOCUMENTO" numFmtId="0">
      <sharedItems containsSemiMixedTypes="0" containsString="0" containsNumber="1" containsInteger="1" minValue="10001106878" maxValue="20614396173"/>
    </cacheField>
    <cacheField name="RAZON SOCIAL" numFmtId="0">
      <sharedItems/>
    </cacheField>
    <cacheField name="PERIODOS PAGADOS" numFmtId="0">
      <sharedItems longText="1"/>
    </cacheField>
    <cacheField name="Fecha de Pago" numFmtId="14">
      <sharedItems containsSemiMixedTypes="0" containsNonDate="0" containsDate="1" containsString="0" minDate="2025-09-08T00:00:00" maxDate="2025-11-04T00:00:00" count="54"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9T00:00:00"/>
        <d v="2025-10-05T00:00:00"/>
        <d v="2025-10-08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</sharedItems>
      <fieldGroup par="7" base="4">
        <rangePr groupBy="days" startDate="2025-09-08T00:00:00" endDate="2025-11-04T00:00:00"/>
        <groupItems count="368">
          <s v="&lt;8/09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4/11/2025"/>
        </groupItems>
      </fieldGroup>
    </cacheField>
    <cacheField name="Suma Total" numFmtId="0">
      <sharedItems containsSemiMixedTypes="0" containsString="0" containsNumber="1" minValue="0.18" maxValue="79392.31"/>
    </cacheField>
    <cacheField name="CAMPAÑA2" numFmtId="0">
      <sharedItems count="2">
        <s v="SETIEMBRE"/>
        <s v="OCTUBRE"/>
      </sharedItems>
    </cacheField>
    <cacheField name="Meses" numFmtId="0" databaseField="0">
      <fieldGroup base="4">
        <rangePr groupBy="months" startDate="2025-09-08T00:00:00" endDate="2025-11-04T00:00:00"/>
        <groupItems count="14">
          <s v="&lt;8/09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4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66.52352800926" createdVersion="7" refreshedVersion="7" minRefreshableVersion="3" recordCount="63" xr:uid="{C620862C-9625-47F6-94B0-4F301F1E8B2F}">
  <cacheSource type="worksheet">
    <worksheetSource ref="A1:D64" sheet="Hoja13"/>
  </cacheSource>
  <cacheFields count="4">
    <cacheField name="Etiquetas de fila" numFmtId="14">
      <sharedItems containsSemiMixedTypes="0" containsNonDate="0" containsDate="1" containsString="0" minDate="2025-09-01T00:00:00" maxDate="2025-11-04T00:00:00"/>
    </cacheField>
    <cacheField name="Suma de Suma Total" numFmtId="0">
      <sharedItems containsSemiMixedTypes="0" containsString="0" containsNumber="1" minValue="229.45000000000002" maxValue="86203.489999999991"/>
    </cacheField>
    <cacheField name="MES" numFmtId="0">
      <sharedItems containsSemiMixedTypes="0" containsString="0" containsNumber="1" containsInteger="1" minValue="9" maxValue="10" count="2">
        <n v="9"/>
        <n v="10"/>
      </sharedItems>
    </cacheField>
    <cacheField name="DIA HABIL" numFmtId="0">
      <sharedItems containsSemiMixedTypes="0" containsString="0" containsNumber="1" containsInteger="1" minValue="1" maxValue="22" count="22">
        <n v="1"/>
        <n v="2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3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10.393896296293" createdVersion="7" refreshedVersion="7" minRefreshableVersion="3" recordCount="54" xr:uid="{CD7EA89F-8C93-4AE7-8790-5168E2A4A981}">
  <cacheSource type="worksheet">
    <worksheetSource ref="O2:S56" sheet="CUADRO PLAN"/>
  </cacheSource>
  <cacheFields count="5">
    <cacheField name="Etiquetas de fila" numFmtId="14">
      <sharedItems containsSemiMixedTypes="0" containsNonDate="0" containsDate="1" containsString="0" minDate="2025-09-08T00:00:00" maxDate="2025-11-04T00:00:00"/>
    </cacheField>
    <cacheField name="Cuenta de DOCUMENTO" numFmtId="0">
      <sharedItems containsSemiMixedTypes="0" containsString="0" containsNumber="1" containsInteger="1" minValue="1" maxValue="49"/>
    </cacheField>
    <cacheField name="Suma de Suma Total" numFmtId="0">
      <sharedItems containsSemiMixedTypes="0" containsString="0" containsNumber="1" minValue="229.45000000000002" maxValue="86203.489999999991"/>
    </cacheField>
    <cacheField name="dia habil" numFmtId="0">
      <sharedItems containsSemiMixedTypes="0" containsString="0" containsNumber="1" containsInteger="1" minValue="1" maxValue="21" count="2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</sharedItems>
    </cacheField>
    <cacheField name="mes" numFmtId="0">
      <sharedItems containsSemiMixedTypes="0" containsString="0" containsNumber="1" containsInteger="1" minValue="9" maxValue="10" count="2">
        <n v="9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UARIO" refreshedDate="46010.395193865741" missingItemsLimit="1048576" createdVersion="7" refreshedVersion="7" minRefreshableVersion="3" recordCount="1153" xr:uid="{B0849DCA-197B-4DDC-8912-9A93023E893E}">
  <cacheSource type="worksheet">
    <worksheetSource ref="A1:H1154" sheet="CUADRO PLAN"/>
  </cacheSource>
  <cacheFields count="9">
    <cacheField name="CAMPAÑA" numFmtId="0">
      <sharedItems/>
    </cacheField>
    <cacheField name="DOCUMENTO" numFmtId="0">
      <sharedItems containsSemiMixedTypes="0" containsString="0" containsNumber="1" containsInteger="1" minValue="10001106878" maxValue="20614396173"/>
    </cacheField>
    <cacheField name="RAZON SOCIAL" numFmtId="0">
      <sharedItems/>
    </cacheField>
    <cacheField name="PERIODOS PAGADOS" numFmtId="0">
      <sharedItems containsBlank="1" longText="1"/>
    </cacheField>
    <cacheField name="Fecha de Pago" numFmtId="14">
      <sharedItems containsSemiMixedTypes="0" containsNonDate="0" containsDate="1" containsString="0" minDate="2025-09-08T00:00:00" maxDate="2025-10-31T00:00:00" count="51"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</sharedItems>
      <fieldGroup par="8" base="4">
        <rangePr groupBy="days" startDate="2025-09-08T00:00:00" endDate="2025-10-31T00:00:00"/>
        <groupItems count="368">
          <s v="&lt;8/09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31/10/2025"/>
        </groupItems>
      </fieldGroup>
    </cacheField>
    <cacheField name="Suma Total" numFmtId="0">
      <sharedItems containsSemiMixedTypes="0" containsString="0" containsNumber="1" minValue="0.18" maxValue="79392.31"/>
    </cacheField>
    <cacheField name="CAMPAÑA2" numFmtId="0">
      <sharedItems/>
    </cacheField>
    <cacheField name="DIA HABIL" numFmtId="0">
      <sharedItems containsSemiMixedTypes="0" containsString="0" containsNumber="1" containsInteger="1" minValue="1" maxValue="20"/>
    </cacheField>
    <cacheField name="Meses" numFmtId="0" databaseField="0">
      <fieldGroup base="4">
        <rangePr groupBy="months" startDate="2025-09-08T00:00:00" endDate="2025-10-31T00:00:00"/>
        <groupItems count="14">
          <s v="&lt;8/09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31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10.395542708335" createdVersion="7" refreshedVersion="7" minRefreshableVersion="3" recordCount="2345" xr:uid="{E99B9994-2147-4761-987E-98E5E3F6BABA}">
  <cacheSource type="worksheet">
    <worksheetSource ref="A1:H2346" sheet="CUADRO PLAN"/>
  </cacheSource>
  <cacheFields count="8">
    <cacheField name="CAMPAÑA" numFmtId="0">
      <sharedItems/>
    </cacheField>
    <cacheField name="DOCUMENTO" numFmtId="0">
      <sharedItems containsSemiMixedTypes="0" containsString="0" containsNumber="1" containsInteger="1" minValue="10001106878" maxValue="20614520729"/>
    </cacheField>
    <cacheField name="RAZON SOCIAL" numFmtId="0">
      <sharedItems/>
    </cacheField>
    <cacheField name="PERIODOS PAGADOS" numFmtId="0">
      <sharedItems containsBlank="1" longText="1"/>
    </cacheField>
    <cacheField name="Fecha de Pago" numFmtId="14">
      <sharedItems containsSemiMixedTypes="0" containsNonDate="0" containsDate="1" containsString="0" minDate="2025-09-08T00:00:00" maxDate="2025-12-09T00:00:00"/>
    </cacheField>
    <cacheField name="Suma Total" numFmtId="0">
      <sharedItems containsSemiMixedTypes="0" containsString="0" containsNumber="1" minValue="0" maxValue="79392.31"/>
    </cacheField>
    <cacheField name="CAMPAÑA2" numFmtId="0">
      <sharedItems count="3">
        <s v="SETIEMBRE"/>
        <s v="OCTUBRE"/>
        <s v="NOVIEMBRE"/>
      </sharedItems>
    </cacheField>
    <cacheField name="DIA HABIL" numFmtId="0">
      <sharedItems containsSemiMixedTypes="0" containsString="0" containsNumber="1" containsInteger="1" minValue="1" maxValue="23" count="2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3"/>
        <n v="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10.648782060183" createdVersion="7" refreshedVersion="7" minRefreshableVersion="3" recordCount="324" xr:uid="{7E3450DA-CE55-47D4-BC17-C1686D43D96E}">
  <cacheSource type="worksheet">
    <worksheetSource ref="A1:H325" sheet="CUADRO GAST"/>
  </cacheSource>
  <cacheFields count="8">
    <cacheField name="CAMPAÑA" numFmtId="0">
      <sharedItems count="8">
        <s v="FLUJO"/>
        <s v="REAL TOTAL"/>
        <s v="PRESUNTA"/>
        <s v="REDIRECCIONAMIENTO"/>
        <s v="DEUDA REAL TOTAL NOVIEMBRE WORLD 2025" u="1"/>
        <s v="REDIRECCIONAMIENTO NOVIEMBRE WORLD 2025" u="1"/>
        <s v="PREJUDICIAL FLUJO NOVIEMBRE WORLD 2025" u="1"/>
        <s v="PRESUNTA NOVIEMBRE WORLD 2025" u="1"/>
      </sharedItems>
    </cacheField>
    <cacheField name="DEUDOR" numFmtId="0">
      <sharedItems/>
    </cacheField>
    <cacheField name="DOCUMENTO" numFmtId="0">
      <sharedItems containsMixedTypes="1" containsNumber="1" containsInteger="1" minValue="10011467852" maxValue="20614396173"/>
    </cacheField>
    <cacheField name="TIPO DE PAGO" numFmtId="0">
      <sharedItems/>
    </cacheField>
    <cacheField name="FECHA_PAGO" numFmtId="14">
      <sharedItems containsSemiMixedTypes="0" containsNonDate="0" containsDate="1" containsString="0" minDate="2025-09-09T00:00:00" maxDate="2025-12-06T00:00:00"/>
    </cacheField>
    <cacheField name="MONTO" numFmtId="0">
      <sharedItems containsSemiMixedTypes="0" containsString="0" containsNumber="1" minValue="50" maxValue="10692.1"/>
    </cacheField>
    <cacheField name="CAMPAÑA2" numFmtId="0">
      <sharedItems count="3">
        <s v="SETIEMBRE"/>
        <s v="OCTUBRE"/>
        <s v="NOVIEMBRE"/>
      </sharedItems>
    </cacheField>
    <cacheField name="DIA HABIL" numFmtId="0">
      <sharedItems containsSemiMixedTypes="0" containsString="0" containsNumber="1" containsInteger="1" minValue="1" maxValue="22" count="22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20"/>
        <n v="1"/>
        <n v="19"/>
        <n v="21"/>
        <n v="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d v="2025-09-09T00:00:00"/>
    <n v="3"/>
    <n v="296.85000000000002"/>
    <x v="0"/>
    <x v="0"/>
  </r>
  <r>
    <d v="2025-09-10T00:00:00"/>
    <n v="2"/>
    <n v="132.19999999999999"/>
    <x v="1"/>
    <x v="0"/>
  </r>
  <r>
    <d v="2025-09-11T00:00:00"/>
    <n v="4"/>
    <n v="888.40000000000009"/>
    <x v="2"/>
    <x v="0"/>
  </r>
  <r>
    <d v="2025-09-13T00:00:00"/>
    <n v="2"/>
    <n v="160.11000000000001"/>
    <x v="3"/>
    <x v="0"/>
  </r>
  <r>
    <d v="2025-09-15T00:00:00"/>
    <n v="4"/>
    <n v="1181.3200000000002"/>
    <x v="4"/>
    <x v="0"/>
  </r>
  <r>
    <d v="2025-09-16T00:00:00"/>
    <n v="4"/>
    <n v="551.49"/>
    <x v="5"/>
    <x v="0"/>
  </r>
  <r>
    <d v="2025-09-17T00:00:00"/>
    <n v="2"/>
    <n v="121.1"/>
    <x v="6"/>
    <x v="0"/>
  </r>
  <r>
    <d v="2025-09-18T00:00:00"/>
    <n v="5"/>
    <n v="697.67"/>
    <x v="7"/>
    <x v="0"/>
  </r>
  <r>
    <d v="2025-09-19T00:00:00"/>
    <n v="10"/>
    <n v="4761.17"/>
    <x v="8"/>
    <x v="0"/>
  </r>
  <r>
    <d v="2025-09-22T00:00:00"/>
    <n v="6"/>
    <n v="1185.6099999999999"/>
    <x v="9"/>
    <x v="0"/>
  </r>
  <r>
    <d v="2025-09-23T00:00:00"/>
    <n v="2"/>
    <n v="168.89999999999998"/>
    <x v="10"/>
    <x v="0"/>
  </r>
  <r>
    <d v="2025-09-24T00:00:00"/>
    <n v="4"/>
    <n v="438.25"/>
    <x v="11"/>
    <x v="0"/>
  </r>
  <r>
    <d v="2025-09-25T00:00:00"/>
    <n v="3"/>
    <n v="364.84000000000003"/>
    <x v="12"/>
    <x v="0"/>
  </r>
  <r>
    <d v="2025-09-26T00:00:00"/>
    <n v="9"/>
    <n v="868.53000000000009"/>
    <x v="13"/>
    <x v="0"/>
  </r>
  <r>
    <d v="2025-09-29T00:00:00"/>
    <n v="2"/>
    <n v="135.41999999999999"/>
    <x v="14"/>
    <x v="0"/>
  </r>
  <r>
    <d v="2025-09-30T00:00:00"/>
    <n v="4"/>
    <n v="777.21"/>
    <x v="15"/>
    <x v="0"/>
  </r>
  <r>
    <d v="2025-10-01T00:00:00"/>
    <n v="1"/>
    <n v="86.1"/>
    <x v="16"/>
    <x v="0"/>
  </r>
  <r>
    <d v="2025-10-03T00:00:00"/>
    <n v="7"/>
    <n v="769.98"/>
    <x v="17"/>
    <x v="0"/>
  </r>
  <r>
    <d v="2025-10-06T00:00:00"/>
    <n v="8"/>
    <n v="1182.6000000000001"/>
    <x v="18"/>
    <x v="0"/>
  </r>
  <r>
    <d v="2025-10-07T00:00:00"/>
    <n v="1"/>
    <n v="66.099999999999994"/>
    <x v="19"/>
    <x v="0"/>
  </r>
  <r>
    <d v="2025-10-06T00:00:00"/>
    <n v="1"/>
    <n v="66.099999999999994"/>
    <x v="18"/>
    <x v="0"/>
  </r>
  <r>
    <d v="2025-10-09T00:00:00"/>
    <n v="2"/>
    <n v="1293.6199999999999"/>
    <x v="20"/>
    <x v="1"/>
  </r>
  <r>
    <d v="2025-10-10T00:00:00"/>
    <n v="4"/>
    <n v="3028.9399999999996"/>
    <x v="0"/>
    <x v="1"/>
  </r>
  <r>
    <d v="2025-10-11T00:00:00"/>
    <n v="5"/>
    <n v="1246.5899999999999"/>
    <x v="0"/>
    <x v="1"/>
  </r>
  <r>
    <d v="2025-10-13T00:00:00"/>
    <n v="3"/>
    <n v="204.97"/>
    <x v="1"/>
    <x v="1"/>
  </r>
  <r>
    <d v="2025-10-14T00:00:00"/>
    <n v="5"/>
    <n v="1497.6399999999999"/>
    <x v="2"/>
    <x v="1"/>
  </r>
  <r>
    <d v="2025-10-15T00:00:00"/>
    <n v="12"/>
    <n v="3195.6799999999994"/>
    <x v="3"/>
    <x v="1"/>
  </r>
  <r>
    <d v="2025-10-16T00:00:00"/>
    <n v="10"/>
    <n v="796.05000000000007"/>
    <x v="4"/>
    <x v="1"/>
  </r>
  <r>
    <d v="2025-10-17T00:00:00"/>
    <n v="9"/>
    <n v="1656.5999999999997"/>
    <x v="5"/>
    <x v="1"/>
  </r>
  <r>
    <d v="2025-10-18T00:00:00"/>
    <n v="1"/>
    <n v="69.099999999999994"/>
    <x v="5"/>
    <x v="1"/>
  </r>
  <r>
    <d v="2025-10-20T00:00:00"/>
    <n v="3"/>
    <n v="1605.6"/>
    <x v="6"/>
    <x v="1"/>
  </r>
  <r>
    <d v="2025-10-21T00:00:00"/>
    <n v="8"/>
    <n v="2242.9399999999996"/>
    <x v="7"/>
    <x v="1"/>
  </r>
  <r>
    <d v="2025-10-22T00:00:00"/>
    <n v="3"/>
    <n v="256.91999999999996"/>
    <x v="8"/>
    <x v="1"/>
  </r>
  <r>
    <d v="2025-10-23T00:00:00"/>
    <n v="3"/>
    <n v="403.53"/>
    <x v="9"/>
    <x v="1"/>
  </r>
  <r>
    <d v="2025-10-24T00:00:00"/>
    <n v="5"/>
    <n v="465.77"/>
    <x v="10"/>
    <x v="1"/>
  </r>
  <r>
    <d v="2025-10-27T00:00:00"/>
    <n v="3"/>
    <n v="271.33"/>
    <x v="11"/>
    <x v="1"/>
  </r>
  <r>
    <d v="2025-10-28T00:00:00"/>
    <n v="8"/>
    <n v="2846.5299999999993"/>
    <x v="12"/>
    <x v="1"/>
  </r>
  <r>
    <d v="2025-10-29T00:00:00"/>
    <n v="8"/>
    <n v="811.42000000000007"/>
    <x v="13"/>
    <x v="1"/>
  </r>
  <r>
    <d v="2025-10-30T00:00:00"/>
    <n v="5"/>
    <n v="553.70000000000005"/>
    <x v="14"/>
    <x v="1"/>
  </r>
  <r>
    <d v="2025-10-31T00:00:00"/>
    <n v="4"/>
    <n v="519.1"/>
    <x v="15"/>
    <x v="1"/>
  </r>
  <r>
    <d v="2025-11-02T00:00:00"/>
    <n v="1"/>
    <n v="71"/>
    <x v="16"/>
    <x v="1"/>
  </r>
  <r>
    <d v="2025-11-03T00:00:00"/>
    <n v="1"/>
    <n v="190"/>
    <x v="16"/>
    <x v="1"/>
  </r>
  <r>
    <d v="2025-11-04T00:00:00"/>
    <n v="3"/>
    <n v="661.69"/>
    <x v="2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3">
  <r>
    <s v="FLUJO"/>
    <n v="10046361666"/>
    <s v="ROSAS MENDOZA MARIA DEL PILAR"/>
    <s v="202507, 202506"/>
    <x v="0"/>
    <n v="260.56"/>
    <x v="0"/>
  </r>
  <r>
    <s v="FLUJO"/>
    <n v="10078860184"/>
    <s v="DULANTO GILARDI OSCAR"/>
    <s v="202507"/>
    <x v="0"/>
    <n v="162.67000000000002"/>
    <x v="0"/>
  </r>
  <r>
    <s v="FLUJO"/>
    <n v="10410951695"/>
    <s v="EVANGELISTA JULCA NORMA ISABEL"/>
    <s v="202507"/>
    <x v="0"/>
    <n v="147.88"/>
    <x v="0"/>
  </r>
  <r>
    <s v="FLUJO"/>
    <n v="20445526127"/>
    <s v="SERV IND HALAVISI SAC"/>
    <s v="202507"/>
    <x v="0"/>
    <n v="257.28000000000003"/>
    <x v="0"/>
  </r>
  <r>
    <s v="FLUJO"/>
    <n v="20488084411"/>
    <s v="PRODUCTOS LACTEOS NATURALES SAC"/>
    <s v="202507, 202506"/>
    <x v="0"/>
    <n v="1486.4299999999998"/>
    <x v="0"/>
  </r>
  <r>
    <s v="FLUJO"/>
    <n v="20516235684"/>
    <s v="J. TRIPLE E. E.I.R.L"/>
    <s v="202507"/>
    <x v="0"/>
    <n v="162.67000000000002"/>
    <x v="0"/>
  </r>
  <r>
    <s v="FLUJO"/>
    <n v="20544624335"/>
    <s v="GLOBAL TOOLS PERU SAC"/>
    <s v="202507"/>
    <x v="0"/>
    <n v="132.26"/>
    <x v="0"/>
  </r>
  <r>
    <s v="FLUJO"/>
    <n v="20549404911"/>
    <s v="REPARACIONES ESPECIALES SAC"/>
    <s v="202507"/>
    <x v="0"/>
    <n v="211.09"/>
    <x v="0"/>
  </r>
  <r>
    <s v="FLUJO"/>
    <n v="20549504621"/>
    <s v="SOCIOS SERNOVA SAC"/>
    <s v="202507"/>
    <x v="0"/>
    <n v="147.88"/>
    <x v="0"/>
  </r>
  <r>
    <s v="FLUJO"/>
    <n v="20556274011"/>
    <s v="3D CONCEPT STUDIO EIRL"/>
    <s v="202507"/>
    <x v="0"/>
    <n v="150.51"/>
    <x v="0"/>
  </r>
  <r>
    <s v="FLUJO"/>
    <n v="20601321069"/>
    <s v="INVERSIONES AGROALIMENTARIA SRL"/>
    <s v="202507"/>
    <x v="0"/>
    <n v="147.88"/>
    <x v="0"/>
  </r>
  <r>
    <s v="FLUJO"/>
    <n v="20603638914"/>
    <s v="LA ADICCION FAST FOOD E.I.R.L."/>
    <s v="202507"/>
    <x v="0"/>
    <n v="147.88"/>
    <x v="0"/>
  </r>
  <r>
    <s v="FLUJO"/>
    <n v="20607283771"/>
    <s v="NEMAS SERVICIOS E.I.R.L."/>
    <s v="202507, 202506, 202505"/>
    <x v="0"/>
    <n v="392.63"/>
    <x v="0"/>
  </r>
  <r>
    <s v="FLUJO"/>
    <n v="20608444158"/>
    <s v="AQUASHIELD PERU S.A.C."/>
    <s v="202507"/>
    <x v="0"/>
    <n v="147.88"/>
    <x v="0"/>
  </r>
  <r>
    <s v="FLUJO"/>
    <n v="20608525239"/>
    <s v="CORPORACION DE EXPORTACIONES PIMA SAC"/>
    <s v="202507"/>
    <x v="0"/>
    <n v="129.63999999999999"/>
    <x v="0"/>
  </r>
  <r>
    <s v="FLUJO"/>
    <n v="20487574130"/>
    <s v="CONSTRUCTORA CAMINOS DEL INCA S.A.C."/>
    <s v="202506"/>
    <x v="0"/>
    <n v="164.28"/>
    <x v="0"/>
  </r>
  <r>
    <s v="FLUJO"/>
    <n v="20554217657"/>
    <s v="ASCENSORES JY SOCIEDAD ANONIMA CERRADA"/>
    <s v="202506, 202507"/>
    <x v="0"/>
    <n v="1316.27"/>
    <x v="0"/>
  </r>
  <r>
    <s v="FLUJO"/>
    <n v="20603072007"/>
    <s v="consultora fenix srl"/>
    <s v="202506"/>
    <x v="0"/>
    <n v="177.43"/>
    <x v="0"/>
  </r>
  <r>
    <s v="FLUJO"/>
    <n v="20608214055"/>
    <s v="GESTIONES CARDT EIRL"/>
    <s v="202506, 202505"/>
    <x v="0"/>
    <n v="262.99"/>
    <x v="0"/>
  </r>
  <r>
    <s v="FLUJO"/>
    <n v="10466541091"/>
    <s v="VALDERA SUCLUPE LUCILA ESTHER"/>
    <s v="202505, 202504"/>
    <x v="0"/>
    <n v="132.66"/>
    <x v="0"/>
  </r>
  <r>
    <s v="FLUJO"/>
    <n v="20555713097"/>
    <s v="AGEIN CONTRUCTORES SAC"/>
    <s v="202504"/>
    <x v="0"/>
    <n v="313.25"/>
    <x v="0"/>
  </r>
  <r>
    <s v="FLUJO"/>
    <n v="20606097485"/>
    <s v="KADE SERVICES PERU E.I.R.L"/>
    <s v="202504, 202503"/>
    <x v="0"/>
    <n v="516.54999999999995"/>
    <x v="0"/>
  </r>
  <r>
    <s v="REAL TOTAL"/>
    <n v="20329560687"/>
    <s v="DAEWOO INTERNATIONAL CORPORATION SUCURSAL PERUANA"/>
    <s v="201001"/>
    <x v="0"/>
    <n v="59.57"/>
    <x v="0"/>
  </r>
  <r>
    <s v="FLUJO"/>
    <n v="10033516377"/>
    <s v="YARLEQUE INGA MIGUEL"/>
    <s v="202507"/>
    <x v="1"/>
    <n v="301.62"/>
    <x v="0"/>
  </r>
  <r>
    <s v="FLUJO"/>
    <n v="10166488911"/>
    <s v="ORTEGA HIDROGO OSCAR OCTAVIO"/>
    <s v="202507, 202506"/>
    <x v="1"/>
    <n v="260.68"/>
    <x v="0"/>
  </r>
  <r>
    <s v="FLUJO"/>
    <n v="10282272844"/>
    <s v="PARBINA SOTO GRACIELA BETHY"/>
    <s v="202507, 202506"/>
    <x v="1"/>
    <n v="243.48000000000002"/>
    <x v="0"/>
  </r>
  <r>
    <s v="FLUJO"/>
    <n v="10404091382"/>
    <s v="APAZA SARCCO MAXIMO"/>
    <s v="202507, 202506"/>
    <x v="1"/>
    <n v="276.83000000000004"/>
    <x v="0"/>
  </r>
  <r>
    <s v="FLUJO"/>
    <n v="10425771421"/>
    <s v="MALDONADO INCA ALFREDO"/>
    <s v="202507"/>
    <x v="1"/>
    <n v="148.03"/>
    <x v="0"/>
  </r>
  <r>
    <s v="FLUJO"/>
    <n v="10742126281"/>
    <s v="PEÃ‘AFLOR DE SOUZA BRUNELA"/>
    <s v="202507"/>
    <x v="1"/>
    <n v="148.03"/>
    <x v="0"/>
  </r>
  <r>
    <s v="FLUJO"/>
    <n v="10804399661"/>
    <s v="PAREDES PEREZ LORENZO"/>
    <s v="202507, 202506, 202505"/>
    <x v="1"/>
    <n v="392.89"/>
    <x v="0"/>
  </r>
  <r>
    <s v="FLUJO"/>
    <n v="20392883119"/>
    <s v="MULTISERVICIOS SAN PEDRO DE CORONGO EIRL"/>
    <s v="202507"/>
    <x v="1"/>
    <n v="148.03"/>
    <x v="0"/>
  </r>
  <r>
    <s v="FLUJO"/>
    <n v="20487604225"/>
    <s v="ESTUDIO ROQUE SALAZAR Y ASOCIADOS SAC"/>
    <s v="202507, 202506"/>
    <x v="1"/>
    <n v="260.68"/>
    <x v="0"/>
  </r>
  <r>
    <s v="FLUJO"/>
    <n v="20494017793"/>
    <s v="abaco ingenieros sac"/>
    <s v="202507"/>
    <x v="1"/>
    <n v="277.78999999999996"/>
    <x v="0"/>
  </r>
  <r>
    <s v="FLUJO"/>
    <n v="20517094626"/>
    <s v="RYC MERCHANDISING CORP EIRL"/>
    <s v="202507"/>
    <x v="1"/>
    <n v="162.83000000000001"/>
    <x v="0"/>
  </r>
  <r>
    <s v="FLUJO"/>
    <n v="20548423920"/>
    <s v="AGROTECH GROUP SAC"/>
    <s v="202507, 202506, 202505"/>
    <x v="1"/>
    <n v="392.89"/>
    <x v="0"/>
  </r>
  <r>
    <s v="FLUJO"/>
    <n v="20551404995"/>
    <s v="PHVA PERU S.A.C."/>
    <s v="202507"/>
    <x v="1"/>
    <n v="148.03"/>
    <x v="0"/>
  </r>
  <r>
    <s v="FLUJO"/>
    <n v="20555441232"/>
    <s v="DGALLDI S.A.C."/>
    <s v="202507"/>
    <x v="1"/>
    <n v="148.03"/>
    <x v="0"/>
  </r>
  <r>
    <s v="FLUJO"/>
    <n v="20558226031"/>
    <s v="H  T TRANSPORTES  HERNAN COLLADO BLANCO SRL"/>
    <s v="202507, 202506"/>
    <x v="1"/>
    <n v="810.47"/>
    <x v="0"/>
  </r>
  <r>
    <s v="FLUJO"/>
    <n v="20600487109"/>
    <s v="MULTISERVICIOS URARINAS S.R.L"/>
    <s v="202507, 202506, 202505, 202504"/>
    <x v="1"/>
    <n v="182.36"/>
    <x v="0"/>
  </r>
  <r>
    <s v="FLUJO"/>
    <n v="20601777194"/>
    <s v="CORPORACION GOLDEN SUN SAC"/>
    <s v="202507"/>
    <x v="1"/>
    <n v="148.03"/>
    <x v="0"/>
  </r>
  <r>
    <s v="FLUJO"/>
    <n v="20602122132"/>
    <s v="SERVICIO LOGISTICO E Y M E.I.R.L."/>
    <s v="202507, 202506"/>
    <x v="1"/>
    <n v="302.90000000000003"/>
    <x v="0"/>
  </r>
  <r>
    <s v="FLUJO"/>
    <n v="20608418009"/>
    <s v="REAL COMPANY W M S.A.C."/>
    <s v="202507"/>
    <x v="1"/>
    <n v="1457.26"/>
    <x v="0"/>
  </r>
  <r>
    <s v="FLUJO"/>
    <n v="20608555774"/>
    <s v="INVERSIONES MICA Y NERITA E.I.R.L."/>
    <s v="202507, 202506"/>
    <x v="1"/>
    <n v="479.94"/>
    <x v="0"/>
  </r>
  <r>
    <s v="FLUJO"/>
    <n v="20610309101"/>
    <s v="HEIMPER GROUP E.I.R.L."/>
    <s v="202507"/>
    <x v="1"/>
    <n v="148.03"/>
    <x v="0"/>
  </r>
  <r>
    <s v="FLUJO"/>
    <n v="20611040157"/>
    <s v="TRANSPORTE SOFIS S.A.C."/>
    <s v="202507"/>
    <x v="1"/>
    <n v="148.03"/>
    <x v="0"/>
  </r>
  <r>
    <s v="FLUJO"/>
    <n v="20611202874"/>
    <s v="CONSORCIO AGUAFIT S.A.C"/>
    <s v="202507"/>
    <x v="1"/>
    <n v="148.03"/>
    <x v="0"/>
  </r>
  <r>
    <s v="FLUJO"/>
    <n v="20612675580"/>
    <s v="CALLHUB E.I.R.L"/>
    <s v="202507, 202506, 202505"/>
    <x v="1"/>
    <n v="455.84"/>
    <x v="0"/>
  </r>
  <r>
    <s v="FLUJO"/>
    <n v="20613125915"/>
    <s v="MONTE BOSQUE SAC"/>
    <s v="202507, 202506, 202505"/>
    <x v="1"/>
    <n v="816.51"/>
    <x v="0"/>
  </r>
  <r>
    <s v="FLUJO"/>
    <n v="20613343572"/>
    <s v="DV SMART SOLUTION E.I.R.L."/>
    <s v="202507, 202506, 202504, 202503"/>
    <x v="1"/>
    <n v="528.43000000000006"/>
    <x v="0"/>
  </r>
  <r>
    <s v="FLUJO"/>
    <n v="20613695231"/>
    <s v="APIWORKING LATAM S.A.C."/>
    <s v="202507"/>
    <x v="1"/>
    <n v="277.78999999999996"/>
    <x v="0"/>
  </r>
  <r>
    <s v="FLUJO"/>
    <n v="10258051306"/>
    <s v="TINTINAPON CHIROQUE LUIS ABELARDO"/>
    <s v="202506, 202507"/>
    <x v="1"/>
    <n v="260.95000000000005"/>
    <x v="0"/>
  </r>
  <r>
    <s v="FLUJO"/>
    <n v="10442282451"/>
    <s v="LARRY ALBERTO PANTA SANCHEZ"/>
    <s v="202506, 202505, 202504, 202507"/>
    <x v="1"/>
    <n v="526.25"/>
    <x v="0"/>
  </r>
  <r>
    <s v="FLUJO"/>
    <n v="20478730021"/>
    <s v="SERVICIO DE MECANICA FINA B Y B SAC"/>
    <s v="202506, 202507"/>
    <x v="1"/>
    <n v="261.20000000000005"/>
    <x v="0"/>
  </r>
  <r>
    <s v="FLUJO"/>
    <n v="20481285217"/>
    <s v="SERVICIOS MUTLIPLES REMA SAC"/>
    <s v="202506, 202507"/>
    <x v="1"/>
    <n v="322.01"/>
    <x v="0"/>
  </r>
  <r>
    <s v="FLUJO"/>
    <n v="20502985664"/>
    <s v="RIVERA GERVASI ASOCIADOS ABOGADOS SCRL"/>
    <s v="202506"/>
    <x v="1"/>
    <n v="149.35000000000002"/>
    <x v="0"/>
  </r>
  <r>
    <s v="FLUJO"/>
    <n v="20554590293"/>
    <s v="GREENERGY SAC"/>
    <s v="202506, 202507"/>
    <x v="1"/>
    <n v="297.96000000000004"/>
    <x v="0"/>
  </r>
  <r>
    <s v="FLUJO"/>
    <n v="20608354418"/>
    <s v="SOCIEDAD AGRÃCOLA PAMPA GRANDE S.A.C."/>
    <s v="202506, 202505"/>
    <x v="1"/>
    <n v="289.43"/>
    <x v="0"/>
  </r>
  <r>
    <s v="FLUJO"/>
    <n v="20533209883"/>
    <s v="CREE Y V SOLUCIONES S.R.L."/>
    <s v="202505, 202504, 202507, 202506"/>
    <x v="1"/>
    <n v="1323.2200000000003"/>
    <x v="0"/>
  </r>
  <r>
    <s v="FLUJO"/>
    <n v="20602392113"/>
    <s v="Negocios de Informacion Tecnologia y Comunicaciones SAC"/>
    <s v="202505"/>
    <x v="1"/>
    <n v="160.15"/>
    <x v="0"/>
  </r>
  <r>
    <s v="FLUJO"/>
    <n v="20612249581"/>
    <s v="CLEANING SERVICE KRYSTELL S.A.C"/>
    <s v="202505, 202506, 202507"/>
    <x v="1"/>
    <n v="393.91999999999996"/>
    <x v="0"/>
  </r>
  <r>
    <s v="FLUJO"/>
    <n v="20613608851"/>
    <s v="AKIRA CORPORATION S.A.C."/>
    <s v="202505"/>
    <x v="1"/>
    <n v="476.1"/>
    <x v="0"/>
  </r>
  <r>
    <s v="FLUJO"/>
    <n v="20610167650"/>
    <s v="TRANSPORTES ROGRIGO S.A.C."/>
    <s v="202504, 202503, 202507, 202506, 202505"/>
    <x v="1"/>
    <n v="880.21"/>
    <x v="0"/>
  </r>
  <r>
    <s v="FLUJO"/>
    <n v="10442446089"/>
    <s v="GUEVARA LOZANO NILZON"/>
    <s v="202503, 202502"/>
    <x v="1"/>
    <n v="202.94"/>
    <x v="0"/>
  </r>
  <r>
    <s v="FLUJO"/>
    <n v="20610010645"/>
    <s v="GRUPO R E.I.R.L."/>
    <s v="202503, 202505, 202504, 202507, 202506, 202502"/>
    <x v="1"/>
    <n v="496.64"/>
    <x v="0"/>
  </r>
  <r>
    <s v="FLUJO"/>
    <n v="20612796182"/>
    <s v="CLINICA INTEGRAL AVANZADA DEL TRATAMIENTO DE LAS OBESIDADES"/>
    <s v="202503, 202505, 202504"/>
    <x v="1"/>
    <n v="531.1"/>
    <x v="0"/>
  </r>
  <r>
    <s v="FLUJO"/>
    <n v="20600908937"/>
    <s v="BEPYC DEL PERU SOCIEDAD ANONIMA CERRADA"/>
    <s v="202502"/>
    <x v="1"/>
    <n v="873.18999999999994"/>
    <x v="0"/>
  </r>
  <r>
    <s v="PRESUNTA"/>
    <n v="20101364403"/>
    <s v="MEM SAC"/>
    <s v="202507"/>
    <x v="1"/>
    <n v="129.76"/>
    <x v="0"/>
  </r>
  <r>
    <s v="PRESUNTA"/>
    <n v="20562649906"/>
    <s v="LAVANDERIA PRESS SAC"/>
    <s v="202507"/>
    <x v="1"/>
    <n v="142.74"/>
    <x v="0"/>
  </r>
  <r>
    <s v="REAL TOTAL"/>
    <n v="20372190028"/>
    <s v="AVP Y SEGURIDAD SAC"/>
    <s v="202507, 202506, 202505, 202504, 202503, 202502, 202501"/>
    <x v="1"/>
    <n v="5735.0199999999995"/>
    <x v="0"/>
  </r>
  <r>
    <s v="FLUJO"/>
    <n v="10079437048"/>
    <s v="ANGOBALDO TORRES MALAGA MIGUEL GUILLERMO"/>
    <s v="202507"/>
    <x v="2"/>
    <n v="162.83000000000001"/>
    <x v="0"/>
  </r>
  <r>
    <s v="FLUJO"/>
    <n v="10093825000"/>
    <s v="PANICHI PARDAVE BRUNO MARTIN"/>
    <s v="202507"/>
    <x v="2"/>
    <n v="364.72999999999996"/>
    <x v="0"/>
  </r>
  <r>
    <s v="FLUJO"/>
    <n v="10178221278"/>
    <s v="CARRANZA CHAVEZ MARLENE MANUELA"/>
    <s v="202507"/>
    <x v="2"/>
    <n v="148.03"/>
    <x v="0"/>
  </r>
  <r>
    <s v="FLUJO"/>
    <n v="10296193921"/>
    <s v="FARFAN ZEVALLOS CLORINDA"/>
    <s v="202507"/>
    <x v="2"/>
    <n v="148.03"/>
    <x v="0"/>
  </r>
  <r>
    <s v="FLUJO"/>
    <n v="10452440208"/>
    <s v="SAUL ESTRADA HUILLCA"/>
    <s v="202507"/>
    <x v="2"/>
    <n v="1168.83"/>
    <x v="0"/>
  </r>
  <r>
    <s v="FLUJO"/>
    <n v="10460172514"/>
    <s v="ZAPATA BORJA LADYS CARLA BEATRIZ"/>
    <s v="202507"/>
    <x v="2"/>
    <n v="129.76"/>
    <x v="0"/>
  </r>
  <r>
    <s v="FLUJO"/>
    <n v="20445768139"/>
    <s v="INVERSIONES HATUN FISH SRL"/>
    <s v="202507"/>
    <x v="2"/>
    <n v="172"/>
    <x v="0"/>
  </r>
  <r>
    <s v="FLUJO"/>
    <n v="20478156228"/>
    <s v="CORPORACION KANDY SAC"/>
    <s v="202507, 202506, 202505"/>
    <x v="2"/>
    <n v="393.02"/>
    <x v="0"/>
  </r>
  <r>
    <s v="FLUJO"/>
    <n v="20487716538"/>
    <s v="GOTECH PERU S.A.C."/>
    <s v="202507"/>
    <x v="2"/>
    <n v="162.83000000000001"/>
    <x v="0"/>
  </r>
  <r>
    <s v="FLUJO"/>
    <n v="20526575394"/>
    <s v="CLINICA BELLO HORIZONTE SA"/>
    <s v="202507"/>
    <x v="2"/>
    <n v="308.06"/>
    <x v="0"/>
  </r>
  <r>
    <s v="FLUJO"/>
    <n v="20545263344"/>
    <s v="SERVICIOS GRAFICOS JCEM SAC"/>
    <s v="202507"/>
    <x v="2"/>
    <n v="260.27999999999997"/>
    <x v="0"/>
  </r>
  <r>
    <s v="FLUJO"/>
    <n v="20554037756"/>
    <s v="CHIMAC SAC"/>
    <s v="202507"/>
    <x v="2"/>
    <n v="148.03"/>
    <x v="0"/>
  </r>
  <r>
    <s v="FLUJO"/>
    <n v="20573126883"/>
    <s v="CONSULTOR EJECUTOR Y MULTISERVICIO KVEM EIRL"/>
    <s v="202507, 202506"/>
    <x v="2"/>
    <n v="138.48000000000002"/>
    <x v="0"/>
  </r>
  <r>
    <s v="FLUJO"/>
    <n v="20601146682"/>
    <s v="ANCOSUR EIRL"/>
    <s v="202507, 202506"/>
    <x v="2"/>
    <n v="411.65"/>
    <x v="0"/>
  </r>
  <r>
    <s v="FLUJO"/>
    <n v="20601590396"/>
    <s v="MGS SERVICIOS TELECORP SAC"/>
    <s v="202507, 202506"/>
    <x v="2"/>
    <n v="297.52"/>
    <x v="0"/>
  </r>
  <r>
    <s v="FLUJO"/>
    <n v="20601792908"/>
    <s v="CAR GLASS AUTOMOTRIZ E.I.R.L."/>
    <s v="202507, 202506"/>
    <x v="2"/>
    <n v="260.81"/>
    <x v="0"/>
  </r>
  <r>
    <s v="FLUJO"/>
    <n v="20602289924"/>
    <s v="OCTANET S.A.C."/>
    <s v="202507, 202506"/>
    <x v="2"/>
    <n v="121.13000000000001"/>
    <x v="0"/>
  </r>
  <r>
    <s v="FLUJO"/>
    <n v="20602559000"/>
    <s v="LAIA CONSUL EIRL"/>
    <s v="202507, 202506, 202504, 202503, 202502, 202505"/>
    <x v="2"/>
    <n v="1410.7800000000002"/>
    <x v="0"/>
  </r>
  <r>
    <s v="FLUJO"/>
    <n v="20602648223"/>
    <s v="COLISEL SAC."/>
    <s v="202507, 202506"/>
    <x v="2"/>
    <n v="612.86000000000013"/>
    <x v="0"/>
  </r>
  <r>
    <s v="FLUJO"/>
    <n v="20605189149"/>
    <s v="INVERSIONES HOLDING GROUP S.A.C."/>
    <s v="202507, 202506"/>
    <x v="2"/>
    <n v="303.06000000000006"/>
    <x v="0"/>
  </r>
  <r>
    <s v="FLUJO"/>
    <n v="20605590021"/>
    <s v="RYN INNOVA S.A.C."/>
    <s v="202507"/>
    <x v="2"/>
    <n v="261.99"/>
    <x v="0"/>
  </r>
  <r>
    <s v="FLUJO"/>
    <n v="20605895159"/>
    <s v="ESPERANZA PALACIOS EIRL"/>
    <s v="202507"/>
    <x v="2"/>
    <n v="216.02"/>
    <x v="0"/>
  </r>
  <r>
    <s v="FLUJO"/>
    <n v="20606560177"/>
    <s v="ALSUM S.A.C."/>
    <s v="202507"/>
    <x v="2"/>
    <n v="629.23"/>
    <x v="0"/>
  </r>
  <r>
    <s v="FLUJO"/>
    <n v="20607772291"/>
    <s v="CH Y G ASOCIADOS ASESORAMIENTO CONTABLE EIRL"/>
    <s v="202507"/>
    <x v="2"/>
    <n v="129.76"/>
    <x v="0"/>
  </r>
  <r>
    <s v="FLUJO"/>
    <n v="20608209019"/>
    <s v="GRUPO NINACRISTO EMPRESA INDIVIDUAL DE RESPONSABILIDAD LIMIT"/>
    <s v="202507, 202506, 202505, 202504"/>
    <x v="2"/>
    <n v="526.38"/>
    <x v="0"/>
  </r>
  <r>
    <s v="FLUJO"/>
    <n v="20608318225"/>
    <s v="CONFECCIONES YARA EIRL"/>
    <s v="202507, 202506"/>
    <x v="2"/>
    <n v="260.81"/>
    <x v="0"/>
  </r>
  <r>
    <s v="FLUJO"/>
    <n v="20608587820"/>
    <s v="comercial jimenez  j.w.j eirl"/>
    <s v="202507, 202506, 202505, 202504, 202503"/>
    <x v="2"/>
    <n v="660.9"/>
    <x v="0"/>
  </r>
  <r>
    <s v="FLUJO"/>
    <n v="20609349761"/>
    <s v="CETUMI E.I.R.L."/>
    <s v="202507"/>
    <x v="2"/>
    <n v="148.03"/>
    <x v="0"/>
  </r>
  <r>
    <s v="FLUJO"/>
    <n v="20610315624"/>
    <s v="GRUPO INMOBILIARIA SULCA S.A.C."/>
    <s v="202507, 202506, 202505, 202504, 202503, 202502"/>
    <x v="2"/>
    <n v="796.57999999999993"/>
    <x v="0"/>
  </r>
  <r>
    <s v="FLUJO"/>
    <n v="20610355499"/>
    <s v="NATURAL SENSES SAC"/>
    <s v="202507"/>
    <x v="2"/>
    <n v="148.03"/>
    <x v="0"/>
  </r>
  <r>
    <s v="FLUJO"/>
    <n v="20610493654"/>
    <s v="WINE CENTRO CORPORAL GROUP E.I.R.L."/>
    <s v="202507, 202505, 202506"/>
    <x v="2"/>
    <n v="982.02"/>
    <x v="0"/>
  </r>
  <r>
    <s v="FLUJO"/>
    <n v="20610957731"/>
    <s v="CORPORACION PLAST PERU E.I.R.L."/>
    <s v="202507"/>
    <x v="2"/>
    <n v="148.03"/>
    <x v="0"/>
  </r>
  <r>
    <s v="FLUJO"/>
    <n v="20611174391"/>
    <s v="INDIETRO SAC"/>
    <s v="202507"/>
    <x v="2"/>
    <n v="148.03"/>
    <x v="0"/>
  </r>
  <r>
    <s v="FLUJO"/>
    <n v="20611425628"/>
    <s v="HISTORIA TEXTIL SAC"/>
    <s v="202507, 202506"/>
    <x v="2"/>
    <n v="526.58000000000004"/>
    <x v="0"/>
  </r>
  <r>
    <s v="FLUJO"/>
    <n v="20611977353"/>
    <s v="NIDO WELCOME S.A.C."/>
    <s v="202507"/>
    <x v="2"/>
    <n v="441.19000000000005"/>
    <x v="0"/>
  </r>
  <r>
    <s v="FLUJO"/>
    <n v="20612335932"/>
    <s v="INDUSTRIAS DERLEE SAC"/>
    <s v="202507, 202506"/>
    <x v="2"/>
    <n v="807.83999999999992"/>
    <x v="0"/>
  </r>
  <r>
    <s v="FLUJO"/>
    <n v="20603533535"/>
    <s v="Smart Motion SAC"/>
    <s v="202506, 202505"/>
    <x v="2"/>
    <n v="263.26"/>
    <x v="0"/>
  </r>
  <r>
    <s v="FLUJO"/>
    <n v="20608767712"/>
    <s v="MA MOTO SHOP E.I.R.L."/>
    <s v="202506, 202505"/>
    <x v="2"/>
    <n v="263.26"/>
    <x v="0"/>
  </r>
  <r>
    <s v="FLUJO"/>
    <n v="20612889989"/>
    <s v="SH ODONTOZ HEALTH S.A.C."/>
    <s v="202506, 202505"/>
    <x v="2"/>
    <n v="263.26"/>
    <x v="0"/>
  </r>
  <r>
    <s v="FLUJO"/>
    <n v="20122683355"/>
    <s v="CASA RIKY SOCIEDAD ANONIMA CERRADA"/>
    <s v="202505, 202504, 202507, 202506"/>
    <x v="2"/>
    <n v="1077.31"/>
    <x v="0"/>
  </r>
  <r>
    <s v="FLUJO"/>
    <n v="20610503579"/>
    <s v="ALSI CONSTRUCTORA S.A.C."/>
    <s v="202505, 202506, 202507"/>
    <x v="2"/>
    <n v="2251.21"/>
    <x v="0"/>
  </r>
  <r>
    <s v="FLUJO"/>
    <n v="20601277949"/>
    <s v="GUADALUPE SERVICIOS INTEGRALES SRL"/>
    <s v="202504, 202503"/>
    <x v="2"/>
    <n v="439.23"/>
    <x v="0"/>
  </r>
  <r>
    <s v="FLUJO"/>
    <n v="20613515969"/>
    <s v="PAQUITA FISH E.I.R.L."/>
    <s v="202504, 202505"/>
    <x v="2"/>
    <n v="266.08000000000004"/>
    <x v="0"/>
  </r>
  <r>
    <s v="FLUJO"/>
    <n v="20602044638"/>
    <s v="FODATEX SAC"/>
    <s v="202502, 202503"/>
    <x v="2"/>
    <n v="1365.33"/>
    <x v="0"/>
  </r>
  <r>
    <s v="PRESUNTA"/>
    <n v="20563578824"/>
    <s v="A &amp; H COMPANY S.A.C."/>
    <s v="202507"/>
    <x v="2"/>
    <n v="443.85"/>
    <x v="0"/>
  </r>
  <r>
    <s v="PRESUNTA"/>
    <n v="20400581925"/>
    <s v="EMPRESA DE TRANSPORTES TURI SMO AMPAY SCRL"/>
    <s v="202505, 202507, 202506"/>
    <x v="2"/>
    <n v="2530.64"/>
    <x v="0"/>
  </r>
  <r>
    <s v="REAL TOTAL"/>
    <n v="10710945221"/>
    <s v="gilmer antonio flores tenazoa"/>
    <s v="202502"/>
    <x v="2"/>
    <n v="135.68"/>
    <x v="0"/>
  </r>
  <r>
    <s v="REAL TOTAL"/>
    <n v="20600038819"/>
    <s v="TALLER DE SOLDADURA JOEL E.I.R.L."/>
    <s v="202107"/>
    <x v="2"/>
    <n v="195.17000000000002"/>
    <x v="0"/>
  </r>
  <r>
    <s v="REAL TOTAL"/>
    <n v="20100574773"/>
    <s v="America International Tours SA"/>
    <s v="201804, 201803, 201802"/>
    <x v="2"/>
    <n v="690.03000000000009"/>
    <x v="0"/>
  </r>
  <r>
    <s v="FLUJO"/>
    <n v="10062261752"/>
    <s v="CASTRO RAMOS MARIA MAGDALENA"/>
    <s v="202507, 202506"/>
    <x v="3"/>
    <n v="94.4"/>
    <x v="0"/>
  </r>
  <r>
    <s v="FLUJO"/>
    <n v="10246912934"/>
    <s v="RODRIGUEZ SUYO DORIS"/>
    <s v="202507, 202506"/>
    <x v="3"/>
    <n v="461.85"/>
    <x v="0"/>
  </r>
  <r>
    <s v="FLUJO"/>
    <n v="10296520018"/>
    <s v="VIZCARRA RUIZ JAIRO"/>
    <s v="202507, 202506, 202505"/>
    <x v="3"/>
    <n v="393.02"/>
    <x v="0"/>
  </r>
  <r>
    <s v="FLUJO"/>
    <n v="10464654581"/>
    <s v="MUOZ  CHAVEZ  ANDRES"/>
    <s v="202507"/>
    <x v="3"/>
    <n v="148.03"/>
    <x v="0"/>
  </r>
  <r>
    <s v="FLUJO"/>
    <n v="20207931471"/>
    <s v="grove peru sa c"/>
    <s v="202507"/>
    <x v="3"/>
    <n v="495.11"/>
    <x v="0"/>
  </r>
  <r>
    <s v="FLUJO"/>
    <n v="20259263230"/>
    <s v="TOURS PANASUR EIRL"/>
    <s v="202507"/>
    <x v="3"/>
    <n v="148.03"/>
    <x v="0"/>
  </r>
  <r>
    <s v="FLUJO"/>
    <n v="20452573394"/>
    <s v="SMRL CANTERAS ASOCIADAS I"/>
    <s v="202507, 202506, 202505"/>
    <x v="3"/>
    <n v="820.63000000000011"/>
    <x v="0"/>
  </r>
  <r>
    <s v="FLUJO"/>
    <n v="20480036132"/>
    <s v="TRANSPORTES CLARITA SRL"/>
    <s v="202507"/>
    <x v="3"/>
    <n v="875.76"/>
    <x v="0"/>
  </r>
  <r>
    <s v="FLUJO"/>
    <n v="20505322917"/>
    <s v="INVERSIONES ROLCAS SAC"/>
    <s v="202507"/>
    <x v="3"/>
    <n v="277.78999999999996"/>
    <x v="0"/>
  </r>
  <r>
    <s v="FLUJO"/>
    <n v="20539625722"/>
    <s v="mac inversiones y equipos sac"/>
    <s v="202507"/>
    <x v="3"/>
    <n v="129.76"/>
    <x v="0"/>
  </r>
  <r>
    <s v="FLUJO"/>
    <n v="20556808768"/>
    <s v="GRUPO E Y CM CONTRATISTAS GENERALES SRL"/>
    <s v="202507, 202506"/>
    <x v="3"/>
    <n v="457.62"/>
    <x v="0"/>
  </r>
  <r>
    <s v="FLUJO"/>
    <n v="20600907655"/>
    <s v="INVERSIONES RAPIVENTAS S.A.C."/>
    <s v="202507"/>
    <x v="3"/>
    <n v="148.03"/>
    <x v="0"/>
  </r>
  <r>
    <s v="FLUJO"/>
    <n v="20602812619"/>
    <s v="R &amp; D ARQUITECTURA INGENIERIA Y CONSTRUCCION SAC"/>
    <s v="202507"/>
    <x v="3"/>
    <n v="628.84999999999991"/>
    <x v="0"/>
  </r>
  <r>
    <s v="FLUJO"/>
    <n v="20603611552"/>
    <s v="INGENIERIA Y CONSTRUCCION BEGO SAC"/>
    <s v="202507, 202506, 202505, 202504, 202503, 202502"/>
    <x v="3"/>
    <n v="1444.3"/>
    <x v="0"/>
  </r>
  <r>
    <s v="FLUJO"/>
    <n v="20603720131"/>
    <s v="G&amp;A TECNOLOGIAS S.A.C"/>
    <s v="202507"/>
    <x v="3"/>
    <n v="277.78999999999996"/>
    <x v="0"/>
  </r>
  <r>
    <s v="FLUJO"/>
    <n v="20605402314"/>
    <s v="JAIDEC E.I.R.L."/>
    <s v="202507, 202506"/>
    <x v="3"/>
    <n v="947.01"/>
    <x v="0"/>
  </r>
  <r>
    <s v="FLUJO"/>
    <n v="20606507870"/>
    <s v="OVEJA NEGRA MOTORS SAC"/>
    <s v="202507"/>
    <x v="3"/>
    <n v="148.03"/>
    <x v="0"/>
  </r>
  <r>
    <s v="FLUJO"/>
    <n v="20606800097"/>
    <s v="D' SARA CORPORACIÃ“N S.A.C."/>
    <s v="202507, 202506"/>
    <x v="3"/>
    <n v="286.89999999999998"/>
    <x v="0"/>
  </r>
  <r>
    <s v="FLUJO"/>
    <n v="20607392791"/>
    <s v="INVERNADEROS TIKARIY S.A.C"/>
    <s v="202507"/>
    <x v="3"/>
    <n v="148.03"/>
    <x v="0"/>
  </r>
  <r>
    <s v="FLUJO"/>
    <n v="20607929191"/>
    <s v="EXTREME AIRE ACONDICIONADO Y REFRIGERACION S.A.C"/>
    <s v="202507, 202506"/>
    <x v="3"/>
    <n v="1430.1399999999999"/>
    <x v="0"/>
  </r>
  <r>
    <s v="FLUJO"/>
    <n v="20608491369"/>
    <s v="JAVAL INGENIEROS CONSTRUCTORES S.R.L."/>
    <s v="202507, 202506"/>
    <x v="3"/>
    <n v="260.81"/>
    <x v="0"/>
  </r>
  <r>
    <s v="FLUJO"/>
    <n v="20608526278"/>
    <s v="PARROQUIA SANTO TORIBIO DE MOGROVEJO"/>
    <s v="202507, 202506, 202505, 202504"/>
    <x v="3"/>
    <n v="736.1"/>
    <x v="0"/>
  </r>
  <r>
    <s v="FLUJO"/>
    <n v="20609164507"/>
    <s v="GRUPO GASTRONOMICO MR E.I.R.L."/>
    <s v="202507"/>
    <x v="3"/>
    <n v="368.75"/>
    <x v="0"/>
  </r>
  <r>
    <s v="FLUJO"/>
    <n v="20610173641"/>
    <s v="CASTRO Y ABOG. S.A.C."/>
    <s v="202507, 202506"/>
    <x v="3"/>
    <n v="131.70999999999998"/>
    <x v="0"/>
  </r>
  <r>
    <s v="FLUJO"/>
    <n v="20611807440"/>
    <s v="GRUPO NAVHE S.R.L."/>
    <s v="202507"/>
    <x v="3"/>
    <n v="847.74"/>
    <x v="0"/>
  </r>
  <r>
    <s v="FLUJO"/>
    <n v="20612868094"/>
    <s v="FRANATPA INVERSIONES S.A.C"/>
    <s v="202507, 202506, 202505"/>
    <x v="3"/>
    <n v="393.02"/>
    <x v="0"/>
  </r>
  <r>
    <s v="FLUJO"/>
    <n v="20613007441"/>
    <s v="SERVICIOS GENERALES GUEVARA E.I.R.L."/>
    <s v="202507, 202506, 202505"/>
    <x v="3"/>
    <n v="475.90000000000009"/>
    <x v="0"/>
  </r>
  <r>
    <s v="FLUJO"/>
    <n v="10096577759"/>
    <s v="LLANQUECHA TACO ARTEMIO VIDAL"/>
    <s v="202506, 202507"/>
    <x v="3"/>
    <n v="392.38"/>
    <x v="0"/>
  </r>
  <r>
    <s v="FLUJO"/>
    <n v="20603177933"/>
    <s v="IVTEC LED S.A.C."/>
    <s v="202506"/>
    <x v="3"/>
    <n v="20.399999999999999"/>
    <x v="0"/>
  </r>
  <r>
    <s v="FLUJO"/>
    <n v="20603759100"/>
    <s v="C Y G INTERNATIONAL BUSINESS GROUP S.A.C."/>
    <s v="202506, 202505, 202507"/>
    <x v="3"/>
    <n v="393.53999999999996"/>
    <x v="0"/>
  </r>
  <r>
    <s v="FLUJO"/>
    <n v="20605570047"/>
    <s v="LABORATORIO SR DE QOYLLUR RITTI J B E.I.R.L."/>
    <s v="202506, 202507"/>
    <x v="3"/>
    <n v="346.9"/>
    <x v="0"/>
  </r>
  <r>
    <s v="FLUJO"/>
    <n v="20609450712"/>
    <s v="IMPACTA PUBLICIDAD GRAFICA E.I.R.L."/>
    <s v="202506, 202505"/>
    <x v="3"/>
    <n v="263.26"/>
    <x v="0"/>
  </r>
  <r>
    <s v="FLUJO"/>
    <n v="20610906371"/>
    <s v="Cooperativa Agraria Lideres Emprendedores en  Banano"/>
    <s v="202506, 202505, 202504, 202503"/>
    <x v="3"/>
    <n v="345.19000000000005"/>
    <x v="0"/>
  </r>
  <r>
    <s v="FLUJO"/>
    <n v="20470871475"/>
    <s v="EMP. DE TRANSPORTES SOL DE AMERICA EIRL"/>
    <s v="202505"/>
    <x v="3"/>
    <n v="150.81"/>
    <x v="0"/>
  </r>
  <r>
    <s v="FLUJO"/>
    <n v="20606636050"/>
    <s v="INTERVENCION  SOCIAL   ERICSSON  E.I.R.L"/>
    <s v="202504, 202503"/>
    <x v="3"/>
    <n v="305.58"/>
    <x v="0"/>
  </r>
  <r>
    <s v="FLUJO"/>
    <n v="20608204807"/>
    <s v="INDUSTRIAS PERUANAS UNIDAS S.A.C."/>
    <s v="202504, 202503, 202502"/>
    <x v="3"/>
    <n v="443.90999999999997"/>
    <x v="0"/>
  </r>
  <r>
    <s v="FLUJO"/>
    <n v="20611039825"/>
    <s v="JUVENUS CAPITAL SAC"/>
    <s v="202504, 202503"/>
    <x v="3"/>
    <n v="267.88"/>
    <x v="0"/>
  </r>
  <r>
    <s v="FLUJO"/>
    <n v="20612906123"/>
    <s v="ATLANTA CONSULTORES Y EJECUTORES E.I.R.L."/>
    <s v="202502, 202504, 202503"/>
    <x v="3"/>
    <n v="536.72"/>
    <x v="0"/>
  </r>
  <r>
    <s v="FLUJO"/>
    <n v="20603940696"/>
    <s v="CONSTRUCTORA MAKENA SAC"/>
    <s v="202104"/>
    <x v="3"/>
    <n v="735.71"/>
    <x v="0"/>
  </r>
  <r>
    <s v="PRESUNTA"/>
    <n v="20449318693"/>
    <s v="GESCONP SRL"/>
    <s v="202507"/>
    <x v="3"/>
    <n v="208.82999999999998"/>
    <x v="0"/>
  </r>
  <r>
    <s v="PRESUNTA"/>
    <n v="20451800184"/>
    <s v="PARROQUIA SANTA ROSA DEL MAR"/>
    <s v="202507"/>
    <x v="3"/>
    <n v="137.80000000000001"/>
    <x v="0"/>
  </r>
  <r>
    <s v="PRESUNTA"/>
    <n v="20606794143"/>
    <s v="ICS PACK S.A.C."/>
    <s v="202506, 202507"/>
    <x v="3"/>
    <n v="298.10000000000002"/>
    <x v="0"/>
  </r>
  <r>
    <s v="PRESUNTA"/>
    <n v="20498129065"/>
    <s v="MICRODATA SRL"/>
    <s v="202504"/>
    <x v="3"/>
    <n v="495.6"/>
    <x v="0"/>
  </r>
  <r>
    <s v="REAL TOTAL"/>
    <n v="20155770881"/>
    <s v="Asociacion CEP Peruano Chino Diez De Octubre"/>
    <s v="202410"/>
    <x v="3"/>
    <n v="5006.3900000000003"/>
    <x v="0"/>
  </r>
  <r>
    <s v="FLUJO"/>
    <n v="10097470559"/>
    <s v="CEP BF SKINNER"/>
    <s v="202507"/>
    <x v="4"/>
    <n v="1295.4000000000001"/>
    <x v="0"/>
  </r>
  <r>
    <s v="FLUJO"/>
    <n v="20108213630"/>
    <s v="NEGOCIACION SANTA ANGELA S.A.C."/>
    <s v="202507"/>
    <x v="4"/>
    <n v="278.07"/>
    <x v="0"/>
  </r>
  <r>
    <s v="FLUJO"/>
    <n v="20393693119"/>
    <s v="OLEAGINOSAS PUCALLPA SAC"/>
    <s v="202507"/>
    <x v="4"/>
    <n v="3767.46"/>
    <x v="0"/>
  </r>
  <r>
    <s v="FLUJO"/>
    <n v="20451592131"/>
    <s v="TRANSDAM  SRL"/>
    <s v="202507"/>
    <x v="4"/>
    <n v="196.69"/>
    <x v="0"/>
  </r>
  <r>
    <s v="FLUJO"/>
    <n v="20495669999"/>
    <s v="TRANSPORTES HERRERA EIRL"/>
    <s v="202507, 202506, 202505"/>
    <x v="4"/>
    <n v="393.15"/>
    <x v="0"/>
  </r>
  <r>
    <s v="FLUJO"/>
    <n v="20510156812"/>
    <s v="ALLIANCE AIRFREIGHT Y OCEAN PERU SOCIEDAD ANONIMA"/>
    <s v="202507, 202506"/>
    <x v="4"/>
    <n v="692.77"/>
    <x v="0"/>
  </r>
  <r>
    <s v="FLUJO"/>
    <n v="20513336676"/>
    <s v="CONCESIONARIO DE ALIMENTOS LUCE MIR EIRL"/>
    <s v="202507, 202506"/>
    <x v="4"/>
    <n v="277.11"/>
    <x v="0"/>
  </r>
  <r>
    <s v="FLUJO"/>
    <n v="20602829198"/>
    <s v="SAHURT INGENIEROS EIRL"/>
    <s v="202507"/>
    <x v="4"/>
    <n v="148.16999999999999"/>
    <x v="0"/>
  </r>
  <r>
    <s v="FLUJO"/>
    <n v="20602926703"/>
    <s v="CSICAP COMPANY E.I.R.L."/>
    <s v="202507"/>
    <x v="4"/>
    <n v="150.81"/>
    <x v="0"/>
  </r>
  <r>
    <s v="FLUJO"/>
    <n v="20603082941"/>
    <s v="Servicios Industriales Ruben S.A.C."/>
    <s v="202507, 202506"/>
    <x v="4"/>
    <n v="260.94"/>
    <x v="0"/>
  </r>
  <r>
    <s v="FLUJO"/>
    <n v="20603257058"/>
    <s v="CALETA DOLSA SAC"/>
    <s v="202507, 202506"/>
    <x v="4"/>
    <n v="5878.41"/>
    <x v="0"/>
  </r>
  <r>
    <s v="FLUJO"/>
    <n v="20603751044"/>
    <s v="CORPORACION COMERCIO SEGURO SAC"/>
    <s v="202507, 202506, 202505"/>
    <x v="4"/>
    <n v="479.74"/>
    <x v="0"/>
  </r>
  <r>
    <s v="FLUJO"/>
    <n v="20605639136"/>
    <s v="F Y S MARTINEZ SAC"/>
    <s v="202507"/>
    <x v="4"/>
    <n v="280.7"/>
    <x v="0"/>
  </r>
  <r>
    <s v="FLUJO"/>
    <n v="20606395681"/>
    <s v="INVERSIONES KAMILA IYARI E.I.R.L."/>
    <s v="202507, 202506, 202505, 202504"/>
    <x v="4"/>
    <n v="579.16999999999996"/>
    <x v="0"/>
  </r>
  <r>
    <s v="FLUJO"/>
    <n v="20606545551"/>
    <s v="PERUVIAN NORTH FOOD S.A.C."/>
    <s v="202507"/>
    <x v="4"/>
    <n v="250.85000000000002"/>
    <x v="0"/>
  </r>
  <r>
    <s v="FLUJO"/>
    <n v="20607031682"/>
    <s v="HIELO Y CONGELADOS PARACHIQUE SOCIEDAD ANONIMA CERRADA"/>
    <s v="202507, 202506, 202505"/>
    <x v="4"/>
    <n v="393.15"/>
    <x v="0"/>
  </r>
  <r>
    <s v="FLUJO"/>
    <n v="20607058831"/>
    <s v="CORPORACION R TOMAS E.I.R.L."/>
    <s v="202507"/>
    <x v="4"/>
    <n v="196.69"/>
    <x v="0"/>
  </r>
  <r>
    <s v="FLUJO"/>
    <n v="20607154423"/>
    <s v="LABORATORIO LABMIN SAC"/>
    <s v="202507, 202506, 202505, 202504"/>
    <x v="4"/>
    <n v="605.74"/>
    <x v="0"/>
  </r>
  <r>
    <s v="FLUJO"/>
    <n v="20607894958"/>
    <s v="DIGITAL CITY S.A.C."/>
    <s v="202507, 202506, 202505, 202504"/>
    <x v="4"/>
    <n v="574.79"/>
    <x v="0"/>
  </r>
  <r>
    <s v="FLUJO"/>
    <n v="20609009021"/>
    <s v="SERVICIOS DE ALIMENTOS GENERALES Y AFINES SAC"/>
    <s v="202507"/>
    <x v="4"/>
    <n v="148.16999999999999"/>
    <x v="0"/>
  </r>
  <r>
    <s v="FLUJO"/>
    <n v="20609154676"/>
    <s v="GRUPO HR E INGENIEROS EIRL"/>
    <s v="202507, 202506, 202505, 202504"/>
    <x v="4"/>
    <n v="526.51"/>
    <x v="0"/>
  </r>
  <r>
    <s v="FLUJO"/>
    <n v="20610855912"/>
    <s v="PERUVIAN ORGANIC LANDS S.A.C."/>
    <s v="202507, 202506"/>
    <x v="4"/>
    <n v="519.98"/>
    <x v="0"/>
  </r>
  <r>
    <s v="FLUJO"/>
    <n v="20613076680"/>
    <s v="BRAF PERU LOGISTIC S.A.C."/>
    <s v="202507, 202506, 202505, 202504"/>
    <x v="4"/>
    <n v="526.51"/>
    <x v="0"/>
  </r>
  <r>
    <s v="FLUJO"/>
    <n v="20506204683"/>
    <s v="SJW SRL"/>
    <s v="202506"/>
    <x v="4"/>
    <n v="2913.71"/>
    <x v="0"/>
  </r>
  <r>
    <s v="FLUJO"/>
    <n v="20600888103"/>
    <s v="Gear Computer SCRL"/>
    <s v="202506, 202507, 202505"/>
    <x v="4"/>
    <n v="978.96"/>
    <x v="0"/>
  </r>
  <r>
    <s v="FLUJO"/>
    <n v="20605882359"/>
    <s v="CENTRO DE INVESTIGACION Y ASESORIA TRIBUTARIA ICHPAS SAC"/>
    <s v="202506"/>
    <x v="4"/>
    <n v="131.05000000000001"/>
    <x v="0"/>
  </r>
  <r>
    <s v="FLUJO"/>
    <n v="20608194534"/>
    <s v="MGP SERVYPARTS E.I.R.L."/>
    <s v="202506, 202507"/>
    <x v="4"/>
    <n v="487.95000000000005"/>
    <x v="0"/>
  </r>
  <r>
    <s v="FLUJO"/>
    <n v="20477419390"/>
    <s v="CLINICA IMPLANTES DEL NORTE SRL"/>
    <s v="202505, 202504, 202506, 202507"/>
    <x v="4"/>
    <n v="527.92000000000007"/>
    <x v="0"/>
  </r>
  <r>
    <s v="FLUJO"/>
    <n v="20543608271"/>
    <s v="INVERSIONES GORRION SAC"/>
    <s v="202505"/>
    <x v="4"/>
    <n v="145.42000000000002"/>
    <x v="0"/>
  </r>
  <r>
    <s v="FLUJO"/>
    <n v="20602083030"/>
    <s v="COMERCIAL LA CRUZ Y MENDEZ SAC"/>
    <s v="202505, 202506"/>
    <x v="4"/>
    <n v="264.02999999999997"/>
    <x v="0"/>
  </r>
  <r>
    <s v="FLUJO"/>
    <n v="10418000703"/>
    <s v="SANDRA RAMIREZ CARLOS"/>
    <s v="202504, 202503, 202502, 202501"/>
    <x v="4"/>
    <n v="574"/>
    <x v="0"/>
  </r>
  <r>
    <s v="FLUJO"/>
    <n v="20607576484"/>
    <s v="JHUMAJER S.A.C."/>
    <s v="202504"/>
    <x v="4"/>
    <n v="101.41"/>
    <x v="0"/>
  </r>
  <r>
    <s v="FLUJO"/>
    <n v="20602549241"/>
    <s v="SERVICIOS DE SALUD YACC S.R.L"/>
    <s v="202503, 202504"/>
    <x v="4"/>
    <n v="220.68"/>
    <x v="0"/>
  </r>
  <r>
    <s v="FLUJO"/>
    <n v="20543073491"/>
    <s v="GCY GROUP SAC"/>
    <s v="202502"/>
    <x v="4"/>
    <n v="330.51"/>
    <x v="0"/>
  </r>
  <r>
    <s v="PRESUNTA"/>
    <n v="20602466737"/>
    <s v="THABNA CONTRATISTAS S.A.C."/>
    <s v="202507"/>
    <x v="4"/>
    <n v="539.31999999999994"/>
    <x v="0"/>
  </r>
  <r>
    <s v="PRESUNTA"/>
    <n v="20272827681"/>
    <s v="REFRISA S.R.LTDA."/>
    <s v="202412, 202411"/>
    <x v="4"/>
    <n v="1004.55"/>
    <x v="0"/>
  </r>
  <r>
    <s v="REAL TOTAL"/>
    <n v="20198459748"/>
    <s v="buzos del pacifico eirl"/>
    <s v="202502, 202501"/>
    <x v="4"/>
    <n v="3859.25"/>
    <x v="0"/>
  </r>
  <r>
    <s v="REAL TOTAL"/>
    <n v="20494179262"/>
    <s v="JYP CONSTRUCTORES GENERALES SAC"/>
    <s v="202410"/>
    <x v="4"/>
    <n v="130.96"/>
    <x v="0"/>
  </r>
  <r>
    <s v="REAL TOTAL"/>
    <n v="20554078789"/>
    <s v="HEXYTOSA EIRL"/>
    <s v="201803, 201804, 201810, 201809, 201808, 201807, 201806, 201805"/>
    <x v="4"/>
    <n v="1560.0800000000002"/>
    <x v="0"/>
  </r>
  <r>
    <s v="FLUJO"/>
    <n v="20117182640"/>
    <s v="EMP TRANSP VIRGEN DE LA PUERTA SA"/>
    <s v="202507"/>
    <x v="5"/>
    <n v="129.88999999999999"/>
    <x v="0"/>
  </r>
  <r>
    <s v="FLUJO"/>
    <n v="20550010900"/>
    <s v="CALDERAS PERUANAS Y DERIVADOS SOCIEDAD ANONIMA CERRADA"/>
    <s v="202506, 202504"/>
    <x v="5"/>
    <n v="264.67"/>
    <x v="0"/>
  </r>
  <r>
    <s v="FLUJO"/>
    <n v="20610120874"/>
    <s v="CORPORACION GUIMEL SAC"/>
    <s v="202506, 202507, 202505"/>
    <x v="5"/>
    <n v="420.47"/>
    <x v="0"/>
  </r>
  <r>
    <s v="PRESUNTA"/>
    <n v="20601443831"/>
    <s v="ZARAGOZA LOGISTICA Y TRANSPORTES E.I.R.L."/>
    <s v="202507"/>
    <x v="5"/>
    <n v="129.88999999999999"/>
    <x v="0"/>
  </r>
  <r>
    <s v="FLUJO"/>
    <n v="10218025451"/>
    <s v="CASTILLO LEON REYNALDO PASTOR"/>
    <s v="202507"/>
    <x v="6"/>
    <n v="148.16999999999999"/>
    <x v="0"/>
  </r>
  <r>
    <s v="FLUJO"/>
    <n v="20606470054"/>
    <s v="GRUPO D'PALMA SAC"/>
    <s v="202507, 202506, 202505"/>
    <x v="6"/>
    <n v="393.4"/>
    <x v="0"/>
  </r>
  <r>
    <s v="FLUJO"/>
    <n v="20610622080"/>
    <s v="HANDFLUID TRADING S.A.C."/>
    <s v="202507"/>
    <x v="6"/>
    <n v="148.16999999999999"/>
    <x v="0"/>
  </r>
  <r>
    <s v="PRESUNTA"/>
    <n v="20549673491"/>
    <s v="GRAFITEX ISRAEL EIRL"/>
    <s v="201708, 201707"/>
    <x v="6"/>
    <n v="390.4"/>
    <x v="0"/>
  </r>
  <r>
    <s v="REAL TOTAL"/>
    <n v="20603338481"/>
    <s v="JNAVARRO INSTALACIONES E INGENIERIA SAC"/>
    <s v="202305"/>
    <x v="6"/>
    <n v="221.82"/>
    <x v="0"/>
  </r>
  <r>
    <s v="FLUJO"/>
    <n v="10293974875"/>
    <s v="REYMER MORALES DARIA BEATRIZ"/>
    <s v="202507, 202506, 202505, 202504, 202503"/>
    <x v="7"/>
    <n v="661.53"/>
    <x v="0"/>
  </r>
  <r>
    <s v="FLUJO"/>
    <n v="20517418545"/>
    <s v="DISTRIBUIDORA MULTIUTILES SAC"/>
    <s v="202507, 202506"/>
    <x v="7"/>
    <n v="229.61"/>
    <x v="0"/>
  </r>
  <r>
    <s v="FLUJO"/>
    <n v="20524079586"/>
    <s v="electro comercial karol srl"/>
    <s v="202507"/>
    <x v="7"/>
    <n v="278.07"/>
    <x v="0"/>
  </r>
  <r>
    <s v="FLUJO"/>
    <n v="20543398790"/>
    <s v="LINK CORREDORES DE SEGUROS S.A.C."/>
    <s v="202507, 202506"/>
    <x v="7"/>
    <n v="693.11"/>
    <x v="0"/>
  </r>
  <r>
    <s v="FLUJO"/>
    <n v="20549204075"/>
    <s v="JLB CORPORACION EIRL"/>
    <s v="202507, 202506"/>
    <x v="7"/>
    <n v="1582.29"/>
    <x v="0"/>
  </r>
  <r>
    <s v="FLUJO"/>
    <n v="20559311198"/>
    <s v="CRISERVIS E.I.R.L."/>
    <s v="202507"/>
    <x v="7"/>
    <n v="148.16999999999999"/>
    <x v="0"/>
  </r>
  <r>
    <s v="FLUJO"/>
    <n v="20603902425"/>
    <s v="Inversiones Cevhal SAC"/>
    <s v="202507, 202506, 202505"/>
    <x v="7"/>
    <n v="393.4"/>
    <x v="0"/>
  </r>
  <r>
    <s v="FLUJO"/>
    <n v="20604810575"/>
    <s v="INDUSTRIA FG SOCIEDAD ANONIMA CERRADA"/>
    <s v="202507, 202506"/>
    <x v="7"/>
    <n v="287.19"/>
    <x v="0"/>
  </r>
  <r>
    <s v="FLUJO"/>
    <n v="20605441077"/>
    <s v="ACVET PERU E.I.R.L."/>
    <s v="202507"/>
    <x v="7"/>
    <n v="244.48"/>
    <x v="0"/>
  </r>
  <r>
    <s v="FLUJO"/>
    <n v="20605947728"/>
    <s v="SERVICIO INTEGRAL PIERO ALDO E.I.R.L."/>
    <s v="202507, 202506"/>
    <x v="7"/>
    <n v="261.07"/>
    <x v="0"/>
  </r>
  <r>
    <s v="FLUJO"/>
    <n v="20608740288"/>
    <s v="LIKA - EPICERIE SAC"/>
    <s v="202507, 202506, 202505, 202504, 202503"/>
    <x v="7"/>
    <n v="581.82999999999993"/>
    <x v="0"/>
  </r>
  <r>
    <s v="FLUJO"/>
    <n v="20609715007"/>
    <s v="GRUPO CORPORATIVO CHAVEZ EIRL"/>
    <s v="202507, 202506"/>
    <x v="7"/>
    <n v="261.07"/>
    <x v="0"/>
  </r>
  <r>
    <s v="FLUJO"/>
    <n v="20611262966"/>
    <s v="IH FASHION"/>
    <s v="202507, 202506, 202505, 202504"/>
    <x v="7"/>
    <n v="699.43000000000006"/>
    <x v="0"/>
  </r>
  <r>
    <s v="FLUJO"/>
    <n v="20610234101"/>
    <s v="MORVIDIESEL S.A.C."/>
    <s v="202506, 202505, 202504, 202503"/>
    <x v="7"/>
    <n v="4435.6499999999996"/>
    <x v="0"/>
  </r>
  <r>
    <s v="FLUJO"/>
    <n v="10072623873"/>
    <s v="CALDERON ALTAMIRANO"/>
    <s v="202505"/>
    <x v="7"/>
    <n v="262.71000000000004"/>
    <x v="0"/>
  </r>
  <r>
    <s v="FLUJO"/>
    <n v="10418892612"/>
    <s v="VILLANUEVA GARCIA CARMEN JANNET"/>
    <s v="202505"/>
    <x v="7"/>
    <n v="128.01"/>
    <x v="0"/>
  </r>
  <r>
    <s v="PRESUNTA"/>
    <n v="10336768735"/>
    <s v="QUIROZ DELGADO NANCY"/>
    <s v="202507"/>
    <x v="7"/>
    <n v="129.88999999999999"/>
    <x v="0"/>
  </r>
  <r>
    <s v="REAL TOTAL"/>
    <n v="20551703712"/>
    <s v="NM TELECOM SAC"/>
    <s v="202205"/>
    <x v="7"/>
    <n v="362.58000000000004"/>
    <x v="0"/>
  </r>
  <r>
    <s v="REAL TOTAL"/>
    <n v="20204156060"/>
    <s v="G &amp; G ARQUITECTOS"/>
    <s v="200211"/>
    <x v="7"/>
    <n v="1388.59"/>
    <x v="0"/>
  </r>
  <r>
    <s v="FLUJO"/>
    <n v="10292472477"/>
    <s v="SUC MORON VALDA ELENA ILDA"/>
    <s v="202507"/>
    <x v="8"/>
    <n v="278.34000000000003"/>
    <x v="0"/>
  </r>
  <r>
    <s v="FLUJO"/>
    <n v="10462120031"/>
    <s v="PEÃ‘A CHIPANA NILTON ANDRES"/>
    <s v="202507"/>
    <x v="8"/>
    <n v="148.32"/>
    <x v="0"/>
  </r>
  <r>
    <s v="FLUJO"/>
    <n v="20480594143"/>
    <s v="DRUGSTORE DIFAPAG EIRL"/>
    <s v="202507"/>
    <x v="8"/>
    <n v="148.32"/>
    <x v="0"/>
  </r>
  <r>
    <s v="FLUJO"/>
    <n v="20522135764"/>
    <s v="CORPORACION ROSSE S.A.C."/>
    <s v="202507"/>
    <x v="8"/>
    <n v="211.72"/>
    <x v="0"/>
  </r>
  <r>
    <s v="FLUJO"/>
    <n v="20529442956"/>
    <s v="SAN MIGUEL ARCANGEL CONTRATISTAS GENERALES"/>
    <s v="202507"/>
    <x v="8"/>
    <n v="225.34"/>
    <x v="0"/>
  </r>
  <r>
    <s v="FLUJO"/>
    <n v="20556395820"/>
    <s v="MEDIA IMPACT PERU SAC"/>
    <s v="202507"/>
    <x v="8"/>
    <n v="3145.4"/>
    <x v="0"/>
  </r>
  <r>
    <s v="FLUJO"/>
    <n v="20600054717"/>
    <s v="RR RAMIREZ SAC"/>
    <s v="202507"/>
    <x v="8"/>
    <n v="3073.4500000000003"/>
    <x v="0"/>
  </r>
  <r>
    <s v="FLUJO"/>
    <n v="20600472233"/>
    <s v="EFF INGENIEROS EIRL"/>
    <s v="202507"/>
    <x v="8"/>
    <n v="1290.8499999999999"/>
    <x v="0"/>
  </r>
  <r>
    <s v="FLUJO"/>
    <n v="20601238676"/>
    <s v="PLANTACIONES ORGANICAS DEL  PERU SAC"/>
    <s v="202507, 202506, 202505"/>
    <x v="8"/>
    <n v="433.03000000000009"/>
    <x v="0"/>
  </r>
  <r>
    <s v="FLUJO"/>
    <n v="20601886392"/>
    <s v="JMM INGENIERIA &amp; SERVICIOS GENERALES S.A.C."/>
    <s v="202507"/>
    <x v="8"/>
    <n v="148.32"/>
    <x v="0"/>
  </r>
  <r>
    <s v="FLUJO"/>
    <n v="20602659683"/>
    <s v="FRIGORIFICO SANTA ESPERANZA SAC"/>
    <s v="202507, 202506, 202505"/>
    <x v="8"/>
    <n v="617.18000000000006"/>
    <x v="0"/>
  </r>
  <r>
    <s v="FLUJO"/>
    <n v="20602867065"/>
    <s v="SERVICIOS GENERALES ARFAV E.I.R.L."/>
    <s v="202507, 202506, 202504, 202503, 202502, 202501"/>
    <x v="8"/>
    <n v="1072.81"/>
    <x v="0"/>
  </r>
  <r>
    <s v="FLUJO"/>
    <n v="20605270817"/>
    <s v="SUSAN CAMILO VICTOR INGENIEROS S.A.C."/>
    <s v="202507, 202506"/>
    <x v="8"/>
    <n v="261.21000000000004"/>
    <x v="0"/>
  </r>
  <r>
    <s v="FLUJO"/>
    <n v="20605352091"/>
    <s v="CORPORACION LIKER E.I.R.L."/>
    <s v="202507, 202506, 202505"/>
    <x v="8"/>
    <n v="393.67000000000007"/>
    <x v="0"/>
  </r>
  <r>
    <s v="FLUJO"/>
    <n v="20605809414"/>
    <s v="PANIFICADORA SAC"/>
    <s v="202507"/>
    <x v="8"/>
    <n v="170.47"/>
    <x v="0"/>
  </r>
  <r>
    <s v="FLUJO"/>
    <n v="20609389533"/>
    <s v="HATSUR EIRL"/>
    <s v="202507, 202506"/>
    <x v="8"/>
    <n v="277.39"/>
    <x v="0"/>
  </r>
  <r>
    <s v="FLUJO"/>
    <n v="20611423251"/>
    <s v="DD COFFEE BAKERY GROUP S.A.C."/>
    <s v="202507, 202506"/>
    <x v="8"/>
    <n v="261.21000000000004"/>
    <x v="0"/>
  </r>
  <r>
    <s v="FLUJO"/>
    <n v="20542731851"/>
    <s v="ORGANIZACION EDUCATIVA DANIEL GOLEMAN EIRL"/>
    <s v="202506, 202505"/>
    <x v="8"/>
    <n v="263.64"/>
    <x v="0"/>
  </r>
  <r>
    <s v="FLUJO"/>
    <n v="20609308746"/>
    <s v="LOPEZHER S.R.L."/>
    <s v="202506"/>
    <x v="8"/>
    <n v="164.61"/>
    <x v="0"/>
  </r>
  <r>
    <s v="FLUJO"/>
    <n v="20600625692"/>
    <s v="CONAGAS SAC"/>
    <s v="202505, 202506"/>
    <x v="8"/>
    <n v="533.06999999999994"/>
    <x v="0"/>
  </r>
  <r>
    <s v="FLUJO"/>
    <n v="20608676725"/>
    <s v="Encalada MS S.A.C."/>
    <s v="202505"/>
    <x v="8"/>
    <n v="1102.9099999999999"/>
    <x v="0"/>
  </r>
  <r>
    <s v="PRESUNTA"/>
    <n v="20560188324"/>
    <s v="JEHOVA JIREH ELIENAI GRUPO CORPORATIVO SAC"/>
    <s v="202507, 202506"/>
    <x v="8"/>
    <n v="560.33000000000004"/>
    <x v="0"/>
  </r>
  <r>
    <s v="PRESUNTA"/>
    <n v="20606970928"/>
    <s v="TRANSPORTE MC Y LH SRL"/>
    <s v="202507"/>
    <x v="8"/>
    <n v="138.07999999999998"/>
    <x v="0"/>
  </r>
  <r>
    <s v="REAL TOTAL"/>
    <n v="10071815426"/>
    <s v="ALCAZAR SERNA GUSTAVO GOTARDO"/>
    <s v="202502, 202501"/>
    <x v="8"/>
    <n v="338.1"/>
    <x v="0"/>
  </r>
  <r>
    <s v="REAL TOTAL"/>
    <n v="20510520212"/>
    <s v="LITOTRICIA JAVIER PRADO SAC"/>
    <s v="202412, 202411, 202410"/>
    <x v="8"/>
    <n v="1013.88"/>
    <x v="0"/>
  </r>
  <r>
    <s v="REAL TOTAL"/>
    <n v="20111857467"/>
    <s v="academia de natacion angel romero srl"/>
    <s v="201801"/>
    <x v="8"/>
    <n v="1272.45"/>
    <x v="0"/>
  </r>
  <r>
    <s v="FLUJO"/>
    <n v="10026192400"/>
    <s v="SILVESTRE NUEZ SAAVEDRA"/>
    <s v="202507"/>
    <x v="9"/>
    <n v="389.61"/>
    <x v="0"/>
  </r>
  <r>
    <s v="FLUJO"/>
    <n v="10192313045"/>
    <s v="RIOS VERASTEGUI MANUEL GENARO"/>
    <s v="202507, 202506"/>
    <x v="9"/>
    <n v="229.85"/>
    <x v="0"/>
  </r>
  <r>
    <s v="FLUJO"/>
    <n v="10406333707"/>
    <s v="BARRIOS LUQUE KARINA"/>
    <s v="202507, 202506"/>
    <x v="9"/>
    <n v="261.34000000000003"/>
    <x v="0"/>
  </r>
  <r>
    <s v="FLUJO"/>
    <n v="10471707851"/>
    <s v="FLORES SORIA KARL LODBER"/>
    <s v="202507"/>
    <x v="9"/>
    <n v="796.13"/>
    <x v="0"/>
  </r>
  <r>
    <s v="FLUJO"/>
    <n v="10802563308"/>
    <s v="SAMPEN FLORES CARLOS HERNAN"/>
    <s v="202507, 202506"/>
    <x v="9"/>
    <n v="261.34000000000003"/>
    <x v="0"/>
  </r>
  <r>
    <s v="FLUJO"/>
    <n v="10804722179"/>
    <s v="AGUILAR CENTURION RENE OMAR"/>
    <s v="202507, 202506, 202505, 202504, 202503"/>
    <x v="9"/>
    <n v="1477.85"/>
    <x v="0"/>
  </r>
  <r>
    <s v="FLUJO"/>
    <n v="20343493984"/>
    <s v="ALAYZA CONSULTORES LEGALES ASOCIADOS SOC. CIVIL DE RESPONSAB"/>
    <s v="202507"/>
    <x v="9"/>
    <n v="210.01"/>
    <x v="0"/>
  </r>
  <r>
    <s v="FLUJO"/>
    <n v="20452624487"/>
    <s v="INVERSIONES MAJORO SAC"/>
    <s v="202507, 202506"/>
    <x v="9"/>
    <n v="161.87"/>
    <x v="0"/>
  </r>
  <r>
    <s v="FLUJO"/>
    <n v="20509607657"/>
    <s v="LAN TRADING SA"/>
    <s v="202507"/>
    <x v="9"/>
    <n v="249.39"/>
    <x v="0"/>
  </r>
  <r>
    <s v="FLUJO"/>
    <n v="20520774352"/>
    <s v="REPRESENTACIONES JHOSEP SAC"/>
    <s v="202507, 202506"/>
    <x v="9"/>
    <n v="261.34000000000003"/>
    <x v="0"/>
  </r>
  <r>
    <s v="FLUJO"/>
    <n v="20545373441"/>
    <s v="VETERINARIA MI CACHORRITO SAC"/>
    <s v="202507"/>
    <x v="9"/>
    <n v="132.66"/>
    <x v="0"/>
  </r>
  <r>
    <s v="FLUJO"/>
    <n v="20600230108"/>
    <s v="DANCAR CONTRATISTAS EIRL"/>
    <s v="202507, 202506"/>
    <x v="9"/>
    <n v="325.82"/>
    <x v="0"/>
  </r>
  <r>
    <s v="FLUJO"/>
    <n v="20602293930"/>
    <s v="LOGISTICA &amp; SERVICIOS GENERALES DE LA CRUZ S.A.C."/>
    <s v="202507"/>
    <x v="9"/>
    <n v="366.28999999999996"/>
    <x v="0"/>
  </r>
  <r>
    <s v="FLUJO"/>
    <n v="20602443885"/>
    <s v="FAHLA CALL SAC"/>
    <s v="202507"/>
    <x v="9"/>
    <n v="148.32"/>
    <x v="0"/>
  </r>
  <r>
    <s v="FLUJO"/>
    <n v="20602782264"/>
    <s v="GRUPO FACVRIL EIRL"/>
    <s v="202507, 202506, 202505, 202504, 202503, 202502"/>
    <x v="9"/>
    <n v="776.92999999999984"/>
    <x v="0"/>
  </r>
  <r>
    <s v="FLUJO"/>
    <n v="20606820501"/>
    <s v="INNOVAGRO BIOSCIENCE SAC"/>
    <s v="202507, 202506"/>
    <x v="9"/>
    <n v="288.23"/>
    <x v="0"/>
  </r>
  <r>
    <s v="FLUJO"/>
    <n v="20607944840"/>
    <s v="ESTUDIO JURIDICO MENENDEZ Y ASOCIADOS SRL"/>
    <s v="202507, 202503, 202502"/>
    <x v="9"/>
    <n v="608.25"/>
    <x v="0"/>
  </r>
  <r>
    <s v="FLUJO"/>
    <n v="20607980251"/>
    <s v="KING DESIGN C Y G SOCIEDAD ANONIMA CERRADA"/>
    <s v="202507, 202506"/>
    <x v="9"/>
    <n v="458.30000000000007"/>
    <x v="0"/>
  </r>
  <r>
    <s v="FLUJO"/>
    <n v="20608060686"/>
    <s v="EVOLUCION PERU TELECOMUNICACIONES S.A.C."/>
    <s v="202507"/>
    <x v="9"/>
    <n v="209.42000000000002"/>
    <x v="0"/>
  </r>
  <r>
    <s v="FLUJO"/>
    <n v="20608727338"/>
    <s v="ACN TRANSPORTES SAC"/>
    <s v="202507, 202506"/>
    <x v="9"/>
    <n v="346.90000000000003"/>
    <x v="0"/>
  </r>
  <r>
    <s v="FLUJO"/>
    <n v="20608844415"/>
    <s v="DISTRIBUIDORA FERREMA S.A.C."/>
    <s v="202507, 202506"/>
    <x v="9"/>
    <n v="793.78"/>
    <x v="0"/>
  </r>
  <r>
    <s v="FLUJO"/>
    <n v="20611853077"/>
    <s v="DENT IMPORTACIONES SAYCA SAC."/>
    <s v="202507"/>
    <x v="9"/>
    <n v="143.02000000000001"/>
    <x v="0"/>
  </r>
  <r>
    <s v="FLUJO"/>
    <n v="20612451410"/>
    <s v="FORTI CONSTRUCTORES PERU S.A.C"/>
    <s v="202507"/>
    <x v="9"/>
    <n v="148.32"/>
    <x v="0"/>
  </r>
  <r>
    <s v="FLUJO"/>
    <n v="10011467852"/>
    <s v="ALFONSO ENRIQUE GARCIA GARCIA"/>
    <s v="202506"/>
    <x v="9"/>
    <n v="149.79"/>
    <x v="0"/>
  </r>
  <r>
    <s v="FLUJO"/>
    <n v="20334314732"/>
    <s v="ABASTECEDORA DE PRODUCTOS Y SERVICIOS EIRL"/>
    <s v="202506, 202505, 202507"/>
    <x v="9"/>
    <n v="393.91999999999996"/>
    <x v="0"/>
  </r>
  <r>
    <s v="FLUJO"/>
    <n v="20533210385"/>
    <s v="JALD INVERSIONES EIRL"/>
    <s v="202506, 202505, 202504, 202503, 202507"/>
    <x v="9"/>
    <n v="1805.68"/>
    <x v="0"/>
  </r>
  <r>
    <s v="FLUJO"/>
    <n v="20603283512"/>
    <s v="elda e hijos consultores peru sac"/>
    <s v="202506, 202507"/>
    <x v="9"/>
    <n v="4196.92"/>
    <x v="0"/>
  </r>
  <r>
    <s v="FLUJO"/>
    <n v="20606309806"/>
    <s v="SEGURABG S.A.C"/>
    <s v="202506"/>
    <x v="9"/>
    <n v="2000.37"/>
    <x v="0"/>
  </r>
  <r>
    <s v="FLUJO"/>
    <n v="20610806873"/>
    <s v="SOLUCIONES D Y Z HOSSO EIRL"/>
    <s v="202506, 202505, 202504, 202503, 202502, 202507"/>
    <x v="9"/>
    <n v="798.24999999999989"/>
    <x v="0"/>
  </r>
  <r>
    <s v="FLUJO"/>
    <n v="20605735585"/>
    <s v="SEGURIDAD Y SERVICIOS CLAVE 2 AREQUIPA EIRL"/>
    <s v="202505, 202507, 202506"/>
    <x v="9"/>
    <n v="500.25"/>
    <x v="0"/>
  </r>
  <r>
    <s v="FLUJO"/>
    <n v="20513790393"/>
    <s v="Export Fashion Peruana SAC"/>
    <s v="202504, 202503, 202502"/>
    <x v="9"/>
    <n v="790.79000000000008"/>
    <x v="0"/>
  </r>
  <r>
    <s v="FLUJO"/>
    <n v="20609530589"/>
    <s v="INVERSIONES TURISTICAS GALLO E.I.R.L"/>
    <s v="202503, 202502"/>
    <x v="9"/>
    <n v="270.71000000000004"/>
    <x v="0"/>
  </r>
  <r>
    <s v="FLUJO"/>
    <n v="20611193891"/>
    <s v="CASA DE REPOSO MI GRAN ABUELO E.I.R.L."/>
    <s v="202503, 202504"/>
    <x v="9"/>
    <n v="268.39999999999998"/>
    <x v="0"/>
  </r>
  <r>
    <s v="FLUJO"/>
    <n v="20509889610"/>
    <s v="INTERANDINA VIAJES Y TURISMO SRL"/>
    <s v="202502"/>
    <x v="9"/>
    <n v="155.06"/>
    <x v="0"/>
  </r>
  <r>
    <s v="PRESUNTA"/>
    <n v="10329385553"/>
    <s v="MARIA ELENA ALFARO RODRIGUEZ"/>
    <s v="202507"/>
    <x v="9"/>
    <n v="172.60000000000002"/>
    <x v="0"/>
  </r>
  <r>
    <s v="PRESUNTA"/>
    <n v="10454288683"/>
    <s v="MENDOZA RODRIGUEZ LUIS PABLO"/>
    <s v="202507, 202506"/>
    <x v="9"/>
    <n v="298.11"/>
    <x v="0"/>
  </r>
  <r>
    <s v="PRESUNTA"/>
    <n v="20481784132"/>
    <s v="SAN RAMON SAC"/>
    <s v="202507"/>
    <x v="9"/>
    <n v="148.32"/>
    <x v="0"/>
  </r>
  <r>
    <s v="PRESUNTA"/>
    <n v="20609228173"/>
    <s v="Escuela de Servicios y GestiÃ³n de Riesgos SAC"/>
    <s v="202507"/>
    <x v="9"/>
    <n v="148.32"/>
    <x v="0"/>
  </r>
  <r>
    <s v="PRESUNTA"/>
    <n v="20611609311"/>
    <s v="TRANSPORTES RUIZ VILLENA E.I.R.L"/>
    <s v="202507"/>
    <x v="9"/>
    <n v="149.41999999999999"/>
    <x v="0"/>
  </r>
  <r>
    <s v="PRESUNTA"/>
    <n v="20613865609"/>
    <s v="AGROLEYKA SRL"/>
    <s v="202507"/>
    <x v="9"/>
    <n v="230.13"/>
    <x v="0"/>
  </r>
  <r>
    <s v="PRESUNTA"/>
    <n v="10071815426"/>
    <s v="ALCAZAR SERNA GUSTAVO GOTARDO"/>
    <s v="202505, 202504, 202503, 202507, 202506"/>
    <x v="9"/>
    <n v="820.56999999999994"/>
    <x v="0"/>
  </r>
  <r>
    <s v="PRESUNTA"/>
    <n v="20609754894"/>
    <s v="BREAD MILLS S.A.C"/>
    <s v="202504, 202505"/>
    <x v="9"/>
    <n v="451.03999999999996"/>
    <x v="0"/>
  </r>
  <r>
    <s v="REAL TOTAL"/>
    <n v="20602710280"/>
    <s v="NORTHWEST SECURITY S.A.C"/>
    <s v="202501"/>
    <x v="9"/>
    <n v="1075.2"/>
    <x v="0"/>
  </r>
  <r>
    <s v="REAL TOTAL"/>
    <n v="20526450851"/>
    <s v="SOLIMAR INDUSTRIA EIRL"/>
    <s v="202208"/>
    <x v="9"/>
    <n v="313.48"/>
    <x v="0"/>
  </r>
  <r>
    <s v="REAL TOTAL"/>
    <n v="20100002206"/>
    <s v="ESTABLECIMIENTOS INCA S.A.C."/>
    <s v="201406, 200512"/>
    <x v="9"/>
    <n v="877.31999999999994"/>
    <x v="0"/>
  </r>
  <r>
    <s v="FLUJO"/>
    <n v="10079521863"/>
    <s v="DE LAMA RISCO MARTHA AVELINA"/>
    <s v="202507"/>
    <x v="10"/>
    <n v="148.32"/>
    <x v="0"/>
  </r>
  <r>
    <s v="FLUJO"/>
    <n v="10266846695"/>
    <s v="ALEGRIA AGUERO LUZMILA DEL CARMEN"/>
    <s v="202507"/>
    <x v="10"/>
    <n v="211.72"/>
    <x v="0"/>
  </r>
  <r>
    <s v="FLUJO"/>
    <n v="10414641488"/>
    <s v="JOSE LUIS VILLAJUAN TOMAS"/>
    <s v="202507"/>
    <x v="10"/>
    <n v="148.32"/>
    <x v="0"/>
  </r>
  <r>
    <s v="FLUJO"/>
    <n v="10730370259"/>
    <s v="ROJAS ORDOÃ‘EZ FIORELLA NICOLE"/>
    <s v="202507, 202506"/>
    <x v="10"/>
    <n v="130.66000000000003"/>
    <x v="0"/>
  </r>
  <r>
    <s v="FLUJO"/>
    <n v="10766626934"/>
    <s v="AZABACHE NORIEGA JORGE LUIS"/>
    <s v="202507, 202506"/>
    <x v="10"/>
    <n v="261.34000000000003"/>
    <x v="0"/>
  </r>
  <r>
    <s v="FLUJO"/>
    <n v="20481923949"/>
    <s v="Huaca Larga SAC"/>
    <s v="202507"/>
    <x v="10"/>
    <n v="148.32"/>
    <x v="0"/>
  </r>
  <r>
    <s v="FLUJO"/>
    <n v="20530945201"/>
    <s v="PERUVIAN FOOD COMPANY SAC"/>
    <s v="202507"/>
    <x v="10"/>
    <n v="148.32"/>
    <x v="0"/>
  </r>
  <r>
    <s v="FLUJO"/>
    <n v="20559954943"/>
    <s v="RIZAM CONTRATISTAS Y SERVICIOS GENERALES SAC"/>
    <s v="202507"/>
    <x v="10"/>
    <n v="148.32"/>
    <x v="0"/>
  </r>
  <r>
    <s v="FLUJO"/>
    <n v="20602445047"/>
    <s v="Ã‘AÃ‘OCUY SAC"/>
    <s v="202507"/>
    <x v="10"/>
    <n v="118.13"/>
    <x v="0"/>
  </r>
  <r>
    <s v="FLUJO"/>
    <n v="20602821090"/>
    <s v="GRUPO RV INGENIEROS ASOCIADOS S.R.L."/>
    <s v="202507, 202506"/>
    <x v="10"/>
    <n v="261.34000000000003"/>
    <x v="0"/>
  </r>
  <r>
    <s v="FLUJO"/>
    <n v="20603252137"/>
    <s v="FRIO KLEN E.I.R.L"/>
    <s v="202507, 202506"/>
    <x v="10"/>
    <n v="287.45000000000005"/>
    <x v="0"/>
  </r>
  <r>
    <s v="FLUJO"/>
    <n v="20604539596"/>
    <s v="LA FRUTTA S.R.L."/>
    <s v="202507, 202506, 202505, 202504, 202503"/>
    <x v="10"/>
    <n v="728.3900000000001"/>
    <x v="0"/>
  </r>
  <r>
    <s v="FLUJO"/>
    <n v="20605158693"/>
    <s v="MELA MENICA EIRL"/>
    <s v="202507, 202504, 202503, 202502, 202506, 202505"/>
    <x v="10"/>
    <n v="1418.97"/>
    <x v="0"/>
  </r>
  <r>
    <s v="FLUJO"/>
    <n v="20606007214"/>
    <s v="FABRICA DE COLCHONES Y PRODUCTOS RELACIONADOS TORRES y TORRE"/>
    <s v="202507, 202506, 202505, 202504, 202503"/>
    <x v="10"/>
    <n v="755.37"/>
    <x v="0"/>
  </r>
  <r>
    <s v="FLUJO"/>
    <n v="20607434183"/>
    <s v="CORPORACION Y INVERSIONES ELAMERICANO  S.A.C."/>
    <s v="202507, 202506, 202505"/>
    <x v="10"/>
    <n v="393.80000000000007"/>
    <x v="0"/>
  </r>
  <r>
    <s v="FLUJO"/>
    <n v="20610185640"/>
    <s v="AGRO EXPORTACION MIKAL SOCIEDAD ANONIMA CERRADA"/>
    <s v="202507, 202506, 202505"/>
    <x v="10"/>
    <n v="393.80000000000007"/>
    <x v="0"/>
  </r>
  <r>
    <s v="FLUJO"/>
    <n v="20611146125"/>
    <s v="NEGOCIOS ALIMENTICIOS REYES S.R.L."/>
    <s v="202507, 202506"/>
    <x v="10"/>
    <n v="647.54"/>
    <x v="0"/>
  </r>
  <r>
    <s v="FLUJO"/>
    <n v="20612400017"/>
    <s v="TEXTILES JMK S.A.C."/>
    <s v="202507, 202506"/>
    <x v="10"/>
    <n v="578.16"/>
    <x v="0"/>
  </r>
  <r>
    <s v="FLUJO"/>
    <n v="20603577788"/>
    <s v="KCR SOCIO EMPRESARIAL S.A.C."/>
    <s v="202506, 202507"/>
    <x v="10"/>
    <n v="242.87"/>
    <x v="0"/>
  </r>
  <r>
    <s v="FLUJO"/>
    <n v="20603834462"/>
    <s v="MOL EL PIRATA DE CHICLAYO FUTBOL CLUB"/>
    <s v="202506, 202507"/>
    <x v="10"/>
    <n v="780.72"/>
    <x v="0"/>
  </r>
  <r>
    <s v="FLUJO"/>
    <n v="20611557541"/>
    <s v="ASESORES VEYSA SAC"/>
    <s v="202505"/>
    <x v="10"/>
    <n v="132.46"/>
    <x v="0"/>
  </r>
  <r>
    <s v="FLUJO"/>
    <n v="10408830228"/>
    <s v="VARGAS ESTRADA JOHJAN"/>
    <s v="202504, 202503"/>
    <x v="10"/>
    <n v="134.19999999999999"/>
    <x v="0"/>
  </r>
  <r>
    <s v="FLUJO"/>
    <n v="20601537118"/>
    <s v="JJ CORREA E.I.R.L."/>
    <s v="202504"/>
    <x v="10"/>
    <n v="153.67000000000002"/>
    <x v="0"/>
  </r>
  <r>
    <s v="PRESUNTA"/>
    <n v="20510332483"/>
    <s v="IMAD PERU SAC"/>
    <s v="202507"/>
    <x v="10"/>
    <n v="1939.1200000000001"/>
    <x v="0"/>
  </r>
  <r>
    <s v="PRESUNTA"/>
    <n v="20516138051"/>
    <s v="Integradores de Soluciones Linux SAC"/>
    <s v="202507"/>
    <x v="10"/>
    <n v="147.99"/>
    <x v="0"/>
  </r>
  <r>
    <s v="PRESUNTA"/>
    <n v="20604725608"/>
    <s v="SERVICIOS MIRSA E.I.R.L"/>
    <s v="202507, 202506, 202505, 202504, 202503, 202502"/>
    <x v="10"/>
    <n v="798.26"/>
    <x v="0"/>
  </r>
  <r>
    <s v="PRESUNTA"/>
    <n v="20608353233"/>
    <s v="EMPRESA DE SEGURIDAD VIP PERU SRL"/>
    <s v="202507, 202506"/>
    <x v="10"/>
    <n v="298.11"/>
    <x v="0"/>
  </r>
  <r>
    <s v="REAL TOTAL"/>
    <n v="20610483462"/>
    <s v="LUCIANO SS E.I.R.L"/>
    <s v="202404"/>
    <x v="10"/>
    <n v="137.80000000000001"/>
    <x v="0"/>
  </r>
  <r>
    <s v="REAL TOTAL"/>
    <n v="20491071533"/>
    <s v="laboratorio  diesel G  A scrltda"/>
    <s v="202301"/>
    <x v="10"/>
    <n v="247.32"/>
    <x v="0"/>
  </r>
  <r>
    <s v="REAL TOTAL"/>
    <n v="20565209290"/>
    <s v="FRANSU TRADING SAC"/>
    <s v="201907, 201906"/>
    <x v="10"/>
    <n v="509.23"/>
    <x v="0"/>
  </r>
  <r>
    <s v="REAL TOTAL"/>
    <n v="20481629161"/>
    <s v="YOVIC S.A.C."/>
    <s v="201804, 201803"/>
    <x v="10"/>
    <n v="1914.1100000000001"/>
    <x v="0"/>
  </r>
  <r>
    <s v="REAL TOTAL"/>
    <n v="20101333940"/>
    <s v="OSTIM S.A."/>
    <s v="200812"/>
    <x v="10"/>
    <n v="41.7"/>
    <x v="0"/>
  </r>
  <r>
    <s v="REAL TOTAL"/>
    <n v="20513540362"/>
    <s v="PERUVIAN SUN SAC"/>
    <s v="200612"/>
    <x v="10"/>
    <n v="519.55999999999995"/>
    <x v="0"/>
  </r>
  <r>
    <s v="FLUJO"/>
    <n v="20518304233"/>
    <s v="POTENZA GAS SAC"/>
    <s v="202507, 202506, 202505"/>
    <x v="11"/>
    <n v="394.06000000000006"/>
    <x v="0"/>
  </r>
  <r>
    <s v="FLUJO"/>
    <n v="20554520678"/>
    <s v="REDES MULTIMEDIA PERU SAC"/>
    <s v="202507, 202506, 202505, 202504"/>
    <x v="11"/>
    <n v="693.9"/>
    <x v="0"/>
  </r>
  <r>
    <s v="FLUJO"/>
    <n v="20601480345"/>
    <s v="PROGRAMA DE CAPACITACION Y FORMACION DOCENTE E.I.R.L."/>
    <s v="202507"/>
    <x v="11"/>
    <n v="389.58"/>
    <x v="0"/>
  </r>
  <r>
    <s v="FLUJO"/>
    <n v="20602146902"/>
    <s v="SAN IGNACIO DE NUEVA ESPERANZA SAC"/>
    <s v="202507, 202506, 202505"/>
    <x v="11"/>
    <n v="394.06000000000006"/>
    <x v="0"/>
  </r>
  <r>
    <s v="FLUJO"/>
    <n v="20603213301"/>
    <s v="SOLUCIONES EN TRANSPORTES MELIS SAC"/>
    <s v="202507"/>
    <x v="11"/>
    <n v="148.47"/>
    <x v="0"/>
  </r>
  <r>
    <s v="FLUJO"/>
    <n v="20604758301"/>
    <s v="EDITORIAL MUCHIK S.A.C."/>
    <s v="202507, 202506"/>
    <x v="11"/>
    <n v="289.24"/>
    <x v="0"/>
  </r>
  <r>
    <s v="FLUJO"/>
    <n v="20609136279"/>
    <s v="AGRO SOLUTA S.A.C."/>
    <s v="202507"/>
    <x v="11"/>
    <n v="148.47"/>
    <x v="0"/>
  </r>
  <r>
    <s v="FLUJO"/>
    <n v="20610209832"/>
    <s v="SOPLIN E.I.R.L"/>
    <s v="202507, 202506"/>
    <x v="11"/>
    <n v="372.36"/>
    <x v="0"/>
  </r>
  <r>
    <s v="FLUJO"/>
    <n v="20611285796"/>
    <s v="CORPORACION ELMAZ S.A.C."/>
    <s v="202507, 202506"/>
    <x v="11"/>
    <n v="1062.0300000000002"/>
    <x v="0"/>
  </r>
  <r>
    <s v="FLUJO"/>
    <n v="20612751367"/>
    <s v="CORPORACION Y SERVICIOS MULTIPLES FLOR FR Y A SAC"/>
    <s v="202507, 202506"/>
    <x v="11"/>
    <n v="270.39"/>
    <x v="0"/>
  </r>
  <r>
    <s v="FLUJO"/>
    <n v="20614114399"/>
    <s v="MAQUINARIA KOMIR SAC"/>
    <s v="202507, 202506, 202505"/>
    <x v="11"/>
    <n v="394.06000000000006"/>
    <x v="0"/>
  </r>
  <r>
    <s v="FLUJO"/>
    <n v="20602059236"/>
    <s v="Celeste Mar S.A.C."/>
    <s v="202506, 202505, 202504, 202507"/>
    <x v="11"/>
    <n v="527.66999999999996"/>
    <x v="0"/>
  </r>
  <r>
    <s v="FLUJO"/>
    <n v="20602210082"/>
    <s v="TALENT PEOPLE OUTSOURCING S.A.C"/>
    <s v="202506"/>
    <x v="11"/>
    <n v="407.06"/>
    <x v="0"/>
  </r>
  <r>
    <s v="FLUJO"/>
    <n v="20515072587"/>
    <s v="CORPORACION ARCOS S.A.C."/>
    <s v="202505, 202504"/>
    <x v="11"/>
    <n v="342.83000000000004"/>
    <x v="0"/>
  </r>
  <r>
    <s v="FLUJO"/>
    <n v="20607151688"/>
    <s v="METIS DREG S.A.C."/>
    <s v="202505, 202504, 202503"/>
    <x v="11"/>
    <n v="536.03"/>
    <x v="0"/>
  </r>
  <r>
    <s v="FLUJO"/>
    <n v="20611118750"/>
    <s v="AGRONEGOCIOS SUSY EIRL"/>
    <s v="202505, 202504"/>
    <x v="11"/>
    <n v="266.22000000000003"/>
    <x v="0"/>
  </r>
  <r>
    <s v="FLUJO"/>
    <n v="20523759087"/>
    <s v="PACHAMAMA TRADITIONAL BANQUETS SAC"/>
    <s v="202504, 202507, 202506, 202505"/>
    <x v="11"/>
    <n v="2516.2799999999997"/>
    <x v="0"/>
  </r>
  <r>
    <s v="FLUJO"/>
    <n v="20612460575"/>
    <s v="SERVICIOS BURGA EIRL"/>
    <s v="202503"/>
    <x v="11"/>
    <n v="63"/>
    <x v="0"/>
  </r>
  <r>
    <s v="PRESUNTA"/>
    <n v="20516024551"/>
    <s v="MEDICAL MED SAC"/>
    <s v="202507"/>
    <x v="11"/>
    <n v="253.39000000000001"/>
    <x v="0"/>
  </r>
  <r>
    <s v="PRESUNTA"/>
    <n v="20603610769"/>
    <s v="ACABADOS EXCLUSIVOS LUZ S.A.C."/>
    <s v="202507"/>
    <x v="11"/>
    <n v="260.3"/>
    <x v="0"/>
  </r>
  <r>
    <s v="PRESUNTA"/>
    <n v="20498260366"/>
    <s v="MONTAJE, INGENIERIA Y MANTENIMIENTO SCRL"/>
    <s v="202504, 202503, 202502, 202501, 202412, 202411, 202410, 202409, 202408, 202407, 202406, 202405"/>
    <x v="11"/>
    <n v="27302.470000000005"/>
    <x v="0"/>
  </r>
  <r>
    <s v="REAL TOTAL"/>
    <n v="20217254125"/>
    <s v="MUNICIPALIDAD DISTRITAL DE SAN ANTONIO"/>
    <s v="202410"/>
    <x v="11"/>
    <n v="2970.65"/>
    <x v="0"/>
  </r>
  <r>
    <s v="REAL TOTAL"/>
    <n v="20555177110"/>
    <s v="TRANSPORTES Y SERVICIOS GERALD SAC"/>
    <s v="202405"/>
    <x v="11"/>
    <n v="545.03"/>
    <x v="0"/>
  </r>
  <r>
    <s v="FLUJO"/>
    <n v="10435515172"/>
    <s v="JUANA IRIS GUTIERREZ VEGA"/>
    <s v="202507, 202506, 202505"/>
    <x v="12"/>
    <n v="137.1"/>
    <x v="0"/>
  </r>
  <r>
    <s v="FLUJO"/>
    <n v="20532083126"/>
    <s v="SERVICIOS GENERALES DORBEC E.I.R.L"/>
    <s v="202507, 202506, 202505"/>
    <x v="12"/>
    <n v="2539.88"/>
    <x v="0"/>
  </r>
  <r>
    <s v="FLUJO"/>
    <n v="20539765061"/>
    <s v="POLIFLEX GROUP SAC"/>
    <s v="202507"/>
    <x v="12"/>
    <n v="288.10000000000002"/>
    <x v="0"/>
  </r>
  <r>
    <s v="FLUJO"/>
    <n v="20566572665"/>
    <s v="DISTRIBUIDORA HUARIPUMA SAC"/>
    <s v="202507"/>
    <x v="12"/>
    <n v="293.75"/>
    <x v="0"/>
  </r>
  <r>
    <s v="FLUJO"/>
    <n v="20610742174"/>
    <s v="INVERSIONES TOMAS GUTARRA SAC"/>
    <s v="202507, 202506, 202505, 202504"/>
    <x v="12"/>
    <n v="747.69"/>
    <x v="0"/>
  </r>
  <r>
    <s v="FLUJO"/>
    <n v="20603634684"/>
    <s v="CONFECCIONES TANTA SAC"/>
    <s v="202506"/>
    <x v="12"/>
    <n v="131.44"/>
    <x v="0"/>
  </r>
  <r>
    <s v="FLUJO"/>
    <n v="10725778380"/>
    <s v="CALDERON NAVEZ EDITH KATHERIN"/>
    <s v="202505"/>
    <x v="12"/>
    <n v="70.400000000000006"/>
    <x v="0"/>
  </r>
  <r>
    <s v="FLUJO"/>
    <n v="20606031034"/>
    <s v="GRUPO EDUCATIVO CULTURAL JESA S.R.L."/>
    <s v="202505"/>
    <x v="12"/>
    <n v="132.6"/>
    <x v="0"/>
  </r>
  <r>
    <s v="FLUJO"/>
    <n v="20518001176"/>
    <s v="M Y 3A CORPORACION ELECTRO INDUSTRIAL EIRL"/>
    <s v="202504, 202507, 202506, 202505"/>
    <x v="12"/>
    <n v="677.73"/>
    <x v="0"/>
  </r>
  <r>
    <s v="FLUJO"/>
    <n v="20611143509"/>
    <s v="COMERCIALIZACION DE FIERROS Y METALES SAC"/>
    <s v="202503, 202502, 202507, 202506, 202505, 202504"/>
    <x v="12"/>
    <n v="800.68"/>
    <x v="0"/>
  </r>
  <r>
    <s v="FLUJO"/>
    <n v="20601480655"/>
    <s v="ADHESIVOS PERUVIAN YMAN SAC"/>
    <s v="202501, 202504"/>
    <x v="12"/>
    <n v="2583.54"/>
    <x v="0"/>
  </r>
  <r>
    <s v="PRESUNTA"/>
    <n v="20600491891"/>
    <s v="THE WINE COMPANY S.A.C."/>
    <s v="202507"/>
    <x v="12"/>
    <n v="1407.6"/>
    <x v="0"/>
  </r>
  <r>
    <s v="REAL TOTAL"/>
    <n v="20440355707"/>
    <s v="J  J REPRESENTACIONES Y TURISTISTICAS SRL"/>
    <s v="202008"/>
    <x v="12"/>
    <n v="35.93"/>
    <x v="0"/>
  </r>
  <r>
    <s v="PRESUNTA"/>
    <n v="20612958123"/>
    <s v="RODRIGO GALLO OROPEZA TRAUMA EIRL"/>
    <s v="202507, 202506"/>
    <x v="13"/>
    <n v="261.72000000000003"/>
    <x v="0"/>
  </r>
  <r>
    <s v="FLUJO"/>
    <n v="10097572289"/>
    <s v="ARREDONDO SEGOVIA ROCIO"/>
    <s v="202507"/>
    <x v="14"/>
    <n v="260.55"/>
    <x v="0"/>
  </r>
  <r>
    <s v="FLUJO"/>
    <n v="20303795431"/>
    <s v="ERSI IMPORTACIONES SRL."/>
    <s v="202507, 202506"/>
    <x v="14"/>
    <n v="277.93000000000006"/>
    <x v="0"/>
  </r>
  <r>
    <s v="FLUJO"/>
    <n v="20479541184"/>
    <s v="GRANDA CONTRATISTAS SRL"/>
    <s v="202507"/>
    <x v="14"/>
    <n v="263.03000000000003"/>
    <x v="0"/>
  </r>
  <r>
    <s v="FLUJO"/>
    <n v="20507828087"/>
    <s v="J &amp; M  CONSTRUCTORES S.R.L."/>
    <s v="202507, 202506, 202505, 202504"/>
    <x v="14"/>
    <n v="346.52"/>
    <x v="0"/>
  </r>
  <r>
    <s v="FLUJO"/>
    <n v="20544254651"/>
    <s v="MECC CONSULTORES Y CONTRATISTAS GENERALES SAC"/>
    <s v="202507, 202506"/>
    <x v="14"/>
    <n v="462.62"/>
    <x v="0"/>
  </r>
  <r>
    <s v="FLUJO"/>
    <n v="20602084087"/>
    <s v="CONSTRUCCIONES Y ACABADOS FUENTES E.I.R.L."/>
    <s v="202507"/>
    <x v="14"/>
    <n v="148.61000000000001"/>
    <x v="0"/>
  </r>
  <r>
    <s v="FLUJO"/>
    <n v="20610528334"/>
    <s v="HHM MAQUINARIAS Y SERVICIOS E.I.R.L."/>
    <s v="202507, 202506, 202505"/>
    <x v="14"/>
    <n v="872.37"/>
    <x v="0"/>
  </r>
  <r>
    <s v="FLUJO"/>
    <n v="20610764411"/>
    <s v="AKM LOGISTIC S.A.C."/>
    <s v="202507, 202506, 202505, 202504, 202503"/>
    <x v="14"/>
    <n v="1290.7199999999998"/>
    <x v="0"/>
  </r>
  <r>
    <s v="FLUJO"/>
    <n v="20611598867"/>
    <s v="UNICOS COMPANY S.R.L."/>
    <s v="202507, 202506, 202505"/>
    <x v="14"/>
    <n v="677.26"/>
    <x v="0"/>
  </r>
  <r>
    <s v="FLUJO"/>
    <n v="20601364361"/>
    <s v="HOGA  MODA EIRL"/>
    <s v="202506"/>
    <x v="14"/>
    <n v="131.44"/>
    <x v="0"/>
  </r>
  <r>
    <s v="FLUJO"/>
    <n v="20612132373"/>
    <s v="CONSORCIO LUBARU S.A.C."/>
    <s v="202505, 202504, 202507, 202506"/>
    <x v="14"/>
    <n v="701.81000000000006"/>
    <x v="0"/>
  </r>
  <r>
    <s v="FLUJO"/>
    <n v="20454096194"/>
    <s v="FIBRAS DEL SUR SAC"/>
    <s v="202504, 202503, 202502"/>
    <x v="14"/>
    <n v="537.4"/>
    <x v="0"/>
  </r>
  <r>
    <s v="PRESUNTA"/>
    <n v="20409418865"/>
    <s v="Institucion Educativa Privada Juan Pablo II SRL Zarumilla"/>
    <s v="202507"/>
    <x v="14"/>
    <n v="130.28"/>
    <x v="0"/>
  </r>
  <r>
    <s v="REAL TOTAL"/>
    <n v="20138529445"/>
    <s v="ASOC DE PROPIETARIOS DEL MCO MODELO PARTICULAR SAN JUAN"/>
    <s v="200701"/>
    <x v="14"/>
    <n v="65.099999999999994"/>
    <x v="0"/>
  </r>
  <r>
    <s v="FLUJO"/>
    <n v="10102239003"/>
    <s v="BLANCAS LAVADO EVELYN"/>
    <s v="202507, 202506"/>
    <x v="15"/>
    <n v="162.12"/>
    <x v="0"/>
  </r>
  <r>
    <s v="FLUJO"/>
    <n v="10420382001"/>
    <s v="CANO ARBIETO MARIO"/>
    <s v="202507, 202506, 202505, 202504, 202503"/>
    <x v="15"/>
    <n v="829.02"/>
    <x v="0"/>
  </r>
  <r>
    <s v="FLUJO"/>
    <n v="20432846491"/>
    <s v="ESBARI SAC"/>
    <s v="202507"/>
    <x v="15"/>
    <n v="715.46999999999991"/>
    <x v="0"/>
  </r>
  <r>
    <s v="FLUJO"/>
    <n v="20525925693"/>
    <s v="INVERSIONES ROSANT SAC"/>
    <s v="202507, 202506"/>
    <x v="15"/>
    <n v="261.72000000000003"/>
    <x v="0"/>
  </r>
  <r>
    <s v="FLUJO"/>
    <n v="20549009965"/>
    <s v="INVERSIONES SANTIAGO EIRL"/>
    <s v="202507"/>
    <x v="15"/>
    <n v="347.26"/>
    <x v="0"/>
  </r>
  <r>
    <s v="FLUJO"/>
    <n v="20552011377"/>
    <s v="ASOCIACION DE DIFUSION CULTURAL UNIDA  ADCUNI"/>
    <s v="202507"/>
    <x v="15"/>
    <n v="272.84000000000003"/>
    <x v="0"/>
  </r>
  <r>
    <s v="FLUJO"/>
    <n v="20557467964"/>
    <s v="CLASS PARKING SAC"/>
    <s v="202507"/>
    <x v="15"/>
    <n v="148.61000000000001"/>
    <x v="0"/>
  </r>
  <r>
    <s v="FLUJO"/>
    <n v="20600114370"/>
    <s v="PAOLA SIZA PERU SAC"/>
    <s v="202507"/>
    <x v="15"/>
    <n v="291.92"/>
    <x v="0"/>
  </r>
  <r>
    <s v="FLUJO"/>
    <n v="20604060479"/>
    <s v="CAFÃ‰ SANGUCHON FELIZ E.I.R.L."/>
    <s v="202507"/>
    <x v="15"/>
    <n v="130.28"/>
    <x v="0"/>
  </r>
  <r>
    <s v="FLUJO"/>
    <n v="20605875841"/>
    <s v="HAPPY MUNDO KIDS E.I.R.L."/>
    <s v="202507, 202506"/>
    <x v="15"/>
    <n v="298.69"/>
    <x v="0"/>
  </r>
  <r>
    <s v="FLUJO"/>
    <n v="20606642955"/>
    <s v="CORPORACIÃ“N MINERA ACME S.A.C."/>
    <s v="202507, 202506"/>
    <x v="15"/>
    <n v="523.42000000000007"/>
    <x v="0"/>
  </r>
  <r>
    <s v="FLUJO"/>
    <n v="20610237844"/>
    <s v="PPPERU SERVICIOS GENERALES S.A.C."/>
    <s v="202507"/>
    <x v="15"/>
    <n v="243.31"/>
    <x v="0"/>
  </r>
  <r>
    <s v="FLUJO"/>
    <n v="10178800979"/>
    <s v="ANGELES RODRIGUEZ EDWIN SANTIAGO"/>
    <s v="202506, 202505"/>
    <x v="15"/>
    <n v="152.06"/>
    <x v="0"/>
  </r>
  <r>
    <s v="FLUJO"/>
    <n v="20553238103"/>
    <s v="IMDIMEX E.I.R.L."/>
    <s v="202506"/>
    <x v="15"/>
    <n v="262.87"/>
    <x v="0"/>
  </r>
  <r>
    <s v="FLUJO"/>
    <n v="20572123228"/>
    <s v="JAS CONSULTORIA Y SERVICIOS GENERALES EIRL"/>
    <s v="202505"/>
    <x v="15"/>
    <n v="2093.7399999999998"/>
    <x v="0"/>
  </r>
  <r>
    <s v="FLUJO"/>
    <n v="20602495168"/>
    <s v="NEGOCIOS Y SERVICIOS ANCAR EIRL"/>
    <s v="202503"/>
    <x v="15"/>
    <n v="244.98000000000002"/>
    <x v="0"/>
  </r>
  <r>
    <s v="PRESUNTA"/>
    <n v="20461111174"/>
    <s v="CIECLANCE SAC"/>
    <s v="202507"/>
    <x v="15"/>
    <n v="40.700000000000003"/>
    <x v="0"/>
  </r>
  <r>
    <s v="PRESUNTA"/>
    <n v="20505805713"/>
    <s v="EL HUERTO COMERCIAL EIRL"/>
    <s v="202507, 202506"/>
    <x v="15"/>
    <n v="365.94"/>
    <x v="0"/>
  </r>
  <r>
    <s v="PRESUNTA"/>
    <n v="20607653217"/>
    <s v="INVERSIONES Y REPRESENTACIONES LATINOAMERICA S.A.C."/>
    <s v="202507, 202506, 202505"/>
    <x v="15"/>
    <n v="844.38"/>
    <x v="0"/>
  </r>
  <r>
    <s v="PRESUNTA"/>
    <n v="20604339953"/>
    <s v="HABITAT OASIS S.A.C."/>
    <s v="202410, 202412, 202411"/>
    <x v="15"/>
    <n v="902.22"/>
    <x v="0"/>
  </r>
  <r>
    <s v="REAL TOTAL"/>
    <n v="20474001122"/>
    <s v="AVINEY CARGO SAC"/>
    <s v="201508, 201507"/>
    <x v="15"/>
    <n v="1744.73"/>
    <x v="0"/>
  </r>
  <r>
    <s v="REAL TOTAL"/>
    <n v="20327004973"/>
    <s v="macro service srl"/>
    <s v="200812"/>
    <x v="15"/>
    <n v="42.07"/>
    <x v="0"/>
  </r>
  <r>
    <s v="REAL TOTAL"/>
    <n v="20349488958"/>
    <s v="PERU TECHNOLOGY S.A.C"/>
    <s v="199809"/>
    <x v="15"/>
    <n v="608.04"/>
    <x v="0"/>
  </r>
  <r>
    <s v="FLUJO"/>
    <n v="10046347728"/>
    <s v="PAREDES VILCA VICTORIA DAMIANA"/>
    <s v="202507"/>
    <x v="16"/>
    <n v="263.19"/>
    <x v="0"/>
  </r>
  <r>
    <s v="FLUJO"/>
    <n v="10305645945"/>
    <s v="Huanaco Flores Gregorio Luciano"/>
    <s v="202507"/>
    <x v="16"/>
    <n v="148.61000000000001"/>
    <x v="0"/>
  </r>
  <r>
    <s v="FLUJO"/>
    <n v="20493824563"/>
    <s v="MyL DISTRIBUIDORA EIRL"/>
    <s v="202507, 202506"/>
    <x v="16"/>
    <n v="523.67000000000007"/>
    <x v="0"/>
  </r>
  <r>
    <s v="FLUJO"/>
    <n v="20498132449"/>
    <s v="ESTABLO LOS MEDANOS EIRL"/>
    <s v="202507, 202506, 202505, 202504, 202503, 202502, 202501"/>
    <x v="16"/>
    <n v="937.0100000000001"/>
    <x v="0"/>
  </r>
  <r>
    <s v="FLUJO"/>
    <n v="20559979695"/>
    <s v="A Y P ABOGADOS Y CONSULTORES EIRL"/>
    <s v="202507, 202506, 202505, 202502"/>
    <x v="16"/>
    <n v="657.56999999999994"/>
    <x v="0"/>
  </r>
  <r>
    <s v="FLUJO"/>
    <n v="20601474973"/>
    <s v="CALLE LOS CASTAÃ‘OS NUMERO 432-440-446 URBANIZACION COUNTRY"/>
    <s v="202507"/>
    <x v="16"/>
    <n v="182.9"/>
    <x v="0"/>
  </r>
  <r>
    <s v="FLUJO"/>
    <n v="20603215771"/>
    <s v="EXUS SAC"/>
    <s v="202507, 202506, 202505"/>
    <x v="16"/>
    <n v="530.13"/>
    <x v="0"/>
  </r>
  <r>
    <s v="FLUJO"/>
    <n v="20605412450"/>
    <s v="CHIFA POLLERIA BUFETT EXPRESS E.I.R.L."/>
    <s v="202507, 202506, 202505, 202504, 202503, 202502"/>
    <x v="16"/>
    <n v="732.8"/>
    <x v="0"/>
  </r>
  <r>
    <s v="FLUJO"/>
    <n v="20610838147"/>
    <s v="SERVICIOS GENERALES DEL PERU A Y B S.A.C."/>
    <s v="202507"/>
    <x v="16"/>
    <n v="130.28"/>
    <x v="0"/>
  </r>
  <r>
    <s v="FLUJO"/>
    <n v="20611461021"/>
    <s v="JIREH SOLUCIONES LOGISTICAS INTEGRALES S.A.C."/>
    <s v="202507, 202506, 202505"/>
    <x v="16"/>
    <n v="698.34"/>
    <x v="0"/>
  </r>
  <r>
    <s v="FLUJO"/>
    <n v="20614064332"/>
    <s v="AGORA EDUCORP S.A.C. BIC"/>
    <s v="202507, 202506, 202505"/>
    <x v="16"/>
    <n v="838.0200000000001"/>
    <x v="0"/>
  </r>
  <r>
    <s v="FLUJO"/>
    <n v="20602500021"/>
    <s v="Inversiones Petroleras del Oriente Peruano S.A.C."/>
    <s v="202506"/>
    <x v="16"/>
    <n v="187.79999999999998"/>
    <x v="0"/>
  </r>
  <r>
    <s v="FLUJO"/>
    <n v="20604712654"/>
    <s v="ELECTRO FERIA EIRL"/>
    <s v="202506, 202505, 202504"/>
    <x v="16"/>
    <n v="704.71"/>
    <x v="0"/>
  </r>
  <r>
    <s v="FLUJO"/>
    <n v="20409498958"/>
    <s v="COMERCIAL MODA KISS EIRL"/>
    <s v="202505"/>
    <x v="16"/>
    <n v="151.4"/>
    <x v="0"/>
  </r>
  <r>
    <s v="FLUJO"/>
    <n v="20504508723"/>
    <s v="EVENTIVA SAC"/>
    <s v="202504"/>
    <x v="16"/>
    <n v="338.2"/>
    <x v="0"/>
  </r>
  <r>
    <s v="FLUJO"/>
    <n v="20524413826"/>
    <s v="inversiones luxemsac sac"/>
    <s v="202412, 202411, 202410, 202409, 202408"/>
    <x v="16"/>
    <n v="320.76000000000005"/>
    <x v="0"/>
  </r>
  <r>
    <s v="FLUJO"/>
    <n v="20612677639"/>
    <s v="EL REY CHICKEN GRILL S.A.C."/>
    <s v="202412"/>
    <x v="16"/>
    <n v="129.29"/>
    <x v="0"/>
  </r>
  <r>
    <s v="PRESUNTA"/>
    <n v="20571604974"/>
    <s v="GANADERIA Y TRANSPORTE EL BUEN PASTOR SAC"/>
    <s v="202505, 202506"/>
    <x v="16"/>
    <n v="251.01"/>
    <x v="0"/>
  </r>
  <r>
    <s v="PRESUNTA"/>
    <n v="20604720215"/>
    <s v="CENTRO COMERCIAL ECO PLAZA SAC"/>
    <s v="202407"/>
    <x v="16"/>
    <n v="1410.04"/>
    <x v="0"/>
  </r>
  <r>
    <s v="REAL TOTAL"/>
    <n v="20609932776"/>
    <s v="PM FRUITS S.A.C."/>
    <s v="202412, 202411"/>
    <x v="16"/>
    <n v="3505.89"/>
    <x v="0"/>
  </r>
  <r>
    <s v="REAL TOTAL"/>
    <n v="20601421586"/>
    <s v="CONSTRUCTORA E INGENIERIA Y EJECUTORES GENERALES C &amp; D S.A.C"/>
    <s v="202312, 202311"/>
    <x v="16"/>
    <n v="523.53"/>
    <x v="0"/>
  </r>
  <r>
    <s v="FLUJO"/>
    <n v="10072414590"/>
    <s v="MERZTHAL COLLAZOS LUIS MIGUEL"/>
    <s v="202507"/>
    <x v="17"/>
    <n v="148.61000000000001"/>
    <x v="0"/>
  </r>
  <r>
    <s v="FLUJO"/>
    <n v="10723532111"/>
    <s v="PAMELA KATHERINE URSULA LAZARTE REY"/>
    <s v="202507"/>
    <x v="17"/>
    <n v="148.61000000000001"/>
    <x v="0"/>
  </r>
  <r>
    <s v="FLUJO"/>
    <n v="10736127364"/>
    <s v="BRAVO AMPUERO WILSON JAVIER"/>
    <s v="202507, 202506, 202505"/>
    <x v="17"/>
    <n v="942.77"/>
    <x v="0"/>
  </r>
  <r>
    <s v="FLUJO"/>
    <n v="20480547901"/>
    <s v="COLONIA HERRERA &amp; ASOCIADOS S.A.C."/>
    <s v="202507"/>
    <x v="17"/>
    <n v="148.61000000000001"/>
    <x v="0"/>
  </r>
  <r>
    <s v="FLUJO"/>
    <n v="20487476634"/>
    <s v="CONSORCIO EDUCATIVO MARIELS  S.R.L."/>
    <s v="202507, 202506"/>
    <x v="17"/>
    <n v="261.84000000000003"/>
    <x v="0"/>
  </r>
  <r>
    <s v="FLUJO"/>
    <n v="20548615241"/>
    <s v="TRANSPORTE LINZOR SAC"/>
    <s v="202507, 202506"/>
    <x v="17"/>
    <n v="270.57"/>
    <x v="0"/>
  </r>
  <r>
    <s v="FLUJO"/>
    <n v="20549591176"/>
    <s v="SOLUCIONES MEDICAS MACI EIRL"/>
    <s v="202507, 202506"/>
    <x v="17"/>
    <n v="715.44"/>
    <x v="0"/>
  </r>
  <r>
    <s v="FLUJO"/>
    <n v="20550545170"/>
    <s v="TECNOMIN PERU S.A.C."/>
    <s v="202507"/>
    <x v="17"/>
    <n v="263.03000000000003"/>
    <x v="0"/>
  </r>
  <r>
    <s v="FLUJO"/>
    <n v="20550636728"/>
    <s v="REFRACTARIOS SUPPLY SAC"/>
    <s v="202507"/>
    <x v="17"/>
    <n v="739.42"/>
    <x v="0"/>
  </r>
  <r>
    <s v="FLUJO"/>
    <n v="20601245974"/>
    <s v="INVERSIONES Y SERVICIOS FORESTALES N Y M EIRL"/>
    <s v="202507, 202506, 202505"/>
    <x v="17"/>
    <n v="1086.98"/>
    <x v="0"/>
  </r>
  <r>
    <s v="FLUJO"/>
    <n v="20602727816"/>
    <s v="RH SERVICIOS GENERALES EIRL"/>
    <s v="202507, 202506, 202505"/>
    <x v="17"/>
    <n v="247.51999999999998"/>
    <x v="0"/>
  </r>
  <r>
    <s v="FLUJO"/>
    <n v="20605124691"/>
    <s v="F &amp; Y SAC"/>
    <s v="202507, 202506, 202505"/>
    <x v="17"/>
    <n v="651.16000000000008"/>
    <x v="0"/>
  </r>
  <r>
    <s v="FLUJO"/>
    <n v="20608900757"/>
    <s v="PACHACAMAC SPV I LIMA E.I.R.L."/>
    <s v="202507"/>
    <x v="17"/>
    <n v="126.82000000000001"/>
    <x v="0"/>
  </r>
  <r>
    <s v="FLUJO"/>
    <n v="20610217584"/>
    <s v="ASESORIA Y SERVICIOS EMPRESARIALES CONTRILAB E.I.R.L."/>
    <s v="202507, 202506"/>
    <x v="17"/>
    <n v="185.37"/>
    <x v="0"/>
  </r>
  <r>
    <s v="FLUJO"/>
    <n v="20613029622"/>
    <s v="GRIFO MARANATHA SAC"/>
    <s v="202507, 202506, 202505, 202504"/>
    <x v="17"/>
    <n v="528.44000000000005"/>
    <x v="0"/>
  </r>
  <r>
    <s v="FLUJO"/>
    <n v="20613535111"/>
    <s v="CONSORCIO SAN MARTIN DE PORRES"/>
    <s v="202507"/>
    <x v="17"/>
    <n v="935.04"/>
    <x v="0"/>
  </r>
  <r>
    <s v="FLUJO"/>
    <n v="20603296487"/>
    <s v="FENIX TECHNOLOGY S.A.C."/>
    <s v="202506"/>
    <x v="17"/>
    <n v="256.14"/>
    <x v="0"/>
  </r>
  <r>
    <s v="FLUJO"/>
    <n v="20606224614"/>
    <s v="SECURITY CRISS SOCIEDAD COMERCIAL DE RESPONSABILIDAD LIMITAD"/>
    <s v="202506, 202507"/>
    <x v="17"/>
    <n v="231.32000000000002"/>
    <x v="0"/>
  </r>
  <r>
    <s v="FLUJO"/>
    <n v="20610741763"/>
    <s v="STEEL DIAMOND SAC"/>
    <s v="202506, 202505"/>
    <x v="17"/>
    <n v="264.27999999999997"/>
    <x v="0"/>
  </r>
  <r>
    <s v="FLUJO"/>
    <n v="20510797109"/>
    <s v="CORPORACION JESHUA SAC"/>
    <s v="202504"/>
    <x v="17"/>
    <n v="94.78"/>
    <x v="0"/>
  </r>
  <r>
    <s v="FLUJO"/>
    <n v="20609358913"/>
    <s v="CORPORACION WHU S.A.C."/>
    <s v="202503"/>
    <x v="17"/>
    <n v="270.07"/>
    <x v="0"/>
  </r>
  <r>
    <s v="PRESUNTA"/>
    <n v="20539365551"/>
    <s v="VIRTUAL LABS SAC"/>
    <s v="202507"/>
    <x v="17"/>
    <n v="333.79"/>
    <x v="0"/>
  </r>
  <r>
    <s v="PRESUNTA"/>
    <n v="20604729433"/>
    <s v="TRADING FOODS COMPANY PERU S.A.C."/>
    <s v="202507"/>
    <x v="17"/>
    <n v="197.26999999999998"/>
    <x v="0"/>
  </r>
  <r>
    <s v="PRESUNTA"/>
    <n v="20608321714"/>
    <s v="VCM MEDICAL STAR LABS SAC"/>
    <s v="202507"/>
    <x v="17"/>
    <n v="143.31"/>
    <x v="0"/>
  </r>
  <r>
    <s v="PRESUNTA"/>
    <n v="20571521254"/>
    <s v="TRANSPORTES Y SERVICIOS JOSMAR E.I.R.L."/>
    <s v="202506"/>
    <x v="17"/>
    <n v="1393.35"/>
    <x v="0"/>
  </r>
  <r>
    <s v="REAL TOTAL"/>
    <n v="20291847049"/>
    <s v="HNOS LAY MELLY SRLTDA"/>
    <s v="200311"/>
    <x v="17"/>
    <n v="70.06"/>
    <x v="0"/>
  </r>
  <r>
    <s v="FLUJO"/>
    <n v="10028218228"/>
    <s v="CASTILLO ROSILLO NOLE"/>
    <s v="202507, 202506, 202505, 202504, 202503, 202502"/>
    <x v="18"/>
    <n v="678.47"/>
    <x v="0"/>
  </r>
  <r>
    <s v="FLUJO"/>
    <n v="10402950167"/>
    <s v="ANDY FRANKS CABRERA IRIGOIN"/>
    <s v="202507, 202506"/>
    <x v="18"/>
    <n v="261.97000000000003"/>
    <x v="0"/>
  </r>
  <r>
    <s v="FLUJO"/>
    <n v="10405612165"/>
    <s v="BOBADILLA SANCHEZ MONICA DEL PILAR"/>
    <s v="202507, 202506, 202505, 202504"/>
    <x v="18"/>
    <n v="398.04"/>
    <x v="0"/>
  </r>
  <r>
    <s v="FLUJO"/>
    <n v="10426357238"/>
    <s v="DENIS ARMANDO VARGAS ANAYA"/>
    <s v="202507"/>
    <x v="18"/>
    <n v="130.41"/>
    <x v="0"/>
  </r>
  <r>
    <s v="FLUJO"/>
    <n v="20512827013"/>
    <s v="CONVERT GROUP SAC"/>
    <s v="202507"/>
    <x v="18"/>
    <n v="148.76"/>
    <x v="0"/>
  </r>
  <r>
    <s v="FLUJO"/>
    <n v="20529522399"/>
    <s v="INVERSIONES CABALLERO HERMANOS SAC"/>
    <s v="202507"/>
    <x v="18"/>
    <n v="279.16999999999996"/>
    <x v="0"/>
  </r>
  <r>
    <s v="FLUJO"/>
    <n v="20530276105"/>
    <s v="EMPRESA DE TRANSPORTES GREYBE S.A.C"/>
    <s v="202507"/>
    <x v="18"/>
    <n v="327.88"/>
    <x v="0"/>
  </r>
  <r>
    <s v="FLUJO"/>
    <n v="20556709786"/>
    <s v="GRUPO FERCOM INDUSTRIAL SAC"/>
    <s v="202507"/>
    <x v="18"/>
    <n v="157.97"/>
    <x v="0"/>
  </r>
  <r>
    <s v="FLUJO"/>
    <n v="20559135284"/>
    <s v="SOLUCIONES INGENIERIA CONSULTORIA SEGURIDAD Y AMBIENTE SAC"/>
    <s v="202507"/>
    <x v="18"/>
    <n v="148.76"/>
    <x v="0"/>
  </r>
  <r>
    <s v="FLUJO"/>
    <n v="20600954131"/>
    <s v="ELEVACION Y AUTOMATIZACION S.A.C."/>
    <s v="202507"/>
    <x v="18"/>
    <n v="148.76"/>
    <x v="0"/>
  </r>
  <r>
    <s v="FLUJO"/>
    <n v="10401291364"/>
    <s v="MAITA VIVANCO WILBER DANIEL"/>
    <s v="202506"/>
    <x v="18"/>
    <n v="199.22"/>
    <x v="0"/>
  </r>
  <r>
    <s v="FLUJO"/>
    <n v="20515921746"/>
    <s v="BRACK IMPORT EIRL"/>
    <s v="202506, 202505, 202507"/>
    <x v="18"/>
    <n v="739.49"/>
    <x v="0"/>
  </r>
  <r>
    <s v="FLUJO"/>
    <n v="20534397993"/>
    <s v="DISTRIBUIDORA KERAMIK F &amp; G E.I.R.L."/>
    <s v="202506"/>
    <x v="18"/>
    <n v="271.27999999999997"/>
    <x v="0"/>
  </r>
  <r>
    <s v="FLUJO"/>
    <n v="20610026151"/>
    <s v="INVERSIONES Y SERVICIOS GRLES MILANO EIRL"/>
    <s v="202506, 202507"/>
    <x v="18"/>
    <n v="131.05000000000001"/>
    <x v="0"/>
  </r>
  <r>
    <s v="FLUJO"/>
    <n v="20612731773"/>
    <s v="HFK COMBUSTIBLES S.A.C."/>
    <s v="202506, 202505"/>
    <x v="18"/>
    <n v="646.71"/>
    <x v="0"/>
  </r>
  <r>
    <s v="FLUJO"/>
    <n v="20602241069"/>
    <s v="GAES REPRESENTACIONES E.I.R.L."/>
    <s v="202505, 202506, 202507"/>
    <x v="18"/>
    <n v="2808.4700000000003"/>
    <x v="0"/>
  </r>
  <r>
    <s v="FLUJO"/>
    <n v="20605955763"/>
    <s v="CENTRO REGIONAL DE NOTICIAS S.R.L."/>
    <s v="202502, 202501"/>
    <x v="18"/>
    <n v="279.2"/>
    <x v="0"/>
  </r>
  <r>
    <s v="PRESUNTA"/>
    <n v="10011615738"/>
    <s v="JUAN CARLOS MUÃ‘ANTE CARDENAS"/>
    <s v="202507"/>
    <x v="18"/>
    <n v="138.49"/>
    <x v="0"/>
  </r>
  <r>
    <s v="PRESUNTA"/>
    <n v="20600598857"/>
    <s v="SHILCAYO TRANSPORTES SRL"/>
    <s v="202507"/>
    <x v="18"/>
    <n v="279.16999999999996"/>
    <x v="0"/>
  </r>
  <r>
    <s v="PRESUNTA"/>
    <n v="20611469064"/>
    <s v="CHIFA CANTON JAEN E.I.R.L."/>
    <s v="202507, 202506"/>
    <x v="18"/>
    <n v="261.97000000000003"/>
    <x v="0"/>
  </r>
  <r>
    <s v="REAL TOTAL"/>
    <n v="10407160881"/>
    <s v="VALDERRAMA SALAZAR HERACLIDES"/>
    <s v="201905, 201904, 201903, 201902, 201901, 201812, 201806, 201805, 201804, 201803, 201802, 201801, 201712, 201711, 201710"/>
    <x v="18"/>
    <n v="2875.6"/>
    <x v="0"/>
  </r>
  <r>
    <s v="REAL TOTAL"/>
    <n v="20285204501"/>
    <s v="C.E.I.P. MI PEQUENO MUNDO"/>
    <s v="200608"/>
    <x v="18"/>
    <n v="14.29"/>
    <x v="0"/>
  </r>
  <r>
    <s v="FLUJO"/>
    <n v="17149598405"/>
    <s v="GONZALES DEL VALLE LEIVA JULIO CESAR"/>
    <s v="202507"/>
    <x v="19"/>
    <n v="148.91"/>
    <x v="0"/>
  </r>
  <r>
    <s v="FLUJO"/>
    <n v="20531455313"/>
    <s v="CONSTRUCTORA GUERRERO EIRL"/>
    <s v="202507, 202506"/>
    <x v="19"/>
    <n v="782.57999999999993"/>
    <x v="0"/>
  </r>
  <r>
    <s v="FLUJO"/>
    <n v="20609409666"/>
    <s v="ROJMIN MAQUINARIAS PERÃš S.A.C."/>
    <s v="202507"/>
    <x v="19"/>
    <n v="173.28"/>
    <x v="0"/>
  </r>
  <r>
    <s v="FLUJO"/>
    <n v="20611800356"/>
    <s v="ENZOS TEKNOLOGI   CONSTRUCCION E.I.R.L."/>
    <s v="202507, 202506, 202505"/>
    <x v="19"/>
    <n v="395.22"/>
    <x v="0"/>
  </r>
  <r>
    <s v="FLUJO"/>
    <n v="20538779238"/>
    <s v="EMPRESA DE SERVICIOS GENERALES PAOLO LO  EIRL"/>
    <s v="202505, 202504, 202503"/>
    <x v="19"/>
    <n v="363"/>
    <x v="0"/>
  </r>
  <r>
    <s v="FLUJO"/>
    <n v="20609092107"/>
    <s v="L Y L PATINES E.I.R.L."/>
    <s v="202505, 202506"/>
    <x v="19"/>
    <n v="264.67999999999995"/>
    <x v="0"/>
  </r>
  <r>
    <s v="FLUJO"/>
    <n v="20612279455"/>
    <s v="CONSORCIO PRIMAVERA"/>
    <s v="202503"/>
    <x v="19"/>
    <n v="2208.9299999999998"/>
    <x v="0"/>
  </r>
  <r>
    <s v="PRESUNTA"/>
    <n v="20472604423"/>
    <s v="TRANSP DE CARGA Y SERV SANTA ROSA SRL"/>
    <s v="202507"/>
    <x v="19"/>
    <n v="2474.58"/>
    <x v="0"/>
  </r>
  <r>
    <s v="REAL TOTAL"/>
    <n v="20101414940"/>
    <s v="INDUSTRIAS EL CISNE SAC"/>
    <s v="202501"/>
    <x v="19"/>
    <n v="79392.31"/>
    <x v="0"/>
  </r>
  <r>
    <s v="FLUJO"/>
    <n v="10086786678"/>
    <s v="ORIA CUSTODIO ROGER ZENON"/>
    <s v="202507, 202506"/>
    <x v="20"/>
    <n v="262.24"/>
    <x v="0"/>
  </r>
  <r>
    <s v="FLUJO"/>
    <n v="10166567535"/>
    <s v="JIMENEZ CARRASCO JUAN ANTONIO"/>
    <s v="202507, 202506"/>
    <x v="20"/>
    <n v="131.10000000000002"/>
    <x v="0"/>
  </r>
  <r>
    <s v="FLUJO"/>
    <n v="10462453251"/>
    <s v="Loayza Yupanqui France"/>
    <s v="202507, 202506, 202505"/>
    <x v="20"/>
    <n v="395.22"/>
    <x v="0"/>
  </r>
  <r>
    <s v="FLUJO"/>
    <n v="10735756643"/>
    <s v="CRUZ POLO JAVIER WILDER"/>
    <s v="202507, 202506"/>
    <x v="20"/>
    <n v="262.24"/>
    <x v="0"/>
  </r>
  <r>
    <s v="FLUJO"/>
    <n v="20452775001"/>
    <s v="INVERSIONES LUCIERNAGA E.I.R.L."/>
    <s v="202507"/>
    <x v="20"/>
    <n v="197.66"/>
    <x v="0"/>
  </r>
  <r>
    <s v="FLUJO"/>
    <n v="20522086968"/>
    <s v="EGUREN SERVICIOS SOCIEDAD ANONIMA CERRADA"/>
    <s v="202507"/>
    <x v="20"/>
    <n v="163.80000000000001"/>
    <x v="0"/>
  </r>
  <r>
    <s v="FLUJO"/>
    <n v="20551261272"/>
    <s v="M Y A TIRE SAC"/>
    <s v="202507"/>
    <x v="20"/>
    <n v="258.67"/>
    <x v="0"/>
  </r>
  <r>
    <s v="FLUJO"/>
    <n v="20558317184"/>
    <s v="C3 Extintores SAC"/>
    <s v="202507"/>
    <x v="20"/>
    <n v="78.319999999999993"/>
    <x v="0"/>
  </r>
  <r>
    <s v="FLUJO"/>
    <n v="20568776659"/>
    <s v="INVERSIONES MULTIPLES DORKA  JM  SAC"/>
    <s v="202507, 202506"/>
    <x v="20"/>
    <n v="786.68000000000006"/>
    <x v="0"/>
  </r>
  <r>
    <s v="FLUJO"/>
    <n v="20604959501"/>
    <s v="AC LIMP SERVICIOS GENERALES E.I.R.L."/>
    <s v="202507, 202506, 202505, 202504"/>
    <x v="20"/>
    <n v="281"/>
    <x v="0"/>
  </r>
  <r>
    <s v="FLUJO"/>
    <n v="20605531777"/>
    <s v="FURNINOX S.A.C"/>
    <s v="202507, 202506"/>
    <x v="20"/>
    <n v="696.19"/>
    <x v="0"/>
  </r>
  <r>
    <s v="FLUJO"/>
    <n v="20607319309"/>
    <s v="OROBUS SOCIEDAD ANONIMA CERRADA"/>
    <s v="202507"/>
    <x v="20"/>
    <n v="130.54"/>
    <x v="0"/>
  </r>
  <r>
    <s v="FLUJO"/>
    <n v="20610564845"/>
    <s v="B E MULTISERVICIOS INTEGRALES S.A.C."/>
    <s v="202507"/>
    <x v="20"/>
    <n v="148.91"/>
    <x v="0"/>
  </r>
  <r>
    <s v="FLUJO"/>
    <n v="20611348461"/>
    <s v="ASTRA ELECTRIC PERU E.I.R.L"/>
    <s v="202507"/>
    <x v="20"/>
    <n v="224.62"/>
    <x v="0"/>
  </r>
  <r>
    <s v="FLUJO"/>
    <n v="10404531609"/>
    <s v="RODRIGUEZ BOCANEGRA CHRISTIAN JESUS"/>
    <s v="202506, 202505"/>
    <x v="20"/>
    <n v="566.59"/>
    <x v="0"/>
  </r>
  <r>
    <s v="FLUJO"/>
    <n v="20608880683"/>
    <s v="POLICLINICO GREEN SOCIEDAD ANONIMA CERRADA"/>
    <s v="202505, 202504, 202503, 202502"/>
    <x v="20"/>
    <n v="715.11"/>
    <x v="0"/>
  </r>
  <r>
    <s v="FLUJO"/>
    <n v="20602157327"/>
    <s v="GRUPO MATIC S.A.C."/>
    <s v="202503, 202502"/>
    <x v="20"/>
    <n v="1488.1799999999998"/>
    <x v="0"/>
  </r>
  <r>
    <s v="PRESUNTA"/>
    <n v="20561384801"/>
    <s v="DROGUERIA CORPORACION CENTRALFARMA EIRL"/>
    <s v="202507, 202506"/>
    <x v="20"/>
    <n v="21.76"/>
    <x v="0"/>
  </r>
  <r>
    <s v="REAL TOTAL"/>
    <n v="20425853431"/>
    <s v="AYNE PERU TRINITARIAS SOLIDARIDAD Y DESARROLLO"/>
    <s v="200812"/>
    <x v="20"/>
    <n v="41.92"/>
    <x v="0"/>
  </r>
  <r>
    <s v="REAL TOTAL"/>
    <n v="20385104015"/>
    <s v="JOSE URQUIZO OLAECHEA ABOGADOS SAC"/>
    <s v="200601"/>
    <x v="20"/>
    <n v="383.64000000000004"/>
    <x v="0"/>
  </r>
  <r>
    <s v="REAL TOTAL"/>
    <n v="20101097286"/>
    <s v="PANEZ ISHIDA FAESA"/>
    <s v="200001"/>
    <x v="20"/>
    <n v="29715.95"/>
    <x v="0"/>
  </r>
  <r>
    <s v="FLUJO"/>
    <n v="10400503481"/>
    <s v="ABARCA CARRION MARIBEL"/>
    <s v="202507, 202506"/>
    <x v="21"/>
    <n v="262.36"/>
    <x v="0"/>
  </r>
  <r>
    <s v="FLUJO"/>
    <n v="10432767782"/>
    <s v="ZEVALLOS ADRIANO CLAUDIA GUADALUPE"/>
    <s v="202507, 202506"/>
    <x v="21"/>
    <n v="288.59000000000003"/>
    <x v="0"/>
  </r>
  <r>
    <s v="FLUJO"/>
    <n v="10468388303"/>
    <s v="OBREGON HUAMAN LIZ KATERIN"/>
    <s v="202507"/>
    <x v="21"/>
    <n v="394.24"/>
    <x v="0"/>
  </r>
  <r>
    <s v="FLUJO"/>
    <n v="20454859350"/>
    <s v="TRANSPORTES MIGUEL EIRL"/>
    <s v="202507"/>
    <x v="21"/>
    <n v="148.91"/>
    <x v="0"/>
  </r>
  <r>
    <s v="FLUJO"/>
    <n v="20509066800"/>
    <s v="Boas Inversiones SAC"/>
    <s v="202507"/>
    <x v="21"/>
    <n v="212.56"/>
    <x v="0"/>
  </r>
  <r>
    <s v="FLUJO"/>
    <n v="20513839406"/>
    <s v="RAMIREZ Y ESCURRA DECORACIONES SAC"/>
    <s v="202507"/>
    <x v="21"/>
    <n v="279.45"/>
    <x v="0"/>
  </r>
  <r>
    <s v="FLUJO"/>
    <n v="20602746934"/>
    <s v="M Y A GLOBAL E.I.R.L."/>
    <s v="202507"/>
    <x v="21"/>
    <n v="500.72"/>
    <x v="0"/>
  </r>
  <r>
    <s v="FLUJO"/>
    <n v="20603394080"/>
    <s v="M Y M SERVICIOS DENTALES SAC"/>
    <s v="202507, 202506"/>
    <x v="21"/>
    <n v="157.41"/>
    <x v="0"/>
  </r>
  <r>
    <s v="FLUJO"/>
    <n v="20604411247"/>
    <s v="JEAL SERVICIOS GENERALES E.I.R.L."/>
    <s v="202507"/>
    <x v="21"/>
    <n v="148.91"/>
    <x v="0"/>
  </r>
  <r>
    <s v="FLUJO"/>
    <n v="20605397213"/>
    <s v="AESA GROUP BUSINESS SAC"/>
    <s v="202507"/>
    <x v="21"/>
    <n v="148.91"/>
    <x v="0"/>
  </r>
  <r>
    <s v="FLUJO"/>
    <n v="20605558853"/>
    <s v="FUTURA INVERSION DANA S.A.C."/>
    <s v="202507, 202506, 202505"/>
    <x v="21"/>
    <n v="347.71"/>
    <x v="0"/>
  </r>
  <r>
    <s v="FLUJO"/>
    <n v="20609537486"/>
    <s v="BIENESTAR Y SALUD UNIVERSAL EIRL"/>
    <s v="202507, 202506, 202505"/>
    <x v="21"/>
    <n v="419.83000000000004"/>
    <x v="0"/>
  </r>
  <r>
    <s v="FLUJO"/>
    <n v="10095822245"/>
    <s v="COPARA LLANOS JANET VIOLETA"/>
    <s v="202506"/>
    <x v="21"/>
    <n v="527.28"/>
    <x v="0"/>
  </r>
  <r>
    <s v="FLUJO"/>
    <n v="20553517835"/>
    <s v="SEXAVE PERU EIRL"/>
    <s v="202506, 202505, 202504, 202507"/>
    <x v="21"/>
    <n v="3750.2799999999997"/>
    <x v="0"/>
  </r>
  <r>
    <s v="FLUJO"/>
    <n v="20602820271"/>
    <s v="LUGUAL SAC"/>
    <s v="202506, 202505"/>
    <x v="21"/>
    <n v="264.79999999999995"/>
    <x v="0"/>
  </r>
  <r>
    <s v="FLUJO"/>
    <n v="20524433185"/>
    <s v="TEJICROCH SAC"/>
    <s v="202505, 202507, 202506"/>
    <x v="21"/>
    <n v="395.34"/>
    <x v="0"/>
  </r>
  <r>
    <s v="FLUJO"/>
    <n v="10097684818"/>
    <s v="MENDOZA RAFAEL DAVID"/>
    <s v="202503, 202502"/>
    <x v="21"/>
    <n v="271.74"/>
    <x v="0"/>
  </r>
  <r>
    <s v="PRESUNTA"/>
    <n v="20481214549"/>
    <s v="INGENIERIA EN MANTENIMIENTO Y SANITIZACION SA"/>
    <s v="202507"/>
    <x v="21"/>
    <n v="130.54"/>
    <x v="0"/>
  </r>
  <r>
    <s v="PRESUNTA"/>
    <n v="20555208953"/>
    <s v="HYDRO PUMPS IMPORT SA"/>
    <s v="202412, 202411, 202410, 202409, 202408, 202407, 202406, 202405, 202404, 202403, 202402, 202401, 202312"/>
    <x v="21"/>
    <n v="7564.2599999999993"/>
    <x v="0"/>
  </r>
  <r>
    <s v="REAL TOTAL"/>
    <n v="20510027419"/>
    <s v="RCR CONSORCIO EDUCATIVO SOCIEDAD ANONIMA"/>
    <s v="202505, 202504, 202503"/>
    <x v="21"/>
    <n v="8090.4400000000005"/>
    <x v="0"/>
  </r>
  <r>
    <s v="REAL TOTAL"/>
    <n v="20267366412"/>
    <s v="K Y K TRADING EIRL"/>
    <s v="200206, 200106"/>
    <x v="21"/>
    <n v="5233.1299999999992"/>
    <x v="0"/>
  </r>
  <r>
    <s v="FLUJO"/>
    <n v="10078194966"/>
    <s v="MOEBIUS SINGER MANFRED"/>
    <s v="202507"/>
    <x v="22"/>
    <n v="148.91"/>
    <x v="0"/>
  </r>
  <r>
    <s v="FLUJO"/>
    <n v="20498416986"/>
    <s v="EMPRESA COMERCIAL ELE EIRL"/>
    <s v="202507"/>
    <x v="22"/>
    <n v="654.64"/>
    <x v="0"/>
  </r>
  <r>
    <s v="FLUJO"/>
    <n v="20514805033"/>
    <s v="SOLOIMAGEN EIRL"/>
    <s v="202507"/>
    <x v="22"/>
    <n v="197.66"/>
    <x v="0"/>
  </r>
  <r>
    <s v="FLUJO"/>
    <n v="20524422817"/>
    <s v="DV CONTRATISTA  TECNICOS CONSTRUCTORES SAC"/>
    <s v="202507"/>
    <x v="22"/>
    <n v="192.57"/>
    <x v="0"/>
  </r>
  <r>
    <s v="FLUJO"/>
    <n v="20538270807"/>
    <s v="SGS SERVICIOS GENERALES S.A.C."/>
    <s v="202507"/>
    <x v="22"/>
    <n v="130.54"/>
    <x v="0"/>
  </r>
  <r>
    <s v="FLUJO"/>
    <n v="20602016880"/>
    <s v="YARELY DISTRIBUCIONES DEL SUR EIRL"/>
    <s v="202507, 202506, 202505, 202504"/>
    <x v="22"/>
    <n v="603.48"/>
    <x v="0"/>
  </r>
  <r>
    <s v="FLUJO"/>
    <n v="20603074697"/>
    <s v="VASPER MEDEX SOCIEDAD COMERCIAL DE RESPONSABILIDAD LIMITADA"/>
    <s v="202507"/>
    <x v="22"/>
    <n v="148.91"/>
    <x v="0"/>
  </r>
  <r>
    <s v="FLUJO"/>
    <n v="20603112645"/>
    <s v="BANANOS ORGANICOS SOL DE ORO SAC"/>
    <s v="202507, 202506"/>
    <x v="22"/>
    <n v="696.53"/>
    <x v="0"/>
  </r>
  <r>
    <s v="FLUJO"/>
    <n v="20605320041"/>
    <s v="CAUTIVO INMOBILIARIA y CONSTRUCTORA PIURA SOCIEDAD ANONIMA C"/>
    <s v="202507, 202506, 202505, 202504, 202503"/>
    <x v="22"/>
    <n v="1329.51"/>
    <x v="0"/>
  </r>
  <r>
    <s v="FLUJO"/>
    <n v="20605734261"/>
    <s v="OLAS DEL PACIFICO E.I.R.L."/>
    <s v="202507, 202506, 202505"/>
    <x v="22"/>
    <n v="670.65000000000009"/>
    <x v="0"/>
  </r>
  <r>
    <s v="FLUJO"/>
    <n v="20609905507"/>
    <s v="SERVICIOS LOGISTICOS TJEL S.A.C."/>
    <s v="202507"/>
    <x v="22"/>
    <n v="279.44"/>
    <x v="0"/>
  </r>
  <r>
    <s v="FLUJO"/>
    <n v="20610214186"/>
    <s v="INSTITUCION EDUCATIVA JHON F. KENNEDY S.A.C."/>
    <s v="202505, 202506"/>
    <x v="22"/>
    <n v="264.79999999999995"/>
    <x v="0"/>
  </r>
  <r>
    <s v="FLUJO"/>
    <n v="20613274864"/>
    <s v="RAW BAR SAC"/>
    <s v="202505"/>
    <x v="22"/>
    <n v="848.86"/>
    <x v="0"/>
  </r>
  <r>
    <s v="FLUJO"/>
    <n v="10028996611"/>
    <s v="CORDOVA RIOS PEDRO ALEX"/>
    <s v="202504, 202503"/>
    <x v="22"/>
    <n v="468.03"/>
    <x v="0"/>
  </r>
  <r>
    <s v="FLUJO"/>
    <n v="20613017187"/>
    <s v="SERVICIOS INFORMATICOS CONTABLES ECOCONT S.R.L."/>
    <s v="202504"/>
    <x v="22"/>
    <n v="134.13"/>
    <x v="0"/>
  </r>
  <r>
    <s v="FLUJO"/>
    <n v="20606586982"/>
    <s v="New Life International E.I.R.L."/>
    <s v="202412, 202411, 202410"/>
    <x v="22"/>
    <n v="391.94"/>
    <x v="0"/>
  </r>
  <r>
    <s v="FLUJO"/>
    <n v="20613884743"/>
    <s v="COOPERATIVA AGRARIA DE PRODUCTORES RAIZ Y VIDA JIBITO"/>
    <s v="202507, 202506, 202505"/>
    <x v="22"/>
    <n v="480.25"/>
    <x v="0"/>
  </r>
  <r>
    <s v="PRESUNTA"/>
    <n v="20606858893"/>
    <s v="GASES Y MANUFACTURAS ROMERO DEL NORTE SRL"/>
    <s v="202507, 202506"/>
    <x v="22"/>
    <n v="262.36"/>
    <x v="0"/>
  </r>
  <r>
    <s v="PRESUNTA"/>
    <n v="20609742918"/>
    <s v="OKAY IMPORT S.A.C."/>
    <s v="202507, 202506"/>
    <x v="22"/>
    <n v="348.26"/>
    <x v="0"/>
  </r>
  <r>
    <s v="REAL TOTAL"/>
    <n v="20612393347"/>
    <s v="INVERSIONES JUNDOCA SAC."/>
    <s v="202502"/>
    <x v="22"/>
    <n v="194.77"/>
    <x v="0"/>
  </r>
  <r>
    <s v="REAL TOTAL"/>
    <n v="20506252572"/>
    <s v="DISTRIBUIDORA HORTEGA S.R.L."/>
    <s v="202202, 202201"/>
    <x v="22"/>
    <n v="340.34000000000003"/>
    <x v="0"/>
  </r>
  <r>
    <s v="FLUJO"/>
    <n v="10258474151"/>
    <s v="RODAS CARRION CRISTIAN RULLY"/>
    <s v="202507, 202506, 202505"/>
    <x v="23"/>
    <n v="225.57"/>
    <x v="0"/>
  </r>
  <r>
    <s v="FLUJO"/>
    <n v="20504277659"/>
    <s v="DIGASCOM EIRL"/>
    <s v="202507, 202506"/>
    <x v="23"/>
    <n v="285.72000000000003"/>
    <x v="0"/>
  </r>
  <r>
    <s v="FLUJO"/>
    <n v="20603393857"/>
    <s v="DERMACUORE E.I.R.L."/>
    <s v="202507"/>
    <x v="23"/>
    <n v="149.05000000000001"/>
    <x v="0"/>
  </r>
  <r>
    <s v="FLUJO"/>
    <n v="20606681756"/>
    <s v="CONSTRUCTORA ARA ATLANTIC S.A.C."/>
    <s v="202507, 202506, 202505, 202504, 202503"/>
    <x v="23"/>
    <n v="664.88"/>
    <x v="0"/>
  </r>
  <r>
    <s v="FLUJO"/>
    <n v="20610639420"/>
    <s v="Global Iplus E.I.R.L-"/>
    <s v="202507"/>
    <x v="23"/>
    <n v="149.05000000000001"/>
    <x v="0"/>
  </r>
  <r>
    <s v="FLUJO"/>
    <n v="20567258905"/>
    <s v="COMSERMALU EIRL"/>
    <s v="202506"/>
    <x v="23"/>
    <n v="266.14"/>
    <x v="0"/>
  </r>
  <r>
    <s v="FLUJO"/>
    <n v="20604194271"/>
    <s v="WISA TEC EIRL"/>
    <s v="202503, 202502"/>
    <x v="23"/>
    <n v="271.87"/>
    <x v="0"/>
  </r>
  <r>
    <s v="FLUJO"/>
    <n v="20610776923"/>
    <s v="KMC COMPAÃ‘IA DE ALIMENTOS S.A.C."/>
    <s v="202502"/>
    <x v="23"/>
    <n v="171.38"/>
    <x v="0"/>
  </r>
  <r>
    <s v="FLUJO"/>
    <n v="20535667668"/>
    <s v="NET LOOKING E.I.R.L."/>
    <s v="202507"/>
    <x v="23"/>
    <n v="373.49"/>
    <x v="0"/>
  </r>
  <r>
    <s v="FLUJO"/>
    <n v="10094895150"/>
    <s v="NANCY LAMAN RIVERA"/>
    <s v="202507"/>
    <x v="24"/>
    <n v="197.86"/>
    <x v="0"/>
  </r>
  <r>
    <s v="FLUJO"/>
    <n v="20600646827"/>
    <s v="CREZCO JUGANDO E.I.R.L."/>
    <s v="202507, 202506, 202505"/>
    <x v="24"/>
    <n v="395.59000000000003"/>
    <x v="0"/>
  </r>
  <r>
    <s v="FLUJO"/>
    <n v="20603881517"/>
    <s v="INVERSIONES MACCLA SA"/>
    <s v="202507, 202506, 202505, 202504"/>
    <x v="24"/>
    <n v="529.72"/>
    <x v="0"/>
  </r>
  <r>
    <s v="FLUJO"/>
    <n v="20605704213"/>
    <s v="ASESORES DE SEGURIDAD Y SALUD OCUPACIONAL ASOCIADOS SAC"/>
    <s v="202507, 202506"/>
    <x v="24"/>
    <n v="262.48"/>
    <x v="0"/>
  </r>
  <r>
    <s v="FLUJO"/>
    <n v="20609480867"/>
    <s v="C y R EQUIPOS SOLUCIONES TECNOLOGICAS S.A.C."/>
    <s v="202507"/>
    <x v="24"/>
    <n v="328.52000000000004"/>
    <x v="0"/>
  </r>
  <r>
    <s v="FLUJO"/>
    <n v="20612927635"/>
    <s v="AGROSERVICIOS CONVET E.I.R.L"/>
    <s v="202507, 202506, 202505"/>
    <x v="24"/>
    <n v="395.59000000000003"/>
    <x v="0"/>
  </r>
  <r>
    <s v="FLUJO"/>
    <n v="10727852625"/>
    <s v="LÃ“PEZ FLOR WALTER ALEJANDRO"/>
    <s v="202506"/>
    <x v="24"/>
    <n v="67.08"/>
    <x v="0"/>
  </r>
  <r>
    <s v="FLUJO"/>
    <n v="20602451250"/>
    <s v="D SABORES AQP EIRL"/>
    <s v="202506, 202503, 202507, 202505, 202504, 202502"/>
    <x v="24"/>
    <n v="1064.8499999999999"/>
    <x v="0"/>
  </r>
  <r>
    <s v="FLUJO"/>
    <n v="20603228236"/>
    <s v="INVERSIONES Y NEGOCIOS CALLUPE S.A.C"/>
    <s v="202506, 202505, 202504"/>
    <x v="24"/>
    <n v="1387.84"/>
    <x v="0"/>
  </r>
  <r>
    <s v="PRESUNTA"/>
    <n v="20608448005"/>
    <s v="CEMENTERA PERUANA S.A.C."/>
    <s v="202507, 202506, 202505, 202504, 202503, 202502, 202501, 202412, 202411, 202410, 202409, 202408"/>
    <x v="24"/>
    <n v="30213.58"/>
    <x v="0"/>
  </r>
  <r>
    <s v="PRESUNTA"/>
    <n v="20565641795"/>
    <s v="MATIGLAS EIRL"/>
    <s v="202212, 202211, 202210, 202209, 202208"/>
    <x v="24"/>
    <n v="1514.13"/>
    <x v="0"/>
  </r>
  <r>
    <s v="REAL TOTAL"/>
    <n v="20608909258"/>
    <s v="DIGITAL PROCESS S.A.C."/>
    <s v="202411"/>
    <x v="24"/>
    <n v="130.73000000000002"/>
    <x v="0"/>
  </r>
  <r>
    <s v="REAL TOTAL"/>
    <n v="20460446733"/>
    <s v="INFO EXPERT SAC"/>
    <s v="200812, 200612"/>
    <x v="24"/>
    <n v="622.04999999999995"/>
    <x v="0"/>
  </r>
  <r>
    <s v="REAL TOTAL"/>
    <n v="20255139755"/>
    <s v="COMERCIAL CASA DEL CARPINTERO SAC"/>
    <s v="200603, 200602"/>
    <x v="24"/>
    <n v="242.07999999999998"/>
    <x v="0"/>
  </r>
  <r>
    <s v="FLUJO"/>
    <n v="20601323843"/>
    <s v="MAC CONSTRUCTORA SAC"/>
    <s v="202507, 202506"/>
    <x v="25"/>
    <n v="34.07"/>
    <x v="0"/>
  </r>
  <r>
    <s v="FLUJO"/>
    <n v="20607986330"/>
    <s v="INVERSIONES LAVZUR S.A.C."/>
    <s v="202507"/>
    <x v="25"/>
    <n v="149.19"/>
    <x v="0"/>
  </r>
  <r>
    <s v="FLUJO"/>
    <n v="20603124007"/>
    <s v="TRANSPORTES ESTRELLA DE DAVID CARS S.A.C."/>
    <s v="202506"/>
    <x v="25"/>
    <n v="124.85000000000001"/>
    <x v="0"/>
  </r>
  <r>
    <s v="FLUJO"/>
    <n v="20602804837"/>
    <s v="NUTRICION ES ESCENCIAL S.A.C."/>
    <s v="202504, 202503"/>
    <x v="25"/>
    <n v="269.82000000000005"/>
    <x v="0"/>
  </r>
  <r>
    <s v="FLUJO"/>
    <n v="20606276673"/>
    <s v="SAN JOSE INGENIERIA Y PROYECTOS S.A.C."/>
    <s v="202503, 202502"/>
    <x v="25"/>
    <n v="397.99"/>
    <x v="0"/>
  </r>
  <r>
    <s v="REAL TOTAL"/>
    <n v="20527749345"/>
    <s v="ETNIKAS TRAVEL Y CRAFTS SCRLtda."/>
    <s v="200901"/>
    <x v="25"/>
    <n v="185.18"/>
    <x v="0"/>
  </r>
  <r>
    <s v="PRESUNTA"/>
    <n v="20602804055"/>
    <s v="WG HOLZ S.A.C."/>
    <s v="202104, 202103, 202102, 202101, 202012, 202011, 202010, 202009, 202008, 202007, 202006, 202005, 201910, 201909, 201908, 201907, 201906, 201905, 201904, 201903, 201902, 201901, 201812, 201811"/>
    <x v="26"/>
    <n v="1172.78"/>
    <x v="0"/>
  </r>
  <r>
    <s v="PRESUNTA"/>
    <n v="20101362885"/>
    <s v="ABUGATTAS INGENIEROS S.A."/>
    <s v="202507"/>
    <x v="27"/>
    <n v="236.92"/>
    <x v="0"/>
  </r>
  <r>
    <s v="PRESUNTA"/>
    <n v="20536087878"/>
    <s v="FRANCISCO &amp; CRISTOBAL ASOCIADOS SAC"/>
    <s v="202507"/>
    <x v="27"/>
    <n v="392.38"/>
    <x v="0"/>
  </r>
  <r>
    <s v="PRESUNTA"/>
    <n v="20217254125"/>
    <s v="MUNICIPALIDAD DISTRITAL DE SAN ANTONIO"/>
    <s v="202503, 202502, 202505, 202504"/>
    <x v="27"/>
    <n v="12183.31"/>
    <x v="0"/>
  </r>
  <r>
    <s v="PRESUNTA"/>
    <n v="20551703712"/>
    <s v="NM TELECOM SAC"/>
    <s v="202207, 202206"/>
    <x v="27"/>
    <n v="721.43000000000006"/>
    <x v="0"/>
  </r>
  <r>
    <s v="PRESUNTA"/>
    <n v="20604877491"/>
    <s v="TAIPAWER S.A.C."/>
    <s v="202003, 202002, 202001, 201912, 201911, 201910, 201909"/>
    <x v="27"/>
    <n v="1338.98"/>
    <x v="0"/>
  </r>
  <r>
    <s v="REAL TOTAL"/>
    <n v="20604411409"/>
    <s v="JFG CORPORATION SAC"/>
    <s v="202405, 202404"/>
    <x v="27"/>
    <n v="2766.29"/>
    <x v="0"/>
  </r>
  <r>
    <s v="REAL TOTAL"/>
    <n v="20100170681"/>
    <s v="PRODUCTOS QUIMICOS INDUSTRIALES SA"/>
    <s v="200705"/>
    <x v="27"/>
    <n v="60.11"/>
    <x v="0"/>
  </r>
  <r>
    <s v="PRESUNTA"/>
    <n v="10413443771"/>
    <s v="JIMENEZ LOAYZA LUIS JAVIER"/>
    <s v="202003, 202002, 202001, 201912, 201911, 201910, 201909, 201908, 201907"/>
    <x v="28"/>
    <n v="1604.3799999999999"/>
    <x v="0"/>
  </r>
  <r>
    <s v="FLUJO"/>
    <n v="20222114129"/>
    <s v="CEGNE SAN SEBASTIAN"/>
    <s v="202508, 202507"/>
    <x v="24"/>
    <n v="649.1099999999999"/>
    <x v="1"/>
  </r>
  <r>
    <s v="FLUJO"/>
    <n v="20608413261"/>
    <s v="SUPERDIAG GROUP S.A.C."/>
    <s v="202508, 202507, 202506"/>
    <x v="24"/>
    <n v="431.19"/>
    <x v="1"/>
  </r>
  <r>
    <s v="REAL TOTAL"/>
    <n v="20460446733"/>
    <s v="INFO EXPERT SAC"/>
    <s v="200812, 200612"/>
    <x v="24"/>
    <n v="622.04999999999995"/>
    <x v="1"/>
  </r>
  <r>
    <s v="REAL TOTAL"/>
    <n v="20255139755"/>
    <s v="COMERCIAL CASA DEL CARPINTERO SAC"/>
    <s v="200603, 200602"/>
    <x v="24"/>
    <n v="242.07999999999998"/>
    <x v="1"/>
  </r>
  <r>
    <s v="FLUJO"/>
    <n v="20613206664"/>
    <s v="CORPORACION SEPTIEMBRE S.A.C."/>
    <s v="202508"/>
    <x v="25"/>
    <n v="267.31"/>
    <x v="1"/>
  </r>
  <r>
    <s v="FLUJO"/>
    <n v="20601459630"/>
    <s v="TUNKY SOLUCIONES AMBIENTALES S.A.C."/>
    <s v="202508, 202507, 202506"/>
    <x v="25"/>
    <n v="1387.5900000000001"/>
    <x v="1"/>
  </r>
  <r>
    <s v="FLUJO"/>
    <n v="20611520019"/>
    <s v="ELOHIM SERVICE E.I.R.L."/>
    <s v="202508"/>
    <x v="25"/>
    <n v="469.1"/>
    <x v="1"/>
  </r>
  <r>
    <s v="REAL TOTAL"/>
    <n v="20527749345"/>
    <s v="ETNIKAS TRAVEL Y CRAFTS SCRLtda."/>
    <s v="200901"/>
    <x v="25"/>
    <n v="185.18"/>
    <x v="1"/>
  </r>
  <r>
    <s v="FLUJO"/>
    <n v="20610003096"/>
    <s v="GRUPO DE MERCADEO 360 S.A."/>
    <s v="202508"/>
    <x v="29"/>
    <n v="229.45000000000002"/>
    <x v="1"/>
  </r>
  <r>
    <s v="FLUJO"/>
    <n v="10106862228"/>
    <s v="JOSE TENORIO GOMEZ"/>
    <s v="202508, 202507, 202506, 202505, 202504, 202503"/>
    <x v="26"/>
    <n v="1165.54"/>
    <x v="1"/>
  </r>
  <r>
    <s v="FLUJO"/>
    <n v="10156862903"/>
    <s v="MAXIMILIANO RAFAEL ALEJO MONTES"/>
    <s v="202508"/>
    <x v="26"/>
    <n v="259.27"/>
    <x v="1"/>
  </r>
  <r>
    <s v="FLUJO"/>
    <n v="10255794383"/>
    <s v="ANA MARIA VALENCIA JIMENEZ"/>
    <s v="202508"/>
    <x v="26"/>
    <n v="216.72"/>
    <x v="1"/>
  </r>
  <r>
    <s v="FLUJO"/>
    <n v="20524658349"/>
    <s v="CIA Z DE MOVILIDAD Y MENSAJERIA SRL"/>
    <s v="202508"/>
    <x v="26"/>
    <n v="403.35"/>
    <x v="1"/>
  </r>
  <r>
    <s v="FLUJO"/>
    <n v="20537337274"/>
    <s v="PIZZAS SANTA CLARA E.I.R.L."/>
    <s v="202508, 202507, 202505, 202506"/>
    <x v="26"/>
    <n v="530.17999999999995"/>
    <x v="1"/>
  </r>
  <r>
    <s v="FLUJO"/>
    <n v="20559536351"/>
    <s v="TRANSPORTES LAMT EIRL"/>
    <s v="202508, 202507"/>
    <x v="26"/>
    <n v="520.8599999999999"/>
    <x v="1"/>
  </r>
  <r>
    <s v="FLUJO"/>
    <n v="20559738655"/>
    <s v="J Y M 1531 S.A.C."/>
    <s v="202508, 201812"/>
    <x v="26"/>
    <n v="2389.6999999999998"/>
    <x v="1"/>
  </r>
  <r>
    <s v="FLUJO"/>
    <n v="20602218652"/>
    <s v="GRUPO CASIR SAC"/>
    <s v="202508, 202507"/>
    <x v="26"/>
    <n v="260.95"/>
    <x v="1"/>
  </r>
  <r>
    <s v="FLUJO"/>
    <n v="20603816952"/>
    <s v="INSTITUTO DE CIENCIA Y TECNOLOGIA ICIT E.I.R.L."/>
    <s v="202508"/>
    <x v="26"/>
    <n v="455.39"/>
    <x v="1"/>
  </r>
  <r>
    <s v="FLUJO"/>
    <n v="20607457388"/>
    <s v="INVERSIONES IKER JOSE M Y M S.A.C."/>
    <s v="202508"/>
    <x v="26"/>
    <n v="573.62"/>
    <x v="1"/>
  </r>
  <r>
    <s v="FLUJO"/>
    <n v="20607855294"/>
    <s v="MG INDUSTRIA Y COMERCIO S.A.C"/>
    <s v="202508"/>
    <x v="26"/>
    <n v="232.98999999999998"/>
    <x v="1"/>
  </r>
  <r>
    <s v="FLUJO"/>
    <n v="20608476688"/>
    <s v="GRUPO CASUVE S.A.C."/>
    <s v="202508"/>
    <x v="26"/>
    <n v="482.75"/>
    <x v="1"/>
  </r>
  <r>
    <s v="FLUJO"/>
    <n v="20610019740"/>
    <s v="INGENIEROS ELECTRICOS DEL NORTE SAC"/>
    <s v="202508"/>
    <x v="26"/>
    <n v="259.27"/>
    <x v="1"/>
  </r>
  <r>
    <s v="FLUJO"/>
    <n v="20610922911"/>
    <s v="CERRITO NORTEÃ‘O FAMILIAR E.I.R.L."/>
    <s v="202508, 202507"/>
    <x v="26"/>
    <n v="260.42999999999995"/>
    <x v="1"/>
  </r>
  <r>
    <s v="FLUJO"/>
    <n v="20612852619"/>
    <s v="MULTITIENDAS DON DURO EIRL"/>
    <s v="202508, 202507, 202506"/>
    <x v="26"/>
    <n v="392.37999999999994"/>
    <x v="1"/>
  </r>
  <r>
    <s v="FLUJO"/>
    <n v="20612868108"/>
    <s v="AGROSUR LA JOYA S.A.C."/>
    <s v="202508"/>
    <x v="26"/>
    <n v="286.81"/>
    <x v="1"/>
  </r>
  <r>
    <s v="FLUJO"/>
    <n v="20613811835"/>
    <s v="MULTIMARKET PARACAS S.A.C."/>
    <s v="202508"/>
    <x v="26"/>
    <n v="259.27"/>
    <x v="1"/>
  </r>
  <r>
    <s v="FLUJO"/>
    <n v="20448083749"/>
    <s v="MAQUINRENT EIRL"/>
    <s v="202507, 202506, 202505, 202504, 202508"/>
    <x v="26"/>
    <n v="2253.6000000000004"/>
    <x v="1"/>
  </r>
  <r>
    <s v="FLUJO"/>
    <n v="20601821312"/>
    <s v="SERVICIOS Y REPUESTOS GENERALES N &amp; N E.I.R.L."/>
    <s v="202507, 202506"/>
    <x v="26"/>
    <n v="525.49"/>
    <x v="1"/>
  </r>
  <r>
    <s v="FLUJO"/>
    <n v="20602473865"/>
    <s v="TAPPOYO FINTECH SAC"/>
    <s v="202507, 202508"/>
    <x v="26"/>
    <n v="294.13"/>
    <x v="1"/>
  </r>
  <r>
    <s v="FLUJO"/>
    <n v="20612093521"/>
    <s v="INVERSIONES ELI MM SAC"/>
    <s v="202507"/>
    <x v="26"/>
    <n v="231.49"/>
    <x v="1"/>
  </r>
  <r>
    <s v="FLUJO"/>
    <n v="20613088874"/>
    <s v="MAREA97 S.A.C."/>
    <s v="202507, 202506"/>
    <x v="26"/>
    <n v="262.74"/>
    <x v="1"/>
  </r>
  <r>
    <s v="FLUJO"/>
    <n v="20454820658"/>
    <s v="TOP LINE TRANSPORTES EIRL"/>
    <s v="202503, 202502, 202504"/>
    <x v="26"/>
    <n v="1016.3400000000001"/>
    <x v="1"/>
  </r>
  <r>
    <s v="FLUJO"/>
    <n v="20477767169"/>
    <s v="Professional Quality SRL"/>
    <s v="202508"/>
    <x v="27"/>
    <n v="401.93"/>
    <x v="1"/>
  </r>
  <r>
    <s v="FLUJO"/>
    <n v="20482298916"/>
    <s v="INVERSIONES MELDAR SAC"/>
    <s v="202508"/>
    <x v="27"/>
    <n v="887.24"/>
    <x v="1"/>
  </r>
  <r>
    <s v="FLUJO"/>
    <n v="20505875843"/>
    <s v="XTREME  PLAZA SAC"/>
    <s v="202508"/>
    <x v="27"/>
    <n v="444.5"/>
    <x v="1"/>
  </r>
  <r>
    <s v="FLUJO"/>
    <n v="20524196469"/>
    <s v="ARKHES CONTRATISTAS GENERALES SAC"/>
    <s v="202508, 202507, 202506, 202505, 202504, 202503"/>
    <x v="27"/>
    <n v="1640.9100000000003"/>
    <x v="1"/>
  </r>
  <r>
    <s v="FLUJO"/>
    <n v="20546918310"/>
    <s v="W ANGELES SERVICIOS GENERALES"/>
    <s v="202508"/>
    <x v="27"/>
    <n v="263.39"/>
    <x v="1"/>
  </r>
  <r>
    <s v="FLUJO"/>
    <n v="20547907168"/>
    <s v="EPQ S.A.C."/>
    <s v="202508, 202507, 202506, 202505"/>
    <x v="27"/>
    <n v="851.63"/>
    <x v="1"/>
  </r>
  <r>
    <s v="FLUJO"/>
    <n v="20566225868"/>
    <s v="GRUSEG JIMENEZ S.A.C."/>
    <s v="202508"/>
    <x v="27"/>
    <n v="379.62"/>
    <x v="1"/>
  </r>
  <r>
    <s v="FLUJO"/>
    <n v="20600316851"/>
    <s v="SOLUCIONES INTEGRALES DE FITNESS SAC"/>
    <s v="202508"/>
    <x v="27"/>
    <n v="333.26"/>
    <x v="1"/>
  </r>
  <r>
    <s v="FLUJO"/>
    <n v="20601832781"/>
    <s v="CENTRO NEFROLOGICO ALBERTO SAC"/>
    <s v="202508, 202507"/>
    <x v="27"/>
    <n v="484.03999999999996"/>
    <x v="1"/>
  </r>
  <r>
    <s v="FLUJO"/>
    <n v="20602869564"/>
    <s v="TRANSPORTE Y CONSECIONARIO DE ALIMENTOS EL MANA SAC"/>
    <s v="202508"/>
    <x v="27"/>
    <n v="458.64"/>
    <x v="1"/>
  </r>
  <r>
    <s v="FLUJO"/>
    <n v="20603472242"/>
    <s v="EMBOTELLADORA CAMPO VERDE S.A.C."/>
    <s v="202508, 202507"/>
    <x v="27"/>
    <n v="260.54999999999995"/>
    <x v="1"/>
  </r>
  <r>
    <s v="FLUJO"/>
    <n v="20603513712"/>
    <s v="ENFIVAL TRANSPORTE GENERALES EIRL"/>
    <s v="202508, 202507"/>
    <x v="27"/>
    <n v="260.54999999999995"/>
    <x v="1"/>
  </r>
  <r>
    <s v="FLUJO"/>
    <n v="20604096031"/>
    <s v="VERIM SERVICIOS DE INGENIERIA E.I.R.L."/>
    <s v="202508, 202507, 202506"/>
    <x v="27"/>
    <n v="392.61999999999995"/>
    <x v="1"/>
  </r>
  <r>
    <s v="FLUJO"/>
    <n v="20604118779"/>
    <s v="ENDEAVOR E.I.R.L."/>
    <s v="202508"/>
    <x v="27"/>
    <n v="407.56"/>
    <x v="1"/>
  </r>
  <r>
    <s v="FLUJO"/>
    <n v="20606076895"/>
    <s v="SUMAQ YACHAYWASI CARRION SCRL"/>
    <s v="202508"/>
    <x v="27"/>
    <n v="259.52999999999997"/>
    <x v="1"/>
  </r>
  <r>
    <s v="FLUJO"/>
    <n v="20607936812"/>
    <s v="LIVING GREEN INTERNATIONAL S.A.C."/>
    <s v="202508"/>
    <x v="27"/>
    <n v="503.49"/>
    <x v="1"/>
  </r>
  <r>
    <s v="FLUJO"/>
    <n v="20609313626"/>
    <s v="CS-3 INGENIEROS E.I.R.L."/>
    <s v="202508, 202507, 202506, 202505"/>
    <x v="27"/>
    <n v="525.84999999999991"/>
    <x v="1"/>
  </r>
  <r>
    <s v="FLUJO"/>
    <n v="20609572770"/>
    <s v="IMPORTADORA Y DISTRIBUIDORA ARIANA EIRL"/>
    <s v="202508, 202507"/>
    <x v="27"/>
    <n v="287.32"/>
    <x v="1"/>
  </r>
  <r>
    <s v="FLUJO"/>
    <n v="20610173358"/>
    <s v="ANGELICA S y P E.I.R.L."/>
    <s v="202508"/>
    <x v="27"/>
    <n v="429.45"/>
    <x v="1"/>
  </r>
  <r>
    <s v="FLUJO"/>
    <n v="20611019476"/>
    <s v="TRANSPORTES Y SERVICIOS MELLIZOS S.A.C."/>
    <s v="202508, 202507, 202506, 202505"/>
    <x v="27"/>
    <n v="525.84999999999991"/>
    <x v="1"/>
  </r>
  <r>
    <s v="FLUJO"/>
    <n v="20611513489"/>
    <s v="GEP COMUNICACIONES SAC"/>
    <s v="202508"/>
    <x v="27"/>
    <n v="746.44"/>
    <x v="1"/>
  </r>
  <r>
    <s v="FLUJO"/>
    <n v="20612001775"/>
    <s v="CONECTING RED SACS"/>
    <s v="202508"/>
    <x v="27"/>
    <n v="336.47"/>
    <x v="1"/>
  </r>
  <r>
    <s v="FLUJO"/>
    <n v="20612470562"/>
    <s v="AGRO DISTRIBUIDORA AMARAL PIURA SAC"/>
    <s v="202508"/>
    <x v="27"/>
    <n v="549.96"/>
    <x v="1"/>
  </r>
  <r>
    <s v="FLUJO"/>
    <n v="20612937789"/>
    <s v="AMERICAN LOGISTICS GROUP Y ASSOCIATES SAC"/>
    <s v="202508"/>
    <x v="27"/>
    <n v="277.78999999999996"/>
    <x v="1"/>
  </r>
  <r>
    <s v="FLUJO"/>
    <n v="20613942468"/>
    <s v="INVERSIONES PISCA S.A.C."/>
    <s v="202508"/>
    <x v="27"/>
    <n v="545.36"/>
    <x v="1"/>
  </r>
  <r>
    <s v="FLUJO"/>
    <n v="20614000610"/>
    <s v="CORPORACION OROPEL S.A.C."/>
    <s v="202508"/>
    <x v="27"/>
    <n v="459.35"/>
    <x v="1"/>
  </r>
  <r>
    <s v="FLUJO"/>
    <n v="10055803311"/>
    <s v="ANGULO VDA.DE IDROGO ENITH"/>
    <s v="202507"/>
    <x v="27"/>
    <n v="138.9"/>
    <x v="1"/>
  </r>
  <r>
    <s v="FLUJO"/>
    <n v="10435256711"/>
    <s v="TORRES USCAMAYTA RENE"/>
    <s v="202507, 202508"/>
    <x v="27"/>
    <n v="499.71"/>
    <x v="1"/>
  </r>
  <r>
    <s v="FLUJO"/>
    <n v="20612889989"/>
    <s v="SH ODONTOZ HEALTH S.A.C."/>
    <s v="202507, 202508"/>
    <x v="27"/>
    <n v="260.42999999999995"/>
    <x v="1"/>
  </r>
  <r>
    <s v="FLUJO"/>
    <n v="20602188567"/>
    <s v="CENTRAL SYSTEM S.A.C"/>
    <s v="202506, 202508, 202507"/>
    <x v="27"/>
    <n v="655.49"/>
    <x v="1"/>
  </r>
  <r>
    <s v="FLUJO"/>
    <n v="20607969877"/>
    <s v="SAMIRIA JUNGLE HOTEL EIRL"/>
    <s v="202506, 202505"/>
    <x v="27"/>
    <n v="969.79"/>
    <x v="1"/>
  </r>
  <r>
    <s v="FLUJO"/>
    <n v="20612859435"/>
    <s v="OKANE PERUVIAN AND CHINESE FOOD EIRL"/>
    <s v="202506"/>
    <x v="27"/>
    <n v="342.46"/>
    <x v="1"/>
  </r>
  <r>
    <s v="FLUJO"/>
    <n v="10752224434"/>
    <s v="BACA GOMEZ MARIA SEGUNDA"/>
    <s v="202505, 202508, 202507, 202506"/>
    <x v="27"/>
    <n v="526.64"/>
    <x v="1"/>
  </r>
  <r>
    <s v="FLUJO"/>
    <n v="20600426673"/>
    <s v="UNION GASTRO SAC"/>
    <s v="202505, 202506, 202507"/>
    <x v="27"/>
    <n v="696.25"/>
    <x v="1"/>
  </r>
  <r>
    <s v="FLUJO"/>
    <n v="20610965777"/>
    <s v="J. BUILDING E.I.R.L."/>
    <s v="202504"/>
    <x v="27"/>
    <n v="142.72"/>
    <x v="1"/>
  </r>
  <r>
    <s v="PRESUNTA"/>
    <n v="20551703712"/>
    <s v="NM TELECOM SAC"/>
    <s v="202207, 202206"/>
    <x v="27"/>
    <n v="721.43000000000006"/>
    <x v="1"/>
  </r>
  <r>
    <s v="REAL TOTAL"/>
    <n v="20100170681"/>
    <s v="PRODUCTOS QUIMICOS INDUSTRIALES SA"/>
    <s v="200705"/>
    <x v="27"/>
    <n v="60.11"/>
    <x v="1"/>
  </r>
  <r>
    <s v="FLUJO"/>
    <n v="10076223403"/>
    <s v="OLASCUAGA QUESADA DE AYALA MARIA"/>
    <s v="202508, 202507, 202506, 202505, 202504"/>
    <x v="30"/>
    <n v="1311.24"/>
    <x v="1"/>
  </r>
  <r>
    <s v="FLUJO"/>
    <n v="10422904056"/>
    <s v="ROLANDO CHOQUE ITO"/>
    <s v="202508"/>
    <x v="30"/>
    <n v="287.09000000000003"/>
    <x v="1"/>
  </r>
  <r>
    <s v="FLUJO"/>
    <n v="20567292241"/>
    <s v="N.J.E. CONTRATISTAS SOCIEDAD ANONIMA CERRADA"/>
    <s v="202508, 202507, 202506, 202505"/>
    <x v="30"/>
    <n v="526.11"/>
    <x v="1"/>
  </r>
  <r>
    <s v="FLUJO"/>
    <n v="20568877099"/>
    <s v="YAHVE MINERIA Y CONSTRUCCION EIRL"/>
    <s v="202508"/>
    <x v="30"/>
    <n v="442.82"/>
    <x v="1"/>
  </r>
  <r>
    <s v="FLUJO"/>
    <n v="20612072907"/>
    <s v="SABOR A PERU S.A.C."/>
    <s v="202508"/>
    <x v="30"/>
    <n v="532.04999999999995"/>
    <x v="1"/>
  </r>
  <r>
    <s v="FLUJO"/>
    <n v="20481024171"/>
    <s v="DUBAI S.A.C"/>
    <s v="202505, 202504, 202507, 202506, 202508"/>
    <x v="30"/>
    <n v="883.54"/>
    <x v="1"/>
  </r>
  <r>
    <s v="FLUJO"/>
    <n v="20604444234"/>
    <s v="JS CONSULTORIA &amp; CONSTRUCCION EIRL"/>
    <s v="202503, 202502"/>
    <x v="30"/>
    <n v="2738.58"/>
    <x v="1"/>
  </r>
  <r>
    <s v="FLUJO"/>
    <n v="10091153136"/>
    <s v="EUSEBIO ZAPATA ARAPA"/>
    <s v="202508"/>
    <x v="28"/>
    <n v="334.52"/>
    <x v="1"/>
  </r>
  <r>
    <s v="FLUJO"/>
    <n v="10470198651"/>
    <s v="JOSE LUIS HERNANDEZ CRUZ"/>
    <s v="202508, 202507, 202505, 202504, 202506"/>
    <x v="28"/>
    <n v="660.7600000000001"/>
    <x v="1"/>
  </r>
  <r>
    <s v="FLUJO"/>
    <n v="20477677682"/>
    <s v="MUEBLERIA Y DECORACIONES MAYO E HIJOS EIRL"/>
    <s v="202508"/>
    <x v="28"/>
    <n v="229.67000000000002"/>
    <x v="1"/>
  </r>
  <r>
    <s v="FLUJO"/>
    <n v="20501610306"/>
    <s v="LABORATORIOS NUTRASURE S.A.C."/>
    <s v="202508"/>
    <x v="28"/>
    <n v="259.52999999999997"/>
    <x v="1"/>
  </r>
  <r>
    <s v="FLUJO"/>
    <n v="20506731209"/>
    <s v="COPMEC E.I.R.L."/>
    <s v="202508"/>
    <x v="28"/>
    <n v="218.19"/>
    <x v="1"/>
  </r>
  <r>
    <s v="FLUJO"/>
    <n v="20513644222"/>
    <s v="INTEXJHK S.A.C"/>
    <s v="202508, 202507, 202506"/>
    <x v="28"/>
    <n v="2789.93"/>
    <x v="1"/>
  </r>
  <r>
    <s v="FLUJO"/>
    <n v="20547326513"/>
    <s v="PERUVIAN BUSINESS CONSULTING SAC"/>
    <s v="202508"/>
    <x v="28"/>
    <n v="229.67000000000002"/>
    <x v="1"/>
  </r>
  <r>
    <s v="FLUJO"/>
    <n v="20550330483"/>
    <s v="EDICIONES TECNOLOGICAS Y CIENTIFICAS S.A.C."/>
    <s v="202508"/>
    <x v="28"/>
    <n v="287.09000000000003"/>
    <x v="1"/>
  </r>
  <r>
    <s v="FLUJO"/>
    <n v="20600739540"/>
    <s v="MINERA EL GRAN AMANECER SAC"/>
    <s v="202508"/>
    <x v="28"/>
    <n v="344.51"/>
    <x v="1"/>
  </r>
  <r>
    <s v="FLUJO"/>
    <n v="20601508657"/>
    <s v="MAYADIRI E.I.R.L."/>
    <s v="202508"/>
    <x v="28"/>
    <n v="248.39000000000001"/>
    <x v="1"/>
  </r>
  <r>
    <s v="FLUJO"/>
    <n v="20601952450"/>
    <s v="GRUPO CARTRANSAVILL SAC"/>
    <s v="202508, 202507"/>
    <x v="28"/>
    <n v="260.68"/>
    <x v="1"/>
  </r>
  <r>
    <s v="FLUJO"/>
    <n v="20602428568"/>
    <s v="GRUPO DETECTTO SAC"/>
    <s v="202508"/>
    <x v="28"/>
    <n v="287.09000000000003"/>
    <x v="1"/>
  </r>
  <r>
    <s v="FLUJO"/>
    <n v="20602433138"/>
    <s v="OBRAS Y PROYECTOS J Y M S.A.C."/>
    <s v="202508, 202507"/>
    <x v="28"/>
    <n v="1108.44"/>
    <x v="1"/>
  </r>
  <r>
    <s v="FLUJO"/>
    <n v="20604243263"/>
    <s v="NIMASUR AUTOMOTRIZ S.A.C."/>
    <s v="202508"/>
    <x v="28"/>
    <n v="359.27000000000004"/>
    <x v="1"/>
  </r>
  <r>
    <s v="FLUJO"/>
    <n v="20607390909"/>
    <s v="SERVICIO Y DISTRIBUCION VALENTINA S.A.C."/>
    <s v="202508"/>
    <x v="28"/>
    <n v="259.52999999999997"/>
    <x v="1"/>
  </r>
  <r>
    <s v="FLUJO"/>
    <n v="20608844415"/>
    <s v="DISTRIBUIDORA FERREMA S.A.C."/>
    <s v="202508"/>
    <x v="28"/>
    <n v="242.65"/>
    <x v="1"/>
  </r>
  <r>
    <s v="FLUJO"/>
    <n v="20608946200"/>
    <s v="CONSULTORIA Y SERVICIOS GENERALES R Y V EIRL"/>
    <s v="202508"/>
    <x v="28"/>
    <n v="689.02"/>
    <x v="1"/>
  </r>
  <r>
    <s v="FLUJO"/>
    <n v="20609541203"/>
    <s v="GyM ENERGY SAC"/>
    <s v="202508"/>
    <x v="28"/>
    <n v="676.62"/>
    <x v="1"/>
  </r>
  <r>
    <s v="FLUJO"/>
    <n v="20609694905"/>
    <s v="BARRA FUTURA SAC"/>
    <s v="202508"/>
    <x v="28"/>
    <n v="342.25"/>
    <x v="1"/>
  </r>
  <r>
    <s v="FLUJO"/>
    <n v="20610990747"/>
    <s v="CORPORACION AGRANZA SAC"/>
    <s v="202508"/>
    <x v="28"/>
    <n v="272.51"/>
    <x v="1"/>
  </r>
  <r>
    <s v="FLUJO"/>
    <n v="20611143274"/>
    <s v="TEXTIPLAST SUPPLY S.A.C."/>
    <s v="202508"/>
    <x v="28"/>
    <n v="219.68"/>
    <x v="1"/>
  </r>
  <r>
    <s v="FLUJO"/>
    <n v="20612058572"/>
    <s v="ESTRUCTURAS METALICAS TECD S.A.C."/>
    <s v="202508"/>
    <x v="28"/>
    <n v="229.67000000000002"/>
    <x v="1"/>
  </r>
  <r>
    <s v="FLUJO"/>
    <n v="20613293419"/>
    <s v="LOGISTICA ANDES DEL NORTE SAC"/>
    <s v="202508"/>
    <x v="28"/>
    <n v="518.29"/>
    <x v="1"/>
  </r>
  <r>
    <s v="FLUJO"/>
    <n v="20613624032"/>
    <s v="CONSORCIO HOZEGA"/>
    <s v="202508"/>
    <x v="28"/>
    <n v="1097.3499999999999"/>
    <x v="1"/>
  </r>
  <r>
    <s v="FLUJO"/>
    <n v="20613896288"/>
    <s v="A Y M04 S.A.C."/>
    <s v="202508"/>
    <x v="28"/>
    <n v="259.52999999999997"/>
    <x v="1"/>
  </r>
  <r>
    <s v="FLUJO"/>
    <n v="20605464689"/>
    <s v="CLINT PERU EIRL"/>
    <s v="202507, 202508"/>
    <x v="28"/>
    <n v="260.81"/>
    <x v="1"/>
  </r>
  <r>
    <s v="FLUJO"/>
    <n v="20606376627"/>
    <s v="CONSORCIO VIAL KUELAP"/>
    <s v="202507, 202508"/>
    <x v="28"/>
    <n v="3062.7400000000002"/>
    <x v="1"/>
  </r>
  <r>
    <s v="FLUJO"/>
    <n v="20607525839"/>
    <s v="Wayra transporte de carga sociedad anÃ³nima cerrada"/>
    <s v="202507, 202508"/>
    <x v="28"/>
    <n v="462.30000000000007"/>
    <x v="1"/>
  </r>
  <r>
    <s v="FLUJO"/>
    <n v="20613455893"/>
    <s v="CONSORCIO NINABAMBA"/>
    <s v="202507, 202508"/>
    <x v="28"/>
    <n v="480.06999999999994"/>
    <x v="1"/>
  </r>
  <r>
    <s v="FLUJO"/>
    <n v="20480174951"/>
    <s v="PUBLICACIONES PACIFICO SAC"/>
    <s v="202506"/>
    <x v="28"/>
    <n v="134.4"/>
    <x v="1"/>
  </r>
  <r>
    <s v="FLUJO"/>
    <n v="20493233361"/>
    <s v="CONSORCIO OPTIMUS S.R.L."/>
    <s v="202506, 202508, 202507"/>
    <x v="28"/>
    <n v="1302.01"/>
    <x v="1"/>
  </r>
  <r>
    <s v="FLUJO"/>
    <n v="20565571134"/>
    <s v="CMD CORPORACION AUTOMOTRIZ E.I.R.L."/>
    <s v="202505"/>
    <x v="28"/>
    <n v="336.36"/>
    <x v="1"/>
  </r>
  <r>
    <s v="FLUJO"/>
    <n v="20611460521"/>
    <s v="FRAGGA SERVICES EIRL"/>
    <s v="202505, 202508, 202507, 202506"/>
    <x v="28"/>
    <n v="527.54999999999995"/>
    <x v="1"/>
  </r>
  <r>
    <s v="PRESUNTA"/>
    <n v="20527818762"/>
    <s v="MUNDO DENTAL EIRL"/>
    <s v="202508"/>
    <x v="28"/>
    <n v="77.86"/>
    <x v="1"/>
  </r>
  <r>
    <s v="REAL TOTAL"/>
    <n v="20554078789"/>
    <s v="HEXYTOSA EIRL"/>
    <s v="201904, 201903, 201902, 201901, 201812"/>
    <x v="28"/>
    <n v="950.32999999999993"/>
    <x v="1"/>
  </r>
  <r>
    <s v="FLUJO"/>
    <n v="10001106878"/>
    <s v="FERNANDO GRANDEZ ZARATE"/>
    <s v="202508"/>
    <x v="31"/>
    <n v="259.79000000000002"/>
    <x v="1"/>
  </r>
  <r>
    <s v="FLUJO"/>
    <n v="10181316336"/>
    <s v="MAQUI RUIZ BETTY MILAGROS"/>
    <s v="202508"/>
    <x v="31"/>
    <n v="237.95"/>
    <x v="1"/>
  </r>
  <r>
    <s v="FLUJO"/>
    <n v="10306754535"/>
    <s v="PETRONILA JENNY PARI SOTO"/>
    <s v="202508, 202507, 202506, 202505"/>
    <x v="31"/>
    <n v="526.38"/>
    <x v="1"/>
  </r>
  <r>
    <s v="FLUJO"/>
    <n v="10401937094"/>
    <s v="ALCANTARA TINCO OTILIA"/>
    <s v="202508, 202507, 202506, 202505, 202504"/>
    <x v="31"/>
    <n v="1805.42"/>
    <x v="1"/>
  </r>
  <r>
    <s v="FLUJO"/>
    <n v="10780196594"/>
    <s v="ESCALANTE ROSALES CINTHYA NATALI ENMA"/>
    <s v="202508, 202507, 202506, 202504, 202503"/>
    <x v="31"/>
    <n v="663.22"/>
    <x v="1"/>
  </r>
  <r>
    <s v="FLUJO"/>
    <n v="20103809445"/>
    <s v="AKENPEC TRANSPORTES Y OPERACIONES LOGISTICAS S.A.C"/>
    <s v="202508"/>
    <x v="31"/>
    <n v="339.07000000000005"/>
    <x v="1"/>
  </r>
  <r>
    <s v="FLUJO"/>
    <n v="20448202004"/>
    <s v="COOPERATIVA MINERA SANTA ROSA DE ANANEA LTDA"/>
    <s v="202508"/>
    <x v="31"/>
    <n v="344.85"/>
    <x v="1"/>
  </r>
  <r>
    <s v="FLUJO"/>
    <n v="20509113069"/>
    <s v="TAHUA POTTERY SAC"/>
    <s v="202508"/>
    <x v="31"/>
    <n v="210.75"/>
    <x v="1"/>
  </r>
  <r>
    <s v="FLUJO"/>
    <n v="20513477148"/>
    <s v="Impresos Graficos Comerciales EIRL"/>
    <s v="202508, 202507, 202506, 202505"/>
    <x v="31"/>
    <n v="1022.34"/>
    <x v="1"/>
  </r>
  <r>
    <s v="FLUJO"/>
    <n v="20520834517"/>
    <s v="REMAN CONSTRUCCIONES E INMOBILIARIA SAC"/>
    <s v="202508"/>
    <x v="31"/>
    <n v="1079.96"/>
    <x v="1"/>
  </r>
  <r>
    <s v="FLUJO"/>
    <n v="20530009832"/>
    <s v="CENTRO DE SALUD RENAL SAN MATIAS S.A.C."/>
    <s v="202508, 202507"/>
    <x v="31"/>
    <n v="642.81999999999994"/>
    <x v="1"/>
  </r>
  <r>
    <s v="FLUJO"/>
    <n v="20554095012"/>
    <s v="J Y N GROUP INSTALL WORLD S.A.C. - INSTALL WORLD S.A.C."/>
    <s v="202508, 202507, 202506"/>
    <x v="31"/>
    <n v="393.02"/>
    <x v="1"/>
  </r>
  <r>
    <s v="FLUJO"/>
    <n v="20554557679"/>
    <s v="IEP NUESTRA SENORA DEL ROSARIO SOCIEDAD COMERCIAL DE RESPON"/>
    <s v="202508"/>
    <x v="31"/>
    <n v="1357.4499999999998"/>
    <x v="1"/>
  </r>
  <r>
    <s v="FLUJO"/>
    <n v="20556106496"/>
    <s v="TRANSPORTES OMAR DAGA VALDIVIESO S.A.C."/>
    <s v="202508"/>
    <x v="31"/>
    <n v="415.65999999999997"/>
    <x v="1"/>
  </r>
  <r>
    <s v="FLUJO"/>
    <n v="20558148641"/>
    <s v="GRUPO GOLDEN SERVICE EIRL"/>
    <s v="202508, 202507, 202506"/>
    <x v="31"/>
    <n v="393.02"/>
    <x v="1"/>
  </r>
  <r>
    <s v="FLUJO"/>
    <n v="20558353814"/>
    <s v="TACONSER E.I.R.L."/>
    <s v="202508"/>
    <x v="31"/>
    <n v="279.33"/>
    <x v="1"/>
  </r>
  <r>
    <s v="FLUJO"/>
    <n v="20561130966"/>
    <s v="DAISMOL CONTRATISTAS GENERALES S.A.C."/>
    <s v="202508"/>
    <x v="31"/>
    <n v="717.64"/>
    <x v="1"/>
  </r>
  <r>
    <s v="FLUJO"/>
    <n v="20600042611"/>
    <s v="ARCES SOLUTIONS E.I.R.L."/>
    <s v="202508, 202507, 202506, 202505, 202504, 202503, 202502, 202501"/>
    <x v="31"/>
    <n v="1071.4099999999999"/>
    <x v="1"/>
  </r>
  <r>
    <s v="FLUJO"/>
    <n v="20600234715"/>
    <s v="COMERCIALIZADORA GUIROM SRL"/>
    <s v="202508"/>
    <x v="31"/>
    <n v="285.76"/>
    <x v="1"/>
  </r>
  <r>
    <s v="FLUJO"/>
    <n v="20600493150"/>
    <s v="ANTARES MANTENIMIENTO INDUSTRIAL SAC"/>
    <s v="202508"/>
    <x v="31"/>
    <n v="298.52999999999997"/>
    <x v="1"/>
  </r>
  <r>
    <s v="FLUJO"/>
    <n v="20601404061"/>
    <s v="JHONSON SOLUTIONS S.A.C."/>
    <s v="202508"/>
    <x v="31"/>
    <n v="287.38"/>
    <x v="1"/>
  </r>
  <r>
    <s v="FLUJO"/>
    <n v="20603731507"/>
    <s v="A Y M CONSTRUCTORA SOCIEDAD ANONIMA CERRADA"/>
    <s v="202508, 202507, 202506"/>
    <x v="31"/>
    <n v="393.02"/>
    <x v="1"/>
  </r>
  <r>
    <s v="FLUJO"/>
    <n v="20603981040"/>
    <s v="DISTRIBUIDORA E IMPORTACIONES REYNA S.A.C."/>
    <s v="202508"/>
    <x v="31"/>
    <n v="242.89000000000001"/>
    <x v="1"/>
  </r>
  <r>
    <s v="FLUJO"/>
    <n v="20604662398"/>
    <s v="LPF FRANCHISING S.A.C"/>
    <s v="202508"/>
    <x v="31"/>
    <n v="221.48"/>
    <x v="1"/>
  </r>
  <r>
    <s v="FLUJO"/>
    <n v="20605825061"/>
    <s v="UROGARDI S.A.C."/>
    <s v="202508"/>
    <x v="31"/>
    <n v="208.39999999999998"/>
    <x v="1"/>
  </r>
  <r>
    <s v="FLUJO"/>
    <n v="20608458281"/>
    <s v="INVERSIONES CORAZON PURO PERU E.I.R.L."/>
    <s v="202508"/>
    <x v="31"/>
    <n v="246.8"/>
    <x v="1"/>
  </r>
  <r>
    <s v="FLUJO"/>
    <n v="20608909576"/>
    <s v="CONSTRUCTORA E INMOBILIARIA CHIRA VERDE S.A.C."/>
    <s v="202508, 202507"/>
    <x v="31"/>
    <n v="260.81"/>
    <x v="1"/>
  </r>
  <r>
    <s v="FLUJO"/>
    <n v="20611247886"/>
    <s v="PETGO AGENCIA DE VIAJES DE ANIMALES DE COMPAÃ‘IA E.I.R.L."/>
    <s v="202508"/>
    <x v="31"/>
    <n v="620.73"/>
    <x v="1"/>
  </r>
  <r>
    <s v="FLUJO"/>
    <n v="20613474057"/>
    <s v="SALUD MI AMOR S.A.C."/>
    <s v="202508"/>
    <x v="31"/>
    <n v="295.38"/>
    <x v="1"/>
  </r>
  <r>
    <s v="FLUJO"/>
    <n v="20613925849"/>
    <s v="RODRIGO PLASTICS E.I.R.L."/>
    <s v="202508"/>
    <x v="31"/>
    <n v="355.08000000000004"/>
    <x v="1"/>
  </r>
  <r>
    <s v="FLUJO"/>
    <n v="20613979779"/>
    <s v="TDD INVERSIONES SAC"/>
    <s v="202508, 202507"/>
    <x v="31"/>
    <n v="260.81"/>
    <x v="1"/>
  </r>
  <r>
    <s v="FLUJO"/>
    <n v="20613988492"/>
    <s v="GRUPO BENICK LATAMSERVICE S.A.C"/>
    <s v="202508, 202507"/>
    <x v="31"/>
    <n v="598.97"/>
    <x v="1"/>
  </r>
  <r>
    <s v="FLUJO"/>
    <n v="10316732009"/>
    <s v="ALEGRE TORRES DIANA YESSICA"/>
    <s v="202507"/>
    <x v="31"/>
    <n v="246.06"/>
    <x v="1"/>
  </r>
  <r>
    <s v="FLUJO"/>
    <n v="20601417937"/>
    <s v="AGROPECUARIA DUMAN S.A.C."/>
    <s v="202507"/>
    <x v="31"/>
    <n v="210.26999999999998"/>
    <x v="1"/>
  </r>
  <r>
    <s v="FLUJO"/>
    <n v="20610764691"/>
    <s v="STUDIO 27 CREATING BEAUTY S.A.C."/>
    <s v="202507, 202506, 202505"/>
    <x v="31"/>
    <n v="396.49"/>
    <x v="1"/>
  </r>
  <r>
    <s v="FLUJO"/>
    <n v="20545240212"/>
    <s v="HEPAS MAQUINARIAS EIRL"/>
    <s v="202404, 202403, 202402"/>
    <x v="31"/>
    <n v="1145.6200000000001"/>
    <x v="1"/>
  </r>
  <r>
    <s v="PRESUNTA"/>
    <n v="20545781485"/>
    <s v="GRUPO BAX SAC"/>
    <s v="202305, 202304"/>
    <x v="31"/>
    <n v="161.44"/>
    <x v="1"/>
  </r>
  <r>
    <s v="PRESUNTA"/>
    <n v="20607496430"/>
    <s v="JYM BRUDER S.A.C."/>
    <s v="202205"/>
    <x v="31"/>
    <n v="302.85000000000002"/>
    <x v="1"/>
  </r>
  <r>
    <s v="PRESUNTA"/>
    <n v="20602804055"/>
    <s v="WG HOLZ S.A.C."/>
    <s v="202202, 202201, 202112, 202111, 202110, 202109, 202108, 202107, 202106, 202105, 202004, 202003, 202002, 202001, 201912, 201911, 202212, 202211, 202210, 202209, 202208, 202207, 202206, 202205, 202204, 202203, 202402, 202401, 202312, 202311, 202310, 202309, 202308, 202307, 202306, 202305, 202304, 202303, 202302, 202301, 202501, 202412, 202411, 202410, 202409, 202408, 202407, 202406, 202405, 202404, 202403, 202508, 202507, 202506, 202505, 202504, 202503, 202502"/>
    <x v="31"/>
    <n v="10808.81"/>
    <x v="1"/>
  </r>
  <r>
    <s v="REAL TOTAL"/>
    <n v="20605242937"/>
    <s v="TRANSPÃ“RTES NUEVO HORIZONTE Y.M. EIRL"/>
    <s v="202503"/>
    <x v="31"/>
    <n v="682.32999999999993"/>
    <x v="1"/>
  </r>
  <r>
    <s v="REAL TOTAL"/>
    <n v="10079417616"/>
    <s v="CRUZ MORANTE JOHANNA"/>
    <s v="201101"/>
    <x v="31"/>
    <n v="47.129999999999995"/>
    <x v="1"/>
  </r>
  <r>
    <s v="REDIRECCIONAMIENTO"/>
    <n v="20456334971"/>
    <s v="DISTRIBUIDORA MADEX SOCIEDAD ANONIMA CERRADA"/>
    <s v="201406"/>
    <x v="31"/>
    <n v="479.98"/>
    <x v="1"/>
  </r>
  <r>
    <s v="REDIRECCIONAMIENTO"/>
    <n v="20565246144"/>
    <s v="CORPORACION ELECTRO SVM E.I.R.L."/>
    <s v="201411, 201412, 201501, 201502"/>
    <x v="31"/>
    <n v="878.62999999999988"/>
    <x v="1"/>
  </r>
  <r>
    <s v="REDIRECCIONAMIENTO"/>
    <n v="20503986419"/>
    <s v="LANGUAGE TRAINING CENTER PERU SA"/>
    <s v="200807, 200808, 200809, 200810, 200811, 200812, 200902, 200903, 200904, 201008, 201012"/>
    <x v="31"/>
    <n v="11269.519999999999"/>
    <x v="1"/>
  </r>
  <r>
    <s v="REDIRECCIONAMIENTO"/>
    <n v="20514740152"/>
    <s v="SERVICIOS TECNICOS DE INGENIERIA INDUSTRIAL METALICA SOCIEDAD COMERCIAL DE RESPONSABILIDAD LIMITADA"/>
    <s v="200801, 200802, 200803, 200804"/>
    <x v="31"/>
    <n v="13122.090000000002"/>
    <x v="1"/>
  </r>
  <r>
    <s v="FLUJO"/>
    <n v="10067565148"/>
    <s v="LLERENA CANO DOBERT GUIDO"/>
    <s v="202508"/>
    <x v="32"/>
    <n v="283.07"/>
    <x v="1"/>
  </r>
  <r>
    <s v="FLUJO"/>
    <n v="10105351173"/>
    <s v="VALLADOLID RODRIGUEZ MILAGRITOS PRISVETT"/>
    <s v="202508"/>
    <x v="32"/>
    <n v="432.21999999999997"/>
    <x v="1"/>
  </r>
  <r>
    <s v="FLUJO"/>
    <n v="10413861468"/>
    <s v="Karin Rosario Ticona Barbaran"/>
    <s v="202508"/>
    <x v="32"/>
    <n v="236.8"/>
    <x v="1"/>
  </r>
  <r>
    <s v="FLUJO"/>
    <n v="10455500261"/>
    <s v="ALEJANDRA JAKELINA VENTURA ABAD"/>
    <s v="202508"/>
    <x v="32"/>
    <n v="259.79000000000002"/>
    <x v="1"/>
  </r>
  <r>
    <s v="FLUJO"/>
    <n v="20445722147"/>
    <s v="EMPRESA DE INGENIERIA Y MONTAJE S.A.C."/>
    <s v="202508, 202507"/>
    <x v="32"/>
    <n v="208.52999999999997"/>
    <x v="1"/>
  </r>
  <r>
    <s v="FLUJO"/>
    <n v="20527831432"/>
    <s v="LADRILLOS MURALLA S.C.RLTDA"/>
    <s v="202508, 202507"/>
    <x v="32"/>
    <n v="287.04999999999995"/>
    <x v="1"/>
  </r>
  <r>
    <s v="FLUJO"/>
    <n v="20542410621"/>
    <s v="ALMANZA Y ROJAS CONTRATISTAS EIRL"/>
    <s v="202508, 202507"/>
    <x v="32"/>
    <n v="260.94"/>
    <x v="1"/>
  </r>
  <r>
    <s v="FLUJO"/>
    <n v="20557208195"/>
    <s v="C Y R EDUCA SAC"/>
    <s v="202508"/>
    <x v="32"/>
    <n v="229.89999999999998"/>
    <x v="1"/>
  </r>
  <r>
    <s v="FLUJO"/>
    <n v="20601372933"/>
    <s v="DISTRIBUIDORA NIGXA S.A.C."/>
    <s v="202508"/>
    <x v="32"/>
    <n v="574.75"/>
    <x v="1"/>
  </r>
  <r>
    <s v="FLUJO"/>
    <n v="20603086776"/>
    <s v="grupo gyd sac"/>
    <s v="202508, 202507"/>
    <x v="32"/>
    <n v="260.94"/>
    <x v="1"/>
  </r>
  <r>
    <s v="FLUJO"/>
    <n v="20604251401"/>
    <s v="H L H CONTRATISTA GENERALES SAC"/>
    <s v="202508"/>
    <x v="32"/>
    <n v="402.33000000000004"/>
    <x v="1"/>
  </r>
  <r>
    <s v="FLUJO"/>
    <n v="20608422022"/>
    <s v="AGRONEGOCIOS SOGASIM S.A.C."/>
    <s v="202508"/>
    <x v="32"/>
    <n v="229.89999999999998"/>
    <x v="1"/>
  </r>
  <r>
    <s v="FLUJO"/>
    <n v="20610437916"/>
    <s v="AYLA MEDIC S.A.C."/>
    <s v="202508"/>
    <x v="32"/>
    <n v="574.75"/>
    <x v="1"/>
  </r>
  <r>
    <s v="FLUJO"/>
    <n v="20612047708"/>
    <s v="M Y M RESOLVE SOLUTIONS SAC"/>
    <s v="202508"/>
    <x v="32"/>
    <n v="450.5"/>
    <x v="1"/>
  </r>
  <r>
    <s v="FLUJO"/>
    <n v="20612237183"/>
    <s v="MULTISERVIS CGA S.A.C."/>
    <s v="202508"/>
    <x v="32"/>
    <n v="287.38"/>
    <x v="1"/>
  </r>
  <r>
    <s v="FLUJO"/>
    <n v="20600491211"/>
    <s v="TRANSPORTES Y LIMPIEZA OCCO S.A.C."/>
    <s v="202507, 202506, 202505, 202504"/>
    <x v="32"/>
    <n v="940.30000000000007"/>
    <x v="1"/>
  </r>
  <r>
    <s v="REAL TOTAL"/>
    <n v="20533620443"/>
    <s v="EMPRESA DE TRANSPORTE Y SERVICIOS MULTIPLES  JVG SRL"/>
    <s v="202503"/>
    <x v="32"/>
    <n v="27.400000000000002"/>
    <x v="1"/>
  </r>
  <r>
    <s v="REAL TOTAL"/>
    <n v="20605647856"/>
    <s v="JLP CONTRATISTAS GENERALES S.A.C."/>
    <s v="202503"/>
    <x v="32"/>
    <n v="149.38999999999999"/>
    <x v="1"/>
  </r>
  <r>
    <s v="REAL TOTAL"/>
    <n v="20603840250"/>
    <s v="JRJ PORTATIL PERÃš S.A.C."/>
    <s v="202202, 202201, 202112"/>
    <x v="32"/>
    <n v="466.78999999999996"/>
    <x v="1"/>
  </r>
  <r>
    <s v="FLUJO"/>
    <n v="20506436461"/>
    <s v="CEP CHRISTIAN BARNARD SAC"/>
    <s v="202508"/>
    <x v="33"/>
    <n v="278.07"/>
    <x v="1"/>
  </r>
  <r>
    <s v="FLUJO"/>
    <n v="20607713368"/>
    <s v="INACONS INGENIERIA Y CONSTRUCCION SOCIEDAD ANONIMA CERRADA"/>
    <s v="202508"/>
    <x v="33"/>
    <n v="630.1"/>
    <x v="1"/>
  </r>
  <r>
    <s v="FLUJO"/>
    <n v="20545529123"/>
    <s v="INVERSIONES Y SERVICIOS TARMA SAC"/>
    <s v="202503, 202505, 202504, 202507, 202506"/>
    <x v="33"/>
    <n v="1774.76"/>
    <x v="1"/>
  </r>
  <r>
    <s v="FLUJO"/>
    <n v="10430842094"/>
    <s v="CORONEL NEIRA VANESSA JACQUELINE"/>
    <s v="202508"/>
    <x v="34"/>
    <n v="390.61"/>
    <x v="1"/>
  </r>
  <r>
    <s v="FLUJO"/>
    <n v="20438509039"/>
    <s v="COMPURED SAC"/>
    <s v="202508"/>
    <x v="34"/>
    <n v="242.89000000000001"/>
    <x v="1"/>
  </r>
  <r>
    <s v="FLUJO"/>
    <n v="20449356943"/>
    <s v="CORPORACION TOMMY SAC"/>
    <s v="202508, 202507, 202506, 202505, 202504, 202503"/>
    <x v="34"/>
    <n v="1410.56"/>
    <x v="1"/>
  </r>
  <r>
    <s v="FLUJO"/>
    <n v="20474382924"/>
    <s v="CENTRO DE SERVICIOS PRODUCCION Y ORIENTACION FAMILIAR"/>
    <s v="202508"/>
    <x v="34"/>
    <n v="262.42"/>
    <x v="1"/>
  </r>
  <r>
    <s v="FLUJO"/>
    <n v="20481110760"/>
    <s v="CONSORCIO SALUD EDUCATIVA COBBA SRL"/>
    <s v="202508"/>
    <x v="34"/>
    <n v="407.33000000000004"/>
    <x v="1"/>
  </r>
  <r>
    <s v="FLUJO"/>
    <n v="20488249356"/>
    <s v="EMPRESA DE SERVICIOS MULTIPLES RAMON CASTILLA S.A."/>
    <s v="202508, 202507"/>
    <x v="34"/>
    <n v="828.43000000000006"/>
    <x v="1"/>
  </r>
  <r>
    <s v="FLUJO"/>
    <n v="20521850923"/>
    <s v="GLOBAL SKY SAC"/>
    <s v="202508"/>
    <x v="34"/>
    <n v="407.96000000000004"/>
    <x v="1"/>
  </r>
  <r>
    <s v="FLUJO"/>
    <n v="20555337419"/>
    <s v="NEGOCIACIONES FERRYCENTER SAC"/>
    <s v="202508"/>
    <x v="34"/>
    <n v="344.85"/>
    <x v="1"/>
  </r>
  <r>
    <s v="FLUJO"/>
    <n v="20559743225"/>
    <s v="MOLINOS MAIZAR PERU SAC"/>
    <s v="202508, 202507, 202506, 202505, 202504"/>
    <x v="34"/>
    <n v="718.15"/>
    <x v="1"/>
  </r>
  <r>
    <s v="FLUJO"/>
    <n v="20601232660"/>
    <s v="CONTRATISTAS Y SERVICIOS HEMA S.R.L."/>
    <s v="202508"/>
    <x v="34"/>
    <n v="365.21999999999997"/>
    <x v="1"/>
  </r>
  <r>
    <s v="FLUJO"/>
    <n v="20603361904"/>
    <s v="EMPRESA DE TRANSPORTE A.G. PERU S.A.C."/>
    <s v="202508"/>
    <x v="34"/>
    <n v="459.79999999999995"/>
    <x v="1"/>
  </r>
  <r>
    <s v="FLUJO"/>
    <n v="20608562720"/>
    <s v="AGROINDUSTRIAL AGK TRADING SOCIEDAD ANONIMA CERRADA"/>
    <s v="202508, 202507, 202506, 202505, 202504, 202503, 202502"/>
    <x v="34"/>
    <n v="1737.66"/>
    <x v="1"/>
  </r>
  <r>
    <s v="FLUJO"/>
    <n v="20610289887"/>
    <s v="ACTION MEDIC S.A.C."/>
    <s v="202508"/>
    <x v="34"/>
    <n v="402.66999999999996"/>
    <x v="1"/>
  </r>
  <r>
    <s v="FLUJO"/>
    <n v="20611941375"/>
    <s v="ADVICE Y  MANAGEMENT IN CONSULTANCY E.I.R.L."/>
    <s v="202508, 202507, 202506, 202505, 202504, 202503"/>
    <x v="34"/>
    <n v="796.96"/>
    <x v="1"/>
  </r>
  <r>
    <s v="FLUJO"/>
    <n v="20613337955"/>
    <s v="infinity co Beauty salon sac"/>
    <s v="202508"/>
    <x v="34"/>
    <n v="287.38"/>
    <x v="1"/>
  </r>
  <r>
    <s v="FLUJO"/>
    <n v="20614312166"/>
    <s v="CONSORCIO PAVIMENTADOR DEL NORTE"/>
    <s v="202508"/>
    <x v="34"/>
    <n v="584.52"/>
    <x v="1"/>
  </r>
  <r>
    <s v="FLUJO"/>
    <n v="20603316119"/>
    <s v="MSM GENERACION DE DEMANDA S.A.C."/>
    <s v="202507, 202508"/>
    <x v="34"/>
    <n v="1306.6599999999999"/>
    <x v="1"/>
  </r>
  <r>
    <s v="FLUJO"/>
    <n v="20556100617"/>
    <s v="EMPRESA DE TRANSPORTE MULTISERVICIOS J.P. RACING S.A.C."/>
    <s v="202506, 202507"/>
    <x v="34"/>
    <n v="606.90000000000009"/>
    <x v="1"/>
  </r>
  <r>
    <s v="FLUJO"/>
    <n v="20612208892"/>
    <s v="CORPORACION AMBIOR E.I.R.L."/>
    <s v="202506, 202508"/>
    <x v="34"/>
    <n v="464.8"/>
    <x v="1"/>
  </r>
  <r>
    <s v="REAL TOTAL"/>
    <n v="20462256940"/>
    <s v="ASYM INDUSTRIAL S.A.C."/>
    <s v="202503, 202502"/>
    <x v="34"/>
    <n v="2368"/>
    <x v="1"/>
  </r>
  <r>
    <s v="REAL TOTAL"/>
    <n v="20609241820"/>
    <s v="W VIAL SRL"/>
    <s v="202404"/>
    <x v="34"/>
    <n v="416.28"/>
    <x v="1"/>
  </r>
  <r>
    <s v="REAL TOTAL"/>
    <n v="20107494848"/>
    <s v="ADMINISTRACION DE SERVICIOS MEDICOS SA"/>
    <s v="200812"/>
    <x v="34"/>
    <n v="80.569999999999993"/>
    <x v="1"/>
  </r>
  <r>
    <s v="REDIRECCIONAMIENTO"/>
    <n v="20519499780"/>
    <s v=" COPY FAST TECH S.A.C."/>
    <s v="200908, 200909, 200911, 200912, 201001, 201002, 201003, 201005, 201006, 201007, 201008, 201009, 201011, 201012"/>
    <x v="34"/>
    <n v="4455.71"/>
    <x v="1"/>
  </r>
  <r>
    <s v="FLUJO"/>
    <n v="10104266067"/>
    <s v="HUGO DAVID CALDAS VIA"/>
    <s v="202508, 202507, 202506, 202505, 202504, 202503, 202502"/>
    <x v="35"/>
    <n v="1685.08"/>
    <x v="1"/>
  </r>
  <r>
    <s v="FLUJO"/>
    <n v="10306553297"/>
    <s v="MAGNOLIA ROSARIO SERRANO ABARCA"/>
    <s v="202508, 202507, 202506, 202505, 202504, 202503"/>
    <x v="35"/>
    <n v="797.34000000000015"/>
    <x v="1"/>
  </r>
  <r>
    <s v="FLUJO"/>
    <n v="10417328357"/>
    <s v="PAUCAR YALAN JANETH VIRGINIA"/>
    <s v="202508, 202507"/>
    <x v="35"/>
    <n v="366.41"/>
    <x v="1"/>
  </r>
  <r>
    <s v="FLUJO"/>
    <n v="20498014594"/>
    <s v="HARDWARE AND BUSINESS"/>
    <s v="202508"/>
    <x v="35"/>
    <n v="345.19000000000005"/>
    <x v="1"/>
  </r>
  <r>
    <s v="FLUJO"/>
    <n v="20510017880"/>
    <s v="EMPRESA DE TRANSPORTES PICKMAN SRL"/>
    <s v="202508, 202507"/>
    <x v="35"/>
    <n v="415.87"/>
    <x v="1"/>
  </r>
  <r>
    <s v="FLUJO"/>
    <n v="20522270629"/>
    <s v="MAIDO PERU S.A.C."/>
    <s v="202508, 202507, 202506, 202505"/>
    <x v="35"/>
    <n v="526.90000000000009"/>
    <x v="1"/>
  </r>
  <r>
    <s v="FLUJO"/>
    <n v="20557295730"/>
    <s v="VIGIZA CARGO S A C"/>
    <s v="202508"/>
    <x v="35"/>
    <n v="260.04000000000002"/>
    <x v="1"/>
  </r>
  <r>
    <s v="FLUJO"/>
    <n v="20602260179"/>
    <s v="LABORATORIO CLINICO RSC SAC."/>
    <s v="202508"/>
    <x v="35"/>
    <n v="244.38"/>
    <x v="1"/>
  </r>
  <r>
    <s v="FLUJO"/>
    <n v="20602360670"/>
    <s v="HEALTHY CHOCOLATE S.A.C."/>
    <s v="202508, 202507"/>
    <x v="35"/>
    <n v="261.08000000000004"/>
    <x v="1"/>
  </r>
  <r>
    <s v="FLUJO"/>
    <n v="20605042652"/>
    <s v="CHILIA REPRESENTACIONES ESPINOZA E.I.R.L."/>
    <s v="202508, 202507, 202506"/>
    <x v="35"/>
    <n v="665"/>
    <x v="1"/>
  </r>
  <r>
    <s v="FLUJO"/>
    <n v="20606523778"/>
    <s v="COLEGIO PRIVADO PABLO NERUDA EIRL"/>
    <s v="202508, 202507"/>
    <x v="35"/>
    <n v="261.08000000000004"/>
    <x v="1"/>
  </r>
  <r>
    <s v="FLUJO"/>
    <n v="20607411027"/>
    <s v="LAUSTIN S.A.C."/>
    <s v="202508"/>
    <x v="35"/>
    <n v="460.26"/>
    <x v="1"/>
  </r>
  <r>
    <s v="FLUJO"/>
    <n v="20607589195"/>
    <s v="ESENCIAL ARQUITECTO S.A.C"/>
    <s v="202508"/>
    <x v="35"/>
    <n v="329.43"/>
    <x v="1"/>
  </r>
  <r>
    <s v="FLUJO"/>
    <n v="20609346907"/>
    <s v="MILAGROS TE ASESORA E.I.R.L."/>
    <s v="202508"/>
    <x v="35"/>
    <n v="230.52"/>
    <x v="1"/>
  </r>
  <r>
    <s v="FLUJO"/>
    <n v="20611814446"/>
    <s v="COMPAÃ‘IA DE ALIMENTOS JIMENEZ E.I.R.L"/>
    <s v="202508, 202507, 202506"/>
    <x v="35"/>
    <n v="786.81000000000017"/>
    <x v="1"/>
  </r>
  <r>
    <s v="FLUJO"/>
    <n v="20613483358"/>
    <s v="CONSTRUCMARC EIRL"/>
    <s v="202508"/>
    <x v="35"/>
    <n v="232.84"/>
    <x v="1"/>
  </r>
  <r>
    <s v="FLUJO"/>
    <n v="20608786342"/>
    <s v="YSELMIX S.A.C."/>
    <s v="202507, 202508, 202506"/>
    <x v="35"/>
    <n v="3226.45"/>
    <x v="1"/>
  </r>
  <r>
    <s v="FLUJO"/>
    <n v="20606480513"/>
    <s v="MERCELAB FARMA S.A.C."/>
    <s v="202506, 202505"/>
    <x v="35"/>
    <n v="282.28999999999996"/>
    <x v="1"/>
  </r>
  <r>
    <s v="FLUJO"/>
    <n v="20609540754"/>
    <s v="TIPROC TECNOLOGIA Y PROCESOS E.I.R.L."/>
    <s v="202506"/>
    <x v="35"/>
    <n v="264.67"/>
    <x v="1"/>
  </r>
  <r>
    <s v="PRESUNTA"/>
    <n v="20481285306"/>
    <s v="GLOBAL TRANS SAC"/>
    <s v="202508"/>
    <x v="35"/>
    <n v="393.77000000000004"/>
    <x v="1"/>
  </r>
  <r>
    <s v="REAL TOTAL"/>
    <n v="20601071232"/>
    <s v="NANOTECHNOLOGY SAC"/>
    <s v="202412, 202411, 202410, 202212"/>
    <x v="35"/>
    <n v="1220.1100000000001"/>
    <x v="1"/>
  </r>
  <r>
    <s v="REAL TOTAL"/>
    <n v="10724820226"/>
    <s v="FAYA ASCENCIO MARIA EUGENIA"/>
    <s v="202003"/>
    <x v="35"/>
    <n v="9.32"/>
    <x v="1"/>
  </r>
  <r>
    <s v="REAL TOTAL"/>
    <n v="20267366412"/>
    <s v="K Y K TRADING EIRL"/>
    <s v="200201, 200111, 200110, 200109, 200108, 200106"/>
    <x v="35"/>
    <n v="576.91000000000008"/>
    <x v="1"/>
  </r>
  <r>
    <s v="REDIRECCIONAMIENTO"/>
    <n v="20544273443"/>
    <s v="CORPORACION EBRO ANDES DE INVERSION S.A.C"/>
    <s v="201410, 201411, 201412, 201502, 201503, 201504, 201505, 201506, 201508, 201509, 201510, 201511, 201512"/>
    <x v="35"/>
    <n v="2843.47"/>
    <x v="1"/>
  </r>
  <r>
    <s v="REDIRECCIONAMIENTO"/>
    <n v="20555887672"/>
    <s v="EL AUTENTICO SABOR TRUJILLANO S.A.C."/>
    <s v="201403, 201404, 201405, 201406, 201407, 201409, 201410, 201411, 201412, 201501, 201503, 201504, 201505, 201506, 201507, 201509, 201510, 201511, 201512, 201601"/>
    <x v="35"/>
    <n v="4015.7500000000009"/>
    <x v="1"/>
  </r>
  <r>
    <s v="REDIRECCIONAMIENTO"/>
    <n v="20527601356"/>
    <s v="BELEN DISTRIBUCIONES EMPRESA INDIVIDUAL DE RESPONSABILIDAD LIMITADA"/>
    <s v="201010, 201011, 201101, 201102, 201103, 201104, 201105, 201107, 201108, 201109, 201110, 201111, 201201, 201202, 201203, 201204"/>
    <x v="35"/>
    <n v="4709.9699999999993"/>
    <x v="1"/>
  </r>
  <r>
    <s v="FLUJO"/>
    <n v="10094187597"/>
    <s v="PEPE PAULINO CARPIO ALE"/>
    <s v="202508"/>
    <x v="36"/>
    <n v="278.05"/>
    <x v="1"/>
  </r>
  <r>
    <s v="FLUJO"/>
    <n v="10295907024"/>
    <s v="Augusto Sebastian Quiroz Loza"/>
    <s v="202508"/>
    <x v="36"/>
    <n v="316.39"/>
    <x v="1"/>
  </r>
  <r>
    <s v="FLUJO"/>
    <n v="10478151344"/>
    <s v="VELASQUEZ LORENZO JESUS ABEL"/>
    <s v="202508, 202507"/>
    <x v="36"/>
    <n v="300.35000000000002"/>
    <x v="1"/>
  </r>
  <r>
    <s v="FLUJO"/>
    <n v="20440328726"/>
    <s v="VIMAPE SAC"/>
    <s v="202508"/>
    <x v="36"/>
    <n v="260.04000000000002"/>
    <x v="1"/>
  </r>
  <r>
    <s v="FLUJO"/>
    <n v="20518875061"/>
    <s v="LUSATEX E.I.R.L."/>
    <s v="202508"/>
    <x v="36"/>
    <n v="390.07"/>
    <x v="1"/>
  </r>
  <r>
    <s v="FLUJO"/>
    <n v="20536670158"/>
    <s v="LA ESTRELLA TRADING Y LOGISTICA SAC"/>
    <s v="202508"/>
    <x v="36"/>
    <n v="488.21999999999997"/>
    <x v="1"/>
  </r>
  <r>
    <s v="FLUJO"/>
    <n v="20563643740"/>
    <s v="JUUNTA DE PROPIETARIOS EDIFICIO RESIDENCIAL BONAVISTA"/>
    <s v="202508, 202507"/>
    <x v="36"/>
    <n v="1021.0999999999999"/>
    <x v="1"/>
  </r>
  <r>
    <s v="FLUJO"/>
    <n v="20565971744"/>
    <s v="PROYECTOS Y DISEÃ‘OS EN INGENIERIA PERU S.A.C."/>
    <s v="202508, 202507, 202506, 202505, 202504, 202503, 202502, 202501, 202412"/>
    <x v="36"/>
    <n v="3160.29"/>
    <x v="1"/>
  </r>
  <r>
    <s v="FLUJO"/>
    <n v="20600535171"/>
    <s v="MULTISERVICIOS DENTAL MEDIC S.R.L"/>
    <s v="202508, 202507, 202506"/>
    <x v="36"/>
    <n v="522.23"/>
    <x v="1"/>
  </r>
  <r>
    <s v="FLUJO"/>
    <n v="20601439051"/>
    <s v="LINGYANG SAC"/>
    <s v="202508"/>
    <x v="36"/>
    <n v="260.04000000000002"/>
    <x v="1"/>
  </r>
  <r>
    <s v="FLUJO"/>
    <n v="20601497060"/>
    <s v="TRANSPORTES MINEROS ANDINOS S.A.C"/>
    <s v="202508, 202507"/>
    <x v="36"/>
    <n v="261.08000000000004"/>
    <x v="1"/>
  </r>
  <r>
    <s v="FLUJO"/>
    <n v="20602121501"/>
    <s v="SERVIMAX Y PETROLEOS E.I.R.L."/>
    <s v="202508"/>
    <x v="36"/>
    <n v="345.19000000000005"/>
    <x v="1"/>
  </r>
  <r>
    <s v="FLUJO"/>
    <n v="20602460712"/>
    <s v="COBERTURAS DEL NORTE SRL"/>
    <s v="202508"/>
    <x v="36"/>
    <n v="366.32"/>
    <x v="1"/>
  </r>
  <r>
    <s v="FLUJO"/>
    <n v="20602550291"/>
    <s v="VITAL ALIMENTACION SAC"/>
    <s v="202508"/>
    <x v="36"/>
    <n v="672.48"/>
    <x v="1"/>
  </r>
  <r>
    <s v="FLUJO"/>
    <n v="20603995938"/>
    <s v="RCA CONSULTORES Y ASESORES EMPRESARIALES SAC"/>
    <s v="202508, 202507"/>
    <x v="36"/>
    <n v="261.08000000000004"/>
    <x v="1"/>
  </r>
  <r>
    <s v="FLUJO"/>
    <n v="20604512442"/>
    <s v="PROCESADORA TUEROS S.A.C"/>
    <s v="202508, 202507"/>
    <x v="36"/>
    <n v="261.08000000000004"/>
    <x v="1"/>
  </r>
  <r>
    <s v="FLUJO"/>
    <n v="20605398228"/>
    <s v="MAREAL CORPORACION SOCIEDAD ANONIMA CERRADA"/>
    <s v="202508"/>
    <x v="36"/>
    <n v="629.98"/>
    <x v="1"/>
  </r>
  <r>
    <s v="FLUJO"/>
    <n v="20609429497"/>
    <s v="PROCESADORA CENTRAL DE CHOCOLATES DEL PERU SAC"/>
    <s v="202508"/>
    <x v="36"/>
    <n v="242.48"/>
    <x v="1"/>
  </r>
  <r>
    <s v="FLUJO"/>
    <n v="20612069787"/>
    <s v="HUAROCHIRI MEDIC E.I.R.L."/>
    <s v="202508, 202507, 202506"/>
    <x v="36"/>
    <n v="840.09999999999991"/>
    <x v="1"/>
  </r>
  <r>
    <s v="FLUJO"/>
    <n v="20613086430"/>
    <s v="CONSORCIO NUEVA JERUSALEN 24"/>
    <s v="202508"/>
    <x v="36"/>
    <n v="227.54000000000002"/>
    <x v="1"/>
  </r>
  <r>
    <s v="FLUJO"/>
    <n v="20613429302"/>
    <s v="MARSA MOTORS SAC"/>
    <s v="202508"/>
    <x v="36"/>
    <n v="207.12"/>
    <x v="1"/>
  </r>
  <r>
    <s v="FLUJO"/>
    <n v="20613732897"/>
    <s v="SMART KIDS GLOBAL E.I.R.L."/>
    <s v="202508, 202507, 202506, 202505"/>
    <x v="36"/>
    <n v="553.02"/>
    <x v="1"/>
  </r>
  <r>
    <s v="FLUJO"/>
    <n v="20512535748"/>
    <s v="CORPORACION PERUANA GLOBAL SAC"/>
    <s v="202507"/>
    <x v="36"/>
    <n v="533.48"/>
    <x v="1"/>
  </r>
  <r>
    <s v="FLUJO"/>
    <n v="20539886283"/>
    <s v="INVERSIONES Y NEGOCIOS BRICK S.A.C."/>
    <s v="202507"/>
    <x v="36"/>
    <n v="1264.3499999999999"/>
    <x v="1"/>
  </r>
  <r>
    <s v="FLUJO"/>
    <n v="20607643416"/>
    <s v="CONSTRUCTORA  INMOBILIARIA NAVARRO E.I.R.L."/>
    <s v="202507"/>
    <x v="36"/>
    <n v="231.95"/>
    <x v="1"/>
  </r>
  <r>
    <s v="FLUJO"/>
    <n v="20614016974"/>
    <s v="SERVICIOS GENERALES DE REFRIGERACIÃ“N INDUSTRIAL SAC"/>
    <s v="202507"/>
    <x v="36"/>
    <n v="514.63"/>
    <x v="1"/>
  </r>
  <r>
    <s v="FLUJO"/>
    <n v="20608853830"/>
    <s v="ELECSERTING S.R.L."/>
    <s v="202505, 202504, 202503, 202508, 202507, 202506"/>
    <x v="36"/>
    <n v="797.47000000000014"/>
    <x v="1"/>
  </r>
  <r>
    <s v="FLUJO"/>
    <n v="20611476559"/>
    <s v="PANTERA FITNESS GROUP S.A.C."/>
    <s v="202505, 202506, 202507, 202508"/>
    <x v="36"/>
    <n v="1039.29"/>
    <x v="1"/>
  </r>
  <r>
    <s v="PRESUNTA"/>
    <n v="20516378876"/>
    <s v="ALGARROBOS ORGANICOS DEL PERU SAC"/>
    <s v="202508"/>
    <x v="36"/>
    <n v="3477.41"/>
    <x v="1"/>
  </r>
  <r>
    <s v="PRESUNTA"/>
    <n v="20604712310"/>
    <s v="SOLUCIONES DENTO GENERALES S.A.C."/>
    <s v="202508"/>
    <x v="36"/>
    <n v="170.42000000000002"/>
    <x v="1"/>
  </r>
  <r>
    <s v="PRESUNTA"/>
    <n v="20606861801"/>
    <s v="FLORERIAS FLORES Y DETALLES S.A.C."/>
    <s v="202504"/>
    <x v="36"/>
    <n v="134.63999999999999"/>
    <x v="1"/>
  </r>
  <r>
    <s v="REAL TOTAL"/>
    <n v="20613645897"/>
    <s v="CONSORCIO VIAL BRM"/>
    <s v="202503"/>
    <x v="36"/>
    <n v="1120.7"/>
    <x v="1"/>
  </r>
  <r>
    <s v="REAL TOTAL"/>
    <n v="20601789087"/>
    <s v="REPRESENTACIONES QBAS LU S.A.C."/>
    <s v="202104, 202103, 202102, 202101, 202012"/>
    <x v="36"/>
    <n v="829.07999999999993"/>
    <x v="1"/>
  </r>
  <r>
    <s v="REAL TOTAL"/>
    <n v="20455594911"/>
    <s v="segurinport srl"/>
    <s v="202003, 202002"/>
    <x v="36"/>
    <n v="347.86"/>
    <x v="1"/>
  </r>
  <r>
    <s v="REAL TOTAL"/>
    <n v="10211417779"/>
    <s v="DELFA AMALIA VALERA DAZA"/>
    <s v="201903"/>
    <x v="36"/>
    <n v="209.46"/>
    <x v="1"/>
  </r>
  <r>
    <s v="REAL TOTAL"/>
    <n v="20100574773"/>
    <s v="America International Tours SA"/>
    <s v="201807, 201806, 201805"/>
    <x v="36"/>
    <n v="860.64"/>
    <x v="1"/>
  </r>
  <r>
    <s v="REAL TOTAL"/>
    <n v="20481171807"/>
    <s v="INMOBILIARIA CASAS Y CONSTRUCCIONES SAC"/>
    <s v="201206"/>
    <x v="36"/>
    <n v="846.1"/>
    <x v="1"/>
  </r>
  <r>
    <s v="REAL TOTAL"/>
    <n v="20493824563"/>
    <s v="MyL DISTRIBUIDORA EIRL"/>
    <s v="201008"/>
    <x v="36"/>
    <n v="48.97"/>
    <x v="1"/>
  </r>
  <r>
    <s v="REAL TOTAL"/>
    <n v="20505434804"/>
    <s v="CEVA SALUD ANIMAL SAC"/>
    <s v="200912"/>
    <x v="36"/>
    <n v="233.22"/>
    <x v="1"/>
  </r>
  <r>
    <s v="REDIRECCIONAMIENTO"/>
    <n v="20534144602"/>
    <s v="RSC MULTISERVICIOS S.A.C."/>
    <s v="201408, 201409, 201407"/>
    <x v="36"/>
    <n v="1987.99"/>
    <x v="1"/>
  </r>
  <r>
    <s v="FLUJO"/>
    <n v="10107087881"/>
    <s v="GONZALES DIAZ CAROLA BEATRIZ"/>
    <s v="202508, 202507"/>
    <x v="37"/>
    <n v="261.21000000000004"/>
    <x v="1"/>
  </r>
  <r>
    <s v="FLUJO"/>
    <n v="10475062197"/>
    <s v="CRISTHIAN DAVID LEYVA ZULOETA"/>
    <s v="202508, 202507, 202506, 202505, 202504, 202503, 202502"/>
    <x v="37"/>
    <n v="934.82"/>
    <x v="1"/>
  </r>
  <r>
    <s v="FLUJO"/>
    <n v="20450604381"/>
    <s v="CORPORACION LUOSEM CONSULTORES Y EJECUTORES S.R.L."/>
    <s v="202508, 202507, 202506, 202505"/>
    <x v="37"/>
    <n v="480.5"/>
    <x v="1"/>
  </r>
  <r>
    <s v="FLUJO"/>
    <n v="20503405629"/>
    <s v="INVERSIONES AMPSOES SA"/>
    <s v="202508, 202507, 202506"/>
    <x v="37"/>
    <n v="557.41"/>
    <x v="1"/>
  </r>
  <r>
    <s v="FLUJO"/>
    <n v="20539134150"/>
    <s v="ENVASES SAN NICOLAS SAC"/>
    <s v="202508"/>
    <x v="37"/>
    <n v="401.87"/>
    <x v="1"/>
  </r>
  <r>
    <s v="FLUJO"/>
    <n v="20542850940"/>
    <s v="M &amp; Y SERVICONT SCRL"/>
    <s v="202508, 202507, 202506"/>
    <x v="37"/>
    <n v="658.51"/>
    <x v="1"/>
  </r>
  <r>
    <s v="FLUJO"/>
    <n v="20600495331"/>
    <s v="M Y M MEDICAL SAC"/>
    <s v="202508, 202507, 202506, 202505, 202504"/>
    <x v="37"/>
    <n v="756.12"/>
    <x v="1"/>
  </r>
  <r>
    <s v="FLUJO"/>
    <n v="20601176646"/>
    <s v="GRUPO SQI CONSTRUCTORA E INMOBILIARIA SAC"/>
    <s v="202508"/>
    <x v="37"/>
    <n v="530.03"/>
    <x v="1"/>
  </r>
  <r>
    <s v="FLUJO"/>
    <n v="20601640156"/>
    <s v="ACABADOS GRANIRUMI S.A.C."/>
    <s v="202508, 202507"/>
    <x v="37"/>
    <n v="261.21000000000004"/>
    <x v="1"/>
  </r>
  <r>
    <s v="FLUJO"/>
    <n v="20601820049"/>
    <s v="COPELSUR SAC"/>
    <s v="202508, 202507, 202506, 202505, 202504, 202503"/>
    <x v="37"/>
    <n v="2235.02"/>
    <x v="1"/>
  </r>
  <r>
    <s v="FLUJO"/>
    <n v="20602241069"/>
    <s v="GAES REPRESENTACIONES E.I.R.L."/>
    <s v="202508"/>
    <x v="37"/>
    <n v="923.69"/>
    <x v="1"/>
  </r>
  <r>
    <s v="FLUJO"/>
    <n v="20602411070"/>
    <s v="FIBER BUSINESS SAC"/>
    <s v="202508"/>
    <x v="37"/>
    <n v="287.65999999999997"/>
    <x v="1"/>
  </r>
  <r>
    <s v="FLUJO"/>
    <n v="20602780890"/>
    <s v="MERCALIZ CORPORATION SAC"/>
    <s v="202508, 202507, 202506, 202505"/>
    <x v="37"/>
    <n v="2332.56"/>
    <x v="1"/>
  </r>
  <r>
    <s v="FLUJO"/>
    <n v="20606092050"/>
    <s v="FUJI ELEVATOR TECHNOLOGY E.I.R.L."/>
    <s v="202508"/>
    <x v="37"/>
    <n v="289.15999999999997"/>
    <x v="1"/>
  </r>
  <r>
    <s v="FLUJO"/>
    <n v="20606134577"/>
    <s v="CORPORACION EOSUR E.I.R.L."/>
    <s v="202508, 202507"/>
    <x v="37"/>
    <n v="693.45"/>
    <x v="1"/>
  </r>
  <r>
    <s v="FLUJO"/>
    <n v="20610213091"/>
    <s v="MERCALIZ INVERSIONES S.A.C"/>
    <s v="202508, 202507, 202506, 202505"/>
    <x v="37"/>
    <n v="2332.56"/>
    <x v="1"/>
  </r>
  <r>
    <s v="FLUJO"/>
    <n v="20613275747"/>
    <s v="ALTARIA INFRAESTRUCTURA S.A.C."/>
    <s v="202508"/>
    <x v="37"/>
    <n v="417.69"/>
    <x v="1"/>
  </r>
  <r>
    <s v="FLUJO"/>
    <n v="20613618733"/>
    <s v="CONSORCIO PUENTE MIRAFLORES"/>
    <s v="202508, 202507, 202506"/>
    <x v="37"/>
    <n v="694.43999999999994"/>
    <x v="1"/>
  </r>
  <r>
    <s v="FLUJO"/>
    <n v="20614396173"/>
    <s v="LOGISTICA Y TRANSPORTE MV E.I.R.L."/>
    <s v="202508"/>
    <x v="37"/>
    <n v="316.43"/>
    <x v="1"/>
  </r>
  <r>
    <s v="FLUJO"/>
    <n v="20544680677"/>
    <s v="PLANET CONSULTORES EIRL"/>
    <s v="202507"/>
    <x v="37"/>
    <n v="479.44"/>
    <x v="1"/>
  </r>
  <r>
    <s v="FLUJO"/>
    <n v="20606552191"/>
    <s v="DISTRIBUIDORA DEL PACIFICO DEL PERU SAC"/>
    <s v="202507, 202506, 202505, 202508"/>
    <x v="37"/>
    <n v="639.43000000000006"/>
    <x v="1"/>
  </r>
  <r>
    <s v="FLUJO"/>
    <n v="20607453757"/>
    <s v="CONSTRUCTORA  CONSULTORIA CUEVA S.A.C."/>
    <s v="202507, 202508"/>
    <x v="37"/>
    <n v="462.76"/>
    <x v="1"/>
  </r>
  <r>
    <s v="FLUJO"/>
    <n v="20608066315"/>
    <s v="ACC Y TECNOLOGIA S.A.C"/>
    <s v="202507, 202504, 202503, 202502, 202501, 202412, 202410, 202409, 202408, 202407, 202406, 202405, 202404, 202403"/>
    <x v="37"/>
    <n v="6216.8599999999988"/>
    <x v="1"/>
  </r>
  <r>
    <s v="FLUJO"/>
    <n v="20481599742"/>
    <s v="CONSTRUCCIONES Y NEGOCIOS DEL NORTE S.A.C."/>
    <s v="202506"/>
    <x v="37"/>
    <n v="169.82"/>
    <x v="1"/>
  </r>
  <r>
    <s v="FLUJO"/>
    <n v="20606424125"/>
    <s v="LMT INVERSIONES S.A.C."/>
    <s v="202506, 202505, 202504, 202508, 202507"/>
    <x v="37"/>
    <n v="662.18000000000006"/>
    <x v="1"/>
  </r>
  <r>
    <s v="FLUJO"/>
    <n v="20601628687"/>
    <s v="EXPORTABLES SAC"/>
    <s v="202505, 202504, 202503"/>
    <x v="37"/>
    <n v="1999.4099999999999"/>
    <x v="1"/>
  </r>
  <r>
    <s v="FLUJO"/>
    <n v="10731080441"/>
    <s v="jean carlo brian dominguez del castillo"/>
    <s v="202405"/>
    <x v="37"/>
    <n v="137.68"/>
    <x v="1"/>
  </r>
  <r>
    <s v="PRESUNTA"/>
    <n v="20481851182"/>
    <s v="transportes de agregados romero srl"/>
    <s v="202508, 202507"/>
    <x v="37"/>
    <n v="369.84000000000003"/>
    <x v="1"/>
  </r>
  <r>
    <s v="PRESUNTA"/>
    <n v="20611468823"/>
    <s v="OPERCOM LOGISTICA GLOBAL E.I.R.L."/>
    <s v="202508, 202507, 202506"/>
    <x v="37"/>
    <n v="393.54000000000008"/>
    <x v="1"/>
  </r>
  <r>
    <s v="PRESUNTA"/>
    <n v="20601965756"/>
    <s v="CORPORACION FREDERICK W TAYLOR SAC"/>
    <s v="202505, 202504"/>
    <x v="37"/>
    <n v="574.28"/>
    <x v="1"/>
  </r>
  <r>
    <s v="REAL TOTAL"/>
    <n v="20601293430"/>
    <s v="NEGOCIOS WILLY LLANOS SAC"/>
    <s v="202503"/>
    <x v="37"/>
    <n v="164.67"/>
    <x v="1"/>
  </r>
  <r>
    <s v="REAL TOTAL"/>
    <n v="10092345594"/>
    <s v="ERIQUE GUTIERREZ CARLOS JULIO"/>
    <s v="202412, 202304"/>
    <x v="37"/>
    <n v="284"/>
    <x v="1"/>
  </r>
  <r>
    <s v="REAL TOTAL"/>
    <n v="20491191270"/>
    <s v="TRANSPORTES AMAYCCASA EIRL"/>
    <s v="202007"/>
    <x v="37"/>
    <n v="363.43"/>
    <x v="1"/>
  </r>
  <r>
    <s v="REDIRECCIONAMIENTO"/>
    <n v="20477349243"/>
    <s v="FORESTALES DAXSA S.A.C."/>
    <s v="201201, 201202, 201203, 201204, 201206, 201207, 201208, 201209, 201210, 201212, 201301, 201302, 201303, 201304, 201305"/>
    <x v="37"/>
    <n v="19529.679999999993"/>
    <x v="1"/>
  </r>
  <r>
    <s v="FLUJO"/>
    <n v="10257347392"/>
    <s v="JACINTO PURIZACA MARTHA CRUZ"/>
    <s v="202508, 202507"/>
    <x v="38"/>
    <n v="287.47000000000003"/>
    <x v="1"/>
  </r>
  <r>
    <s v="FLUJO"/>
    <n v="10433841391"/>
    <s v="MARIN DUEÃ‘AS MARIA ANGELICA"/>
    <s v="202508, 202507"/>
    <x v="38"/>
    <n v="229.84"/>
    <x v="1"/>
  </r>
  <r>
    <s v="FLUJO"/>
    <n v="20456170502"/>
    <s v="EMPRESA CONSTRUCTORA CAMILA E.I.R.L."/>
    <s v="202508, 202507"/>
    <x v="38"/>
    <n v="261.33000000000004"/>
    <x v="1"/>
  </r>
  <r>
    <s v="FLUJO"/>
    <n v="20495680968"/>
    <s v="CASTAÃ‘EDA Y CASTAÃ‘EDA EIRL"/>
    <s v="202508, 202507, 202506, 202505, 202504, 202503"/>
    <x v="38"/>
    <n v="1631.6100000000001"/>
    <x v="1"/>
  </r>
  <r>
    <s v="FLUJO"/>
    <n v="20512458735"/>
    <s v="SERVICIOS ELECTROMEC INDUSTRIALES Y PROYECTOS EN GRAL EIRL"/>
    <s v="202508"/>
    <x v="38"/>
    <n v="230.35999999999999"/>
    <x v="1"/>
  </r>
  <r>
    <s v="FLUJO"/>
    <n v="20522531368"/>
    <s v="IMPORTACIONES TAIZ SAC"/>
    <s v="202508"/>
    <x v="38"/>
    <n v="300.96999999999997"/>
    <x v="1"/>
  </r>
  <r>
    <s v="FLUJO"/>
    <n v="20526339585"/>
    <s v="CONSTRUCTORA JDITH SAC"/>
    <s v="202508"/>
    <x v="38"/>
    <n v="669.53"/>
    <x v="1"/>
  </r>
  <r>
    <s v="FLUJO"/>
    <n v="20532384673"/>
    <s v="MAS MOVIL SAC"/>
    <s v="202508, 202507"/>
    <x v="38"/>
    <n v="1618.8600000000001"/>
    <x v="1"/>
  </r>
  <r>
    <s v="FLUJO"/>
    <n v="20550705550"/>
    <s v="PROVEEDORES Y SERVICIOS MINEROS PREMIUM EIRL"/>
    <s v="202508, 202507"/>
    <x v="38"/>
    <n v="323.77"/>
    <x v="1"/>
  </r>
  <r>
    <s v="FLUJO"/>
    <n v="20552726546"/>
    <s v="ARQUIDENT PERU SAC"/>
    <s v="202508"/>
    <x v="38"/>
    <n v="610.43999999999994"/>
    <x v="1"/>
  </r>
  <r>
    <s v="FLUJO"/>
    <n v="20601030102"/>
    <s v="PLASTIC LIFE  EIRL"/>
    <s v="202508, 202507, 202506"/>
    <x v="38"/>
    <n v="393.79000000000008"/>
    <x v="1"/>
  </r>
  <r>
    <s v="FLUJO"/>
    <n v="20606060999"/>
    <s v="URCOPE LURIN SAC"/>
    <s v="202508, 202507, 202506"/>
    <x v="38"/>
    <n v="696.99"/>
    <x v="1"/>
  </r>
  <r>
    <s v="FLUJO"/>
    <n v="20608882058"/>
    <s v="SERVICIOS JM CARGO E.I.R.L."/>
    <s v="202508"/>
    <x v="38"/>
    <n v="345.53"/>
    <x v="1"/>
  </r>
  <r>
    <s v="FLUJO"/>
    <n v="20609235099"/>
    <s v="AIRES NUEVOS DEL PERU S.A.C."/>
    <s v="202508, 202507, 202506, 202505, 202504, 202503, 202502"/>
    <x v="38"/>
    <n v="1655.26"/>
    <x v="1"/>
  </r>
  <r>
    <s v="FLUJO"/>
    <n v="20610273336"/>
    <s v="ECCA GROUP S.A.C."/>
    <s v="202508, 202507"/>
    <x v="38"/>
    <n v="261.33000000000004"/>
    <x v="1"/>
  </r>
  <r>
    <s v="FLUJO"/>
    <n v="20611520221"/>
    <s v="PRIMEINDUSTRIES S.A.C."/>
    <s v="202508"/>
    <x v="38"/>
    <n v="225.82000000000002"/>
    <x v="1"/>
  </r>
  <r>
    <s v="FLUJO"/>
    <n v="10410184384"/>
    <s v="MORALES ALAYO SANDRA INGRID"/>
    <s v="202507"/>
    <x v="38"/>
    <n v="131.18"/>
    <x v="1"/>
  </r>
  <r>
    <s v="FLUJO"/>
    <n v="20450783294"/>
    <s v="PERU AMAZING QUILLAS TOURS SAC"/>
    <s v="202507"/>
    <x v="38"/>
    <n v="325.05"/>
    <x v="1"/>
  </r>
  <r>
    <s v="FLUJO"/>
    <n v="20481314098"/>
    <s v="INDUSTRIA PANIFICADORA FAST PAN SRL"/>
    <s v="202507"/>
    <x v="38"/>
    <n v="174.13"/>
    <x v="1"/>
  </r>
  <r>
    <s v="FLUJO"/>
    <n v="20603128169"/>
    <s v="SERVICIOS Y ALQUILERES EL SAUCE EIRL"/>
    <s v="202507, 202506"/>
    <x v="38"/>
    <n v="263.64"/>
    <x v="1"/>
  </r>
  <r>
    <s v="FLUJO"/>
    <n v="20600927028"/>
    <s v="BRACATO EIRL"/>
    <s v="202506"/>
    <x v="38"/>
    <n v="132.46"/>
    <x v="1"/>
  </r>
  <r>
    <s v="FLUJO"/>
    <n v="20603560273"/>
    <s v="CONSTRUCTORA Y CONSULTORA EB Y JB SAC"/>
    <s v="202504"/>
    <x v="38"/>
    <n v="148.25"/>
    <x v="1"/>
  </r>
  <r>
    <s v="PRESUNTA"/>
    <n v="20608192264"/>
    <s v="PHYSICA PERU SAC"/>
    <s v="202508"/>
    <x v="38"/>
    <n v="172.76999999999998"/>
    <x v="1"/>
  </r>
  <r>
    <s v="PRESUNTA"/>
    <n v="20611473908"/>
    <s v="PC NUEVO MUNDO S.A.C."/>
    <s v="202508"/>
    <x v="38"/>
    <n v="130.15"/>
    <x v="1"/>
  </r>
  <r>
    <s v="PRESUNTA"/>
    <n v="10028197239"/>
    <s v="RAMOS BOUILLON  PEDRO JOSE"/>
    <s v="202506, 202505, 202504"/>
    <x v="38"/>
    <n v="363.61"/>
    <x v="1"/>
  </r>
  <r>
    <s v="REAL TOTAL"/>
    <n v="20609932776"/>
    <s v="PM FRUITS S.A.C."/>
    <s v="202501"/>
    <x v="38"/>
    <n v="1539.05"/>
    <x v="1"/>
  </r>
  <r>
    <s v="REDIRECCIONAMIENTO"/>
    <n v="20509470848"/>
    <s v="GINOR EMPRESA INDIVIDUAL DE RESPONSABILIDAD LIMITA"/>
    <s v="200709, 200711, 200712, 200801, 200802, 200803, 200805, 200806, 200807, 200808, 200809, 200811, 200812"/>
    <x v="38"/>
    <n v="6598.68"/>
    <x v="1"/>
  </r>
  <r>
    <s v="FLUJO"/>
    <n v="10448547634"/>
    <s v="CASTRO NAYRA MIRTHA"/>
    <s v="202508, 202507, 202506, 202505, 202504"/>
    <x v="39"/>
    <n v="662.83"/>
    <x v="1"/>
  </r>
  <r>
    <s v="FLUJO"/>
    <n v="20524176603"/>
    <s v="TRANSPORTES CCITAR SAC"/>
    <s v="202508, 202507"/>
    <x v="39"/>
    <n v="315.52"/>
    <x v="1"/>
  </r>
  <r>
    <s v="FLUJO"/>
    <n v="20601506743"/>
    <s v="CENTRO DE DIÃLISIS GRAN CHIMU SAC CEDIGRAN"/>
    <s v="202508"/>
    <x v="39"/>
    <n v="418.51"/>
    <x v="1"/>
  </r>
  <r>
    <s v="FLUJO"/>
    <n v="20602200354"/>
    <s v="GEOGREEN TEC S.A.C"/>
    <s v="202508"/>
    <x v="39"/>
    <n v="293.21999999999997"/>
    <x v="1"/>
  </r>
  <r>
    <s v="FLUJO"/>
    <n v="20602537031"/>
    <s v="ADM COMPANY S.A.C."/>
    <s v="202508, 202507"/>
    <x v="39"/>
    <n v="261.59000000000003"/>
    <x v="1"/>
  </r>
  <r>
    <s v="FLUJO"/>
    <n v="20604419531"/>
    <s v="RJ CARGO EIRL"/>
    <s v="202508"/>
    <x v="39"/>
    <n v="273.59000000000003"/>
    <x v="1"/>
  </r>
  <r>
    <s v="FLUJO"/>
    <n v="20612237141"/>
    <s v="JR SOLUCIONES PERUANAS S.A.C."/>
    <s v="202508, 202507, 202506, 202505, 202504, 202503"/>
    <x v="39"/>
    <n v="2182.54"/>
    <x v="1"/>
  </r>
  <r>
    <s v="FLUJO"/>
    <n v="20613813528"/>
    <s v="GRUPO IMPORT AB SAC"/>
    <s v="202508, 202507, 202506, 202505, 202504"/>
    <x v="39"/>
    <n v="935.61"/>
    <x v="1"/>
  </r>
  <r>
    <s v="FLUJO"/>
    <n v="20614128365"/>
    <s v="CONSORCIO NORIEGA"/>
    <s v="202507"/>
    <x v="39"/>
    <n v="524.04"/>
    <x v="1"/>
  </r>
  <r>
    <s v="PRESUNTA"/>
    <n v="20603349696"/>
    <s v="MINERA ALTAGRACIA E.I.R.L."/>
    <s v="202508, 202507, 202506, 202505"/>
    <x v="39"/>
    <n v="2504.8199999999997"/>
    <x v="1"/>
  </r>
  <r>
    <s v="REAL TOTAL"/>
    <n v="20513932368"/>
    <s v="COMERCIALIZACIONES AGRO CONTRERAS SAC"/>
    <s v="202410, 202409"/>
    <x v="39"/>
    <n v="721.9"/>
    <x v="1"/>
  </r>
  <r>
    <s v="REAL TOTAL"/>
    <n v="20551973850"/>
    <s v="TRANSPORTES YHOMARVI S.A.C."/>
    <s v="202003"/>
    <x v="39"/>
    <n v="0.18"/>
    <x v="1"/>
  </r>
  <r>
    <s v="FLUJO"/>
    <n v="20573102780"/>
    <s v="HOUSE STUDENT EIRL"/>
    <s v="202508, 202507"/>
    <x v="40"/>
    <n v="235.53"/>
    <x v="1"/>
  </r>
  <r>
    <s v="FLUJO"/>
    <n v="20601611253"/>
    <s v="servicios equinos del norte eirl"/>
    <s v="202508, 202507"/>
    <x v="40"/>
    <n v="287.74"/>
    <x v="1"/>
  </r>
  <r>
    <s v="FLUJO"/>
    <n v="10442805011"/>
    <s v="NELLY MAIZ AQUINO"/>
    <s v="202508, 202507, 202506"/>
    <x v="41"/>
    <n v="394.19000000000005"/>
    <x v="1"/>
  </r>
  <r>
    <s v="FLUJO"/>
    <n v="20491213931"/>
    <s v="EMPRESA CONSTRUCTORA HARAMI SOCIEDAD ANONIMA CERRADA"/>
    <s v="202508"/>
    <x v="41"/>
    <n v="288.23"/>
    <x v="1"/>
  </r>
  <r>
    <s v="FLUJO"/>
    <n v="20491907275"/>
    <s v="ATENCIONES RAPIDAS COMERCIALES E.I.R.L."/>
    <s v="202508, 202507"/>
    <x v="41"/>
    <n v="261.59000000000003"/>
    <x v="1"/>
  </r>
  <r>
    <s v="FLUJO"/>
    <n v="20502197399"/>
    <s v="organizacion de transportes equipos y maquinarias sac"/>
    <s v="202508"/>
    <x v="41"/>
    <n v="691.75"/>
    <x v="1"/>
  </r>
  <r>
    <s v="FLUJO"/>
    <n v="20508136227"/>
    <s v="HACIENDA EL MONASTERIO SAC"/>
    <s v="202508, 202507, 202506, 202505, 202504, 202503"/>
    <x v="41"/>
    <n v="3794.4800000000005"/>
    <x v="1"/>
  </r>
  <r>
    <s v="FLUJO"/>
    <n v="20509838209"/>
    <s v="GAP IMPRESIONES EIRL"/>
    <s v="202508, 202507"/>
    <x v="41"/>
    <n v="287.74"/>
    <x v="1"/>
  </r>
  <r>
    <s v="FLUJO"/>
    <n v="20565808592"/>
    <s v="ALIHCOM BUILD SAC"/>
    <s v="202508"/>
    <x v="41"/>
    <n v="379.19"/>
    <x v="1"/>
  </r>
  <r>
    <s v="FLUJO"/>
    <n v="20600547012"/>
    <s v="MONGROUP EIRL"/>
    <s v="202508"/>
    <x v="41"/>
    <n v="634.1"/>
    <x v="1"/>
  </r>
  <r>
    <s v="FLUJO"/>
    <n v="20602360734"/>
    <s v="INSUMOS Y ALIMENTOS DEL ANDE EIRL"/>
    <s v="202508, 202507"/>
    <x v="41"/>
    <n v="430.57"/>
    <x v="1"/>
  </r>
  <r>
    <s v="FLUJO"/>
    <n v="20604720690"/>
    <s v="AUTOMOTRIZ RASO SAC"/>
    <s v="202508"/>
    <x v="41"/>
    <n v="1072.21"/>
    <x v="1"/>
  </r>
  <r>
    <s v="FLUJO"/>
    <n v="20605810315"/>
    <s v="CIENTIFICA CONSULTORES SAC"/>
    <s v="202508, 202507"/>
    <x v="41"/>
    <n v="565.82000000000005"/>
    <x v="1"/>
  </r>
  <r>
    <s v="FLUJO"/>
    <n v="20606334258"/>
    <s v="TPT DEL PERU S.A.C."/>
    <s v="202508, 202507"/>
    <x v="41"/>
    <n v="261.59000000000003"/>
    <x v="1"/>
  </r>
  <r>
    <s v="FLUJO"/>
    <n v="20609010411"/>
    <s v="ELITIUM PERU E.I.R.L"/>
    <s v="202508, 202507, 202506"/>
    <x v="41"/>
    <n v="727.97"/>
    <x v="1"/>
  </r>
  <r>
    <s v="FLUJO"/>
    <n v="20610619372"/>
    <s v="FORESTAL GANGMING SAC"/>
    <s v="202508, 202507"/>
    <x v="41"/>
    <n v="816.91000000000008"/>
    <x v="1"/>
  </r>
  <r>
    <s v="FLUJO"/>
    <n v="20604362751"/>
    <s v="GRUPO GRAL E.I.R.L."/>
    <s v="202507, 202506"/>
    <x v="41"/>
    <n v="263.90999999999997"/>
    <x v="1"/>
  </r>
  <r>
    <s v="FLUJO"/>
    <n v="20609366193"/>
    <s v="WISGO PERU E.I.R.L."/>
    <s v="202507"/>
    <x v="41"/>
    <n v="348.6"/>
    <x v="1"/>
  </r>
  <r>
    <s v="FLUJO"/>
    <n v="20611376538"/>
    <s v="HERCAR COMBUSTIBLES S.A.C"/>
    <s v="202507"/>
    <x v="41"/>
    <n v="318.74"/>
    <x v="1"/>
  </r>
  <r>
    <s v="FLUJO"/>
    <n v="20611684321"/>
    <s v="CGS CONSTRUCCIONES E.I.R.L."/>
    <s v="202507"/>
    <x v="41"/>
    <n v="200.45000000000002"/>
    <x v="1"/>
  </r>
  <r>
    <s v="FLUJO"/>
    <n v="20382056681"/>
    <s v="GLOBENATURAL INTERNACIONAL SA"/>
    <s v="202506, 202507, 202508"/>
    <x v="41"/>
    <n v="689.01"/>
    <x v="1"/>
  </r>
  <r>
    <s v="FLUJO"/>
    <n v="20606745673"/>
    <s v="GRUPO NINA S.R.L."/>
    <s v="202504"/>
    <x v="41"/>
    <n v="134.9"/>
    <x v="1"/>
  </r>
  <r>
    <s v="PRESUNTA"/>
    <n v="20603647263"/>
    <s v="ESTACION DE SERVICIO TRES CRUCES DE ORO E.I.R.L."/>
    <s v="202508"/>
    <x v="41"/>
    <n v="74.3"/>
    <x v="1"/>
  </r>
  <r>
    <s v="PRESUNTA"/>
    <n v="20545463190"/>
    <s v="JOSE Y EDWIN CONTRATISTAS GENERALES SAC"/>
    <s v="202507, 202506, 202508"/>
    <x v="41"/>
    <n v="2404.46"/>
    <x v="1"/>
  </r>
  <r>
    <s v="PRESUNTA"/>
    <n v="20552777965"/>
    <s v="Empresa de Servicios MÃºltiples KS y J EIRL"/>
    <s v="201909, 201908"/>
    <x v="41"/>
    <n v="315.82"/>
    <x v="1"/>
  </r>
  <r>
    <s v="REAL TOTAL"/>
    <n v="20612127213"/>
    <s v="MJA CONSULTORIA S.A.C."/>
    <s v="202503"/>
    <x v="41"/>
    <n v="318.17999999999995"/>
    <x v="1"/>
  </r>
  <r>
    <s v="REAL TOTAL"/>
    <n v="20604741450"/>
    <s v="INMOBILIARIA SIGNIA SAC"/>
    <s v="202305"/>
    <x v="41"/>
    <n v="592.70000000000005"/>
    <x v="1"/>
  </r>
  <r>
    <s v="REDIRECCIONAMIENTO"/>
    <n v="20494424089"/>
    <s v="CORPORACION LASER E.I.R.L."/>
    <s v="200806, 200807, 200809, 200810, 200811, 200812, 200901, 200903, 200904"/>
    <x v="41"/>
    <n v="4067.8100000000004"/>
    <x v="1"/>
  </r>
  <r>
    <s v="FLUJO"/>
    <n v="10425490741"/>
    <s v="GONZALES VARGAS BERTHA MIGUELINA"/>
    <s v="202508, 202507, 202506"/>
    <x v="42"/>
    <n v="433.59000000000003"/>
    <x v="1"/>
  </r>
  <r>
    <s v="FLUJO"/>
    <n v="20527677506"/>
    <s v="DIESEL IMPORT HERRERA SCRLtda"/>
    <s v="202508"/>
    <x v="42"/>
    <n v="328.59000000000003"/>
    <x v="1"/>
  </r>
  <r>
    <s v="FLUJO"/>
    <n v="20537411857"/>
    <s v="CHAMPION WORLD SPORT SAC"/>
    <s v="202508, 202507"/>
    <x v="42"/>
    <n v="1031"/>
    <x v="1"/>
  </r>
  <r>
    <s v="FLUJO"/>
    <n v="20600637755"/>
    <s v="INVERSIONES KAMIYA SAC"/>
    <s v="202508"/>
    <x v="42"/>
    <n v="358.91"/>
    <x v="1"/>
  </r>
  <r>
    <s v="FLUJO"/>
    <n v="20601127742"/>
    <s v="CORPORACIÃ“N MAVE SAC"/>
    <s v="202508"/>
    <x v="42"/>
    <n v="681.48"/>
    <x v="1"/>
  </r>
  <r>
    <s v="FLUJO"/>
    <n v="20601183731"/>
    <s v="COEX TRANSPORTES SA"/>
    <s v="202508"/>
    <x v="42"/>
    <n v="239.63"/>
    <x v="1"/>
  </r>
  <r>
    <s v="FLUJO"/>
    <n v="20602960995"/>
    <s v="SGCMM GROUP SAC"/>
    <s v="202508"/>
    <x v="42"/>
    <n v="561.17000000000007"/>
    <x v="1"/>
  </r>
  <r>
    <s v="FLUJO"/>
    <n v="20605224688"/>
    <s v="JOURNEY ON WHEELS CUSCO S.R.L."/>
    <s v="202508, 202507, 202505, 202504"/>
    <x v="42"/>
    <n v="530.23"/>
    <x v="1"/>
  </r>
  <r>
    <s v="FLUJO"/>
    <n v="20605495762"/>
    <s v="CORPORACION ITC S.A.C."/>
    <s v="202508, 202507"/>
    <x v="42"/>
    <n v="300.94"/>
    <x v="1"/>
  </r>
  <r>
    <s v="FLUJO"/>
    <n v="20609204771"/>
    <s v="CORPORACION IBEROAMERICANA OCUPACIONAL CISS S.A.C."/>
    <s v="202508"/>
    <x v="42"/>
    <n v="278.89"/>
    <x v="1"/>
  </r>
  <r>
    <s v="FLUJO"/>
    <n v="20609205521"/>
    <s v="DIABOLA STORE S.A.C."/>
    <s v="202508"/>
    <x v="42"/>
    <n v="259.7"/>
    <x v="1"/>
  </r>
  <r>
    <s v="FLUJO"/>
    <n v="20611989611"/>
    <s v="INKA LAM E.I.R.L."/>
    <s v="202508"/>
    <x v="42"/>
    <n v="307.44"/>
    <x v="1"/>
  </r>
  <r>
    <s v="FLUJO"/>
    <n v="20612976571"/>
    <s v="POWER TIMBER S.A.C."/>
    <s v="202508"/>
    <x v="42"/>
    <n v="1199.1100000000001"/>
    <x v="1"/>
  </r>
  <r>
    <s v="FLUJO"/>
    <n v="20601283744"/>
    <s v="A Y P FABRICACIONES E INSTALACIONES INDUSTRIALES SAC"/>
    <s v="202507"/>
    <x v="42"/>
    <n v="855.48"/>
    <x v="1"/>
  </r>
  <r>
    <s v="FLUJO"/>
    <n v="20604284032"/>
    <s v="GRUPO EDUCATIVO ALFA EIRL"/>
    <s v="202507, 202506, 202505, 202504, 202503, 202412, 202508"/>
    <x v="42"/>
    <n v="3430.0299999999997"/>
    <x v="1"/>
  </r>
  <r>
    <s v="FLUJO"/>
    <n v="20611343028"/>
    <s v="COORPORACION TURISTICA H V SAC"/>
    <s v="202507, 202506"/>
    <x v="42"/>
    <n v="635.98"/>
    <x v="1"/>
  </r>
  <r>
    <s v="FLUJO"/>
    <n v="20613438239"/>
    <s v="SON RUMBEKE E.I.R.L."/>
    <s v="202505, 202504"/>
    <x v="42"/>
    <n v="1109.81"/>
    <x v="1"/>
  </r>
  <r>
    <s v="PRESUNTA"/>
    <n v="20608192523"/>
    <s v="AVANCE AUTOMOTRIZ FEJERROS SAC"/>
    <s v="202507, 202508"/>
    <x v="42"/>
    <n v="261.59000000000003"/>
    <x v="1"/>
  </r>
  <r>
    <s v="REAL TOTAL"/>
    <n v="20603950195"/>
    <s v="MARMOL AREQUIPA EIRL"/>
    <s v="202503"/>
    <x v="42"/>
    <n v="68.03"/>
    <x v="1"/>
  </r>
  <r>
    <s v="REAL TOTAL"/>
    <n v="20477398457"/>
    <s v="VIZOR PERU SAC"/>
    <s v="202412"/>
    <x v="42"/>
    <n v="133.42000000000002"/>
    <x v="1"/>
  </r>
  <r>
    <s v="REAL TOTAL"/>
    <n v="20552992181"/>
    <s v="RIEGO Y SANEAMIENTO AMBIENTAL SAC"/>
    <s v="201309"/>
    <x v="42"/>
    <n v="458.39"/>
    <x v="1"/>
  </r>
  <r>
    <s v="REDIRECCIONAMIENTO"/>
    <n v="20509793779"/>
    <s v="EUROCLIDON DEL NORTE S.A.C."/>
    <s v="201601, 201401, 201312, 201311, 201310, 201309, 201307, 201306, 201305, 201304, 201303"/>
    <x v="42"/>
    <n v="3253.6299999999997"/>
    <x v="1"/>
  </r>
  <r>
    <s v="FLUJO"/>
    <n v="10417928958"/>
    <s v="CALDERON TAMAYO OLGA"/>
    <s v="202508, 202507, 202506, 202505, 202504, 202503"/>
    <x v="43"/>
    <n v="799.02"/>
    <x v="1"/>
  </r>
  <r>
    <s v="FLUJO"/>
    <n v="20601349559"/>
    <s v="odex peru s.r.l."/>
    <s v="202508, 202507"/>
    <x v="43"/>
    <n v="698.87000000000012"/>
    <x v="1"/>
  </r>
  <r>
    <s v="FLUJO"/>
    <n v="20611443057"/>
    <s v="MODERNA ASOCIADOS S.A.C."/>
    <s v="202508"/>
    <x v="43"/>
    <n v="691.75"/>
    <x v="1"/>
  </r>
  <r>
    <s v="FLUJO"/>
    <n v="20613076205"/>
    <s v="Kentel Peru S.A.C"/>
    <s v="202508"/>
    <x v="43"/>
    <n v="130.28"/>
    <x v="1"/>
  </r>
  <r>
    <s v="FLUJO"/>
    <n v="20450461173"/>
    <s v="PACIFICO TARAPOTO SAC"/>
    <s v="202507"/>
    <x v="43"/>
    <n v="131.44"/>
    <x v="1"/>
  </r>
  <r>
    <s v="FLUJO"/>
    <n v="20380639522"/>
    <s v="BOLIVARIANA DE CARGAS S.R.LTDA"/>
    <s v="202504, 202503"/>
    <x v="43"/>
    <n v="599.48"/>
    <x v="1"/>
  </r>
  <r>
    <s v="FLUJO"/>
    <n v="10224807886"/>
    <s v="LIZBET AMALIA RIOS D AMBROSIO"/>
    <s v="202508"/>
    <x v="43"/>
    <n v="278.89"/>
    <x v="1"/>
  </r>
  <r>
    <s v="FLUJO"/>
    <n v="10465081517"/>
    <s v="ESPINOZA RAMOS DONY YOJHAN"/>
    <s v="202508"/>
    <x v="43"/>
    <n v="130.58000000000001"/>
    <x v="1"/>
  </r>
  <r>
    <s v="FLUJO"/>
    <n v="20493051416"/>
    <s v="RP RODAS EIRL"/>
    <s v="202508, 202507, 202506"/>
    <x v="43"/>
    <n v="394.32000000000005"/>
    <x v="1"/>
  </r>
  <r>
    <s v="FLUJO"/>
    <n v="20522880371"/>
    <s v="INVERSIONES CH  M SAC"/>
    <s v="202508"/>
    <x v="43"/>
    <n v="342.70000000000005"/>
    <x v="1"/>
  </r>
  <r>
    <s v="FLUJO"/>
    <n v="20543455939"/>
    <s v="TRANSPORTE ACMA EIRL"/>
    <s v="202508"/>
    <x v="43"/>
    <n v="634.1"/>
    <x v="1"/>
  </r>
  <r>
    <s v="FLUJO"/>
    <n v="20564084281"/>
    <s v="INVERSIONES MABGA SAC"/>
    <s v="202508, 202507, 202506"/>
    <x v="43"/>
    <n v="394.32000000000005"/>
    <x v="1"/>
  </r>
  <r>
    <s v="FLUJO"/>
    <n v="20602287051"/>
    <s v="ANW OPERADORES LOGISTICOS EIRL"/>
    <s v="202508, 202507"/>
    <x v="43"/>
    <n v="261.72000000000003"/>
    <x v="1"/>
  </r>
  <r>
    <s v="FLUJO"/>
    <n v="20602578403"/>
    <s v="ABISEO GROUP FOODS SAC"/>
    <s v="202508, 202507"/>
    <x v="43"/>
    <n v="463.21000000000004"/>
    <x v="1"/>
  </r>
  <r>
    <s v="FLUJO"/>
    <n v="20610389423"/>
    <s v="ABC COMPANY S.A.C."/>
    <s v="202508"/>
    <x v="43"/>
    <n v="288.23"/>
    <x v="1"/>
  </r>
  <r>
    <s v="FLUJO"/>
    <n v="20613649116"/>
    <s v="DOLARITO E.I.R.L."/>
    <s v="202508"/>
    <x v="43"/>
    <n v="223.12"/>
    <x v="1"/>
  </r>
  <r>
    <s v="FLUJO"/>
    <n v="20614168014"/>
    <s v="CORPORACION PIBUSA S.A.C."/>
    <s v="202508, 202507, 202506"/>
    <x v="43"/>
    <n v="394.32000000000005"/>
    <x v="1"/>
  </r>
  <r>
    <s v="FLUJO"/>
    <n v="20602229115"/>
    <s v="CAR ELOLUTION JF SAC"/>
    <s v="202507"/>
    <x v="43"/>
    <n v="281.37"/>
    <x v="1"/>
  </r>
  <r>
    <s v="FLUJO"/>
    <n v="20610765387"/>
    <s v="INVERSIONES ALIMENTARIAS ALMAYA SAC"/>
    <s v="202507, 202506"/>
    <x v="43"/>
    <n v="306.78999999999996"/>
    <x v="1"/>
  </r>
  <r>
    <s v="REAL TOTAL"/>
    <n v="20601760461"/>
    <s v="PREMIUM COLLEGE SRL"/>
    <s v="202501"/>
    <x v="43"/>
    <n v="449.40999999999997"/>
    <x v="1"/>
  </r>
  <r>
    <s v="REAL TOTAL"/>
    <n v="20478122081"/>
    <s v="SERVICIO INFORMATICO GRAFICO MASS S.A.C."/>
    <s v="201511, 201510, 201509"/>
    <x v="43"/>
    <n v="637.56999999999994"/>
    <x v="1"/>
  </r>
  <r>
    <s v="REAL TOTAL"/>
    <n v="20523787960"/>
    <s v="FCG NEGOCIOS Y SERVICIOS SAC"/>
    <s v="202106, 202105"/>
    <x v="43"/>
    <n v="327.01"/>
    <x v="1"/>
  </r>
  <r>
    <s v="REAL TOTAL"/>
    <n v="20523203721"/>
    <s v="FESTINA  EIRL"/>
    <s v="201009"/>
    <x v="43"/>
    <n v="297.48"/>
    <x v="1"/>
  </r>
  <r>
    <s v="FLUJO"/>
    <n v="15547969437"/>
    <s v="LIANG JIANHUA"/>
    <s v="202508"/>
    <x v="44"/>
    <n v="230.58"/>
    <x v="1"/>
  </r>
  <r>
    <s v="FLUJO"/>
    <n v="20192099464"/>
    <s v="COLEGIO DE ARQUITECTOS REGIONAL PIURA I"/>
    <s v="202508"/>
    <x v="44"/>
    <n v="307.26"/>
    <x v="1"/>
  </r>
  <r>
    <s v="FLUJO"/>
    <n v="20512791825"/>
    <s v="GLASS IMPORT AUTOMOTRIZ SAC"/>
    <s v="202508"/>
    <x v="44"/>
    <n v="964.18"/>
    <x v="1"/>
  </r>
  <r>
    <s v="FLUJO"/>
    <n v="20526548311"/>
    <s v="CELESTE SERVICIOS GENERALES SRL"/>
    <s v="202508"/>
    <x v="44"/>
    <n v="230.58"/>
    <x v="1"/>
  </r>
  <r>
    <s v="FLUJO"/>
    <n v="20556349712"/>
    <s v="GRUPO ASHKA S.A.C."/>
    <s v="202508"/>
    <x v="44"/>
    <n v="234.14000000000001"/>
    <x v="1"/>
  </r>
  <r>
    <s v="FLUJO"/>
    <n v="20600515943"/>
    <s v="ORKO INGENIEROS SAC"/>
    <s v="202508, 202507, 202506, 202505, 202504, 202503, 202502"/>
    <x v="44"/>
    <n v="2428.6"/>
    <x v="1"/>
  </r>
  <r>
    <s v="FLUJO"/>
    <n v="20600583019"/>
    <s v="ROMARC CONSTRUCTORA S.A.C."/>
    <s v="202508, 202507"/>
    <x v="44"/>
    <n v="1065.3899999999999"/>
    <x v="1"/>
  </r>
  <r>
    <s v="FLUJO"/>
    <n v="20600629477"/>
    <s v="LOW RISK PERU E.I.R.L."/>
    <s v="202508"/>
    <x v="44"/>
    <n v="130.28"/>
    <x v="1"/>
  </r>
  <r>
    <s v="FLUJO"/>
    <n v="20600714989"/>
    <s v="HOTEL Y NEGOCIOS SAC"/>
    <s v="202508"/>
    <x v="44"/>
    <n v="533.81999999999994"/>
    <x v="1"/>
  </r>
  <r>
    <s v="FLUJO"/>
    <n v="20602481779"/>
    <s v="REPUESTOS BURGA S.R.L."/>
    <s v="202508, 202507"/>
    <x v="44"/>
    <n v="261.72000000000003"/>
    <x v="1"/>
  </r>
  <r>
    <s v="FLUJO"/>
    <n v="20602937926"/>
    <s v="FISOPERU S.A.C"/>
    <s v="202508"/>
    <x v="44"/>
    <n v="230.58"/>
    <x v="1"/>
  </r>
  <r>
    <s v="FLUJO"/>
    <n v="20610339078"/>
    <s v="GODMIR S.A.C."/>
    <s v="202508"/>
    <x v="44"/>
    <n v="585.45000000000005"/>
    <x v="1"/>
  </r>
  <r>
    <s v="FLUJO"/>
    <n v="20613470221"/>
    <s v="CLARITY CLEANING S.A.C."/>
    <s v="202508, 202507"/>
    <x v="44"/>
    <n v="370.70000000000005"/>
    <x v="1"/>
  </r>
  <r>
    <s v="FLUJO"/>
    <n v="20538760219"/>
    <s v="INDUSTRIAS DE METALES PERFORADAS SAC"/>
    <s v="202507, 202506"/>
    <x v="44"/>
    <n v="393.12"/>
    <x v="1"/>
  </r>
  <r>
    <s v="FLUJO"/>
    <n v="20605753478"/>
    <s v="ESTACION DE SERVICIOS BATMAN E.I.R.L."/>
    <s v="202507"/>
    <x v="44"/>
    <n v="658.33999999999992"/>
    <x v="1"/>
  </r>
  <r>
    <s v="FLUJO"/>
    <n v="20606573228"/>
    <s v="CNC DIGITAL EIRL"/>
    <s v="202507, 202508"/>
    <x v="44"/>
    <n v="347.92"/>
    <x v="1"/>
  </r>
  <r>
    <s v="FLUJO"/>
    <n v="20602125247"/>
    <s v="PENTAI INGENIERIA Y CONSTRUCCION EIRL"/>
    <s v="202506"/>
    <x v="44"/>
    <n v="132.6"/>
    <x v="1"/>
  </r>
  <r>
    <s v="FLUJO"/>
    <n v="20604443891"/>
    <s v="RENTEQ MAQUINARIAS SAC"/>
    <s v="202505, 202504"/>
    <x v="44"/>
    <n v="822.31000000000006"/>
    <x v="1"/>
  </r>
  <r>
    <s v="FLUJO"/>
    <n v="20609877660"/>
    <s v="MANEJOS ADMINISTRATIVOS EMPRESARIALES ZEN SAC"/>
    <s v="202504"/>
    <x v="44"/>
    <n v="620.79999999999995"/>
    <x v="1"/>
  </r>
  <r>
    <s v="PRESUNTA"/>
    <n v="10410626913"/>
    <s v="JAIME EDUARDO MENDOZA TORRES"/>
    <s v="202508, 202507"/>
    <x v="44"/>
    <n v="298.54000000000002"/>
    <x v="1"/>
  </r>
  <r>
    <s v="PRESUNTA"/>
    <n v="20600614348"/>
    <s v="ICEMA E.I.R.L."/>
    <s v="202508, 202507"/>
    <x v="44"/>
    <n v="2852.6099999999997"/>
    <x v="1"/>
  </r>
  <r>
    <s v="PRESUNTA"/>
    <n v="20609320738"/>
    <s v="EXPERTOS EN NEGOCIOS 3A SRL"/>
    <s v="202505, 202504"/>
    <x v="44"/>
    <n v="306.61"/>
    <x v="1"/>
  </r>
  <r>
    <s v="PRESUNTA"/>
    <n v="20605037811"/>
    <s v="CORPORACIÃ“N EMPRESARIAL PRC SAC"/>
    <s v="202303"/>
    <x v="44"/>
    <n v="306.66999999999996"/>
    <x v="1"/>
  </r>
  <r>
    <s v="FLUJO"/>
    <n v="10722819131"/>
    <s v="MURGA PINZON GRACE KELLY"/>
    <s v="202508, 202507"/>
    <x v="45"/>
    <n v="261.85000000000002"/>
    <x v="1"/>
  </r>
  <r>
    <s v="FLUJO"/>
    <n v="20195442062"/>
    <s v="ASOCIACION GRANJA AZUL COUNTRY CLUB DE GOLF"/>
    <s v="202508, 202507, 202506, 202505, 202504, 202503"/>
    <x v="45"/>
    <n v="924.41999999999985"/>
    <x v="1"/>
  </r>
  <r>
    <s v="FLUJO"/>
    <n v="20479369691"/>
    <s v="CENTRO DE CONCILIACIÃ“N PARA LA PAZ"/>
    <s v="202508, 202507, 202506, 202505, 202504, 202503"/>
    <x v="45"/>
    <n v="3590.7000000000003"/>
    <x v="1"/>
  </r>
  <r>
    <s v="FLUJO"/>
    <n v="20495989390"/>
    <s v="COLEGIO QUIMICO FARMACEUTICO DEPARTAMENTAL DE CAJAMARCA"/>
    <s v="202508, 202507"/>
    <x v="45"/>
    <n v="334.66999999999996"/>
    <x v="1"/>
  </r>
  <r>
    <s v="FLUJO"/>
    <n v="20509820334"/>
    <s v="ACCI CARGO SAC"/>
    <s v="202508"/>
    <x v="45"/>
    <n v="323.21999999999997"/>
    <x v="1"/>
  </r>
  <r>
    <s v="FLUJO"/>
    <n v="20536688286"/>
    <s v="LCF INVERSIONES S.R.L"/>
    <s v="202508"/>
    <x v="45"/>
    <n v="323.14"/>
    <x v="1"/>
  </r>
  <r>
    <s v="FLUJO"/>
    <n v="20600875699"/>
    <s v="DETODOPET S.A.C."/>
    <s v="202508, 202507, 202506"/>
    <x v="45"/>
    <n v="767.33999999999992"/>
    <x v="1"/>
  </r>
  <r>
    <s v="FLUJO"/>
    <n v="20601145970"/>
    <s v="NEGOCIOS E INVERSIONES AURORA SAC"/>
    <s v="202508"/>
    <x v="45"/>
    <n v="957.2700000000001"/>
    <x v="1"/>
  </r>
  <r>
    <s v="FLUJO"/>
    <n v="20602964842"/>
    <s v="URIOBA E.I.R.L."/>
    <s v="202508"/>
    <x v="45"/>
    <n v="403.92"/>
    <x v="1"/>
  </r>
  <r>
    <s v="FLUJO"/>
    <n v="20604562652"/>
    <s v="ILUMIAX INSTALACIONES ELECTRICAS EN EDIFICACIONES EIRL"/>
    <s v="202508"/>
    <x v="45"/>
    <n v="288.51"/>
    <x v="1"/>
  </r>
  <r>
    <s v="FLUJO"/>
    <n v="20605878564"/>
    <s v="MAREN PERU EIRL"/>
    <s v="202508, 202507"/>
    <x v="45"/>
    <n v="288.02999999999997"/>
    <x v="1"/>
  </r>
  <r>
    <s v="FLUJO"/>
    <n v="20607715441"/>
    <s v="CORPORACION CURAT E.I.R.L."/>
    <s v="202508"/>
    <x v="45"/>
    <n v="279.16999999999996"/>
    <x v="1"/>
  </r>
  <r>
    <s v="FLUJO"/>
    <n v="20609277450"/>
    <s v="INVERSIONES PERUANAS TEO SAC"/>
    <s v="202508, 202507, 202506, 202505"/>
    <x v="45"/>
    <n v="1048.1300000000001"/>
    <x v="1"/>
  </r>
  <r>
    <s v="FLUJO"/>
    <n v="20609941163"/>
    <s v="DATA SCIENCE ANALYSIS E.I.R.L."/>
    <s v="202508, 202507, 202506"/>
    <x v="45"/>
    <n v="510.26000000000005"/>
    <x v="1"/>
  </r>
  <r>
    <s v="FLUJO"/>
    <n v="20610184449"/>
    <s v="AMFLEX SOLUCIONES VIALES S.A.C."/>
    <s v="202508"/>
    <x v="45"/>
    <n v="230.81"/>
    <x v="1"/>
  </r>
  <r>
    <s v="FLUJO"/>
    <n v="20611265337"/>
    <s v="CONCRELABMIX SAC"/>
    <s v="202508"/>
    <x v="45"/>
    <n v="262.93"/>
    <x v="1"/>
  </r>
  <r>
    <s v="FLUJO"/>
    <n v="20613179691"/>
    <s v="CONSORCIO EDUCATIVO PROJECTS SERVICES SOLUTION S.A.C."/>
    <s v="202508"/>
    <x v="45"/>
    <n v="299.59000000000003"/>
    <x v="1"/>
  </r>
  <r>
    <s v="FLUJO"/>
    <n v="20600987047"/>
    <s v="GRUPO DORADO SERVICIOS GENERALES EIRL"/>
    <s v="202507, 202506"/>
    <x v="45"/>
    <n v="1014.19"/>
    <x v="1"/>
  </r>
  <r>
    <s v="FLUJO"/>
    <n v="20601491002"/>
    <s v="ZEMATEL CUSCO EIRL"/>
    <s v="202507"/>
    <x v="45"/>
    <n v="131.44"/>
    <x v="1"/>
  </r>
  <r>
    <s v="FLUJO"/>
    <n v="20611260831"/>
    <s v="GRUPO MEKA INMOBILIARIA Y CONSTRUCTORA S.A.C."/>
    <s v="202507, 202506, 202505, 202504"/>
    <x v="45"/>
    <n v="883.69999999999993"/>
    <x v="1"/>
  </r>
  <r>
    <s v="FLUJO"/>
    <n v="20606587334"/>
    <s v="EPM LEGAL MANAGEMENT S.A.C."/>
    <s v="202506, 202505, 202504, 202503, 202508, 202507"/>
    <x v="45"/>
    <n v="1061.8399999999999"/>
    <x v="1"/>
  </r>
  <r>
    <s v="FLUJO"/>
    <n v="20604260923"/>
    <s v="BIO EMPAQUES S.A.C."/>
    <s v="202505, 202504, 202507, 202506"/>
    <x v="45"/>
    <n v="533.45999999999992"/>
    <x v="1"/>
  </r>
  <r>
    <s v="PRESUNTA"/>
    <n v="20482844694"/>
    <s v="DIESEL TRUCK PARTS SAC"/>
    <s v="202508"/>
    <x v="45"/>
    <n v="744.83"/>
    <x v="1"/>
  </r>
  <r>
    <s v="REAL TOTAL"/>
    <n v="20611115025"/>
    <s v="ALOHA PEM S.A.C."/>
    <s v="202503"/>
    <x v="45"/>
    <n v="272.38"/>
    <x v="1"/>
  </r>
  <r>
    <s v="REAL TOTAL"/>
    <n v="20611654279"/>
    <s v="CONSORCIO JIANGO CONSTRUCTORES"/>
    <s v="202502"/>
    <x v="45"/>
    <n v="197.98000000000002"/>
    <x v="1"/>
  </r>
  <r>
    <s v="REAL TOTAL"/>
    <n v="20612206334"/>
    <s v="CONSORCIO DEYSUR"/>
    <s v="202502"/>
    <x v="45"/>
    <n v="386.94"/>
    <x v="1"/>
  </r>
  <r>
    <s v="REAL TOTAL"/>
    <n v="20565209290"/>
    <s v="FRANSU TRADING SAC"/>
    <s v="201910, 201909, 201908"/>
    <x v="45"/>
    <n v="754.72"/>
    <x v="1"/>
  </r>
  <r>
    <s v="REAL TOTAL"/>
    <n v="20379559141"/>
    <s v="HIPER FAST SAC"/>
    <s v="201108"/>
    <x v="45"/>
    <n v="64.39"/>
    <x v="1"/>
  </r>
  <r>
    <s v="REAL TOTAL"/>
    <n v="20504874746"/>
    <s v="JUNTA DE PROPIETARIOS DEL EDIFCIO MAR MARIS"/>
    <s v="201007"/>
    <x v="45"/>
    <n v="231.97"/>
    <x v="1"/>
  </r>
  <r>
    <s v="REAL TOTAL"/>
    <n v="20512709088"/>
    <s v="CARDIOPULMONARY CARE SAC"/>
    <s v="201006"/>
    <x v="45"/>
    <n v="221.72"/>
    <x v="1"/>
  </r>
  <r>
    <s v="FLUJO"/>
    <n v="10430270627"/>
    <s v="SANCHEZ SOTO FREDDY ALEJANDRO"/>
    <s v="202508, 202507"/>
    <x v="46"/>
    <n v="288.31"/>
    <x v="1"/>
  </r>
  <r>
    <s v="FLUJO"/>
    <n v="20454041373"/>
    <s v="INVERSIONES Y REPRESENTACIONES FIRENZE SAC"/>
    <s v="202508"/>
    <x v="46"/>
    <n v="391.6"/>
    <x v="1"/>
  </r>
  <r>
    <s v="FLUJO"/>
    <n v="20570586417"/>
    <s v="DAYANNA INGENIEROS SRL"/>
    <s v="202508"/>
    <x v="46"/>
    <n v="543.01"/>
    <x v="1"/>
  </r>
  <r>
    <s v="FLUJO"/>
    <n v="20600112784"/>
    <s v="AGCL STUDIOS  S.A.C."/>
    <s v="202508, 202507, 202506, 202505"/>
    <x v="46"/>
    <n v="581.84999999999991"/>
    <x v="1"/>
  </r>
  <r>
    <s v="FLUJO"/>
    <n v="20610097937"/>
    <s v="SOMBRA IMEX S.A.C."/>
    <s v="202508"/>
    <x v="46"/>
    <n v="223.34"/>
    <x v="1"/>
  </r>
  <r>
    <s v="REAL TOTAL"/>
    <n v="20558653532"/>
    <s v="HIDROMAR G Y M SRL"/>
    <s v="202408, 202407, 202406"/>
    <x v="46"/>
    <n v="1178.31"/>
    <x v="1"/>
  </r>
  <r>
    <s v="FLUJO"/>
    <n v="10182121814"/>
    <s v="MURGA SANTILLAN MARCO ANTONIO"/>
    <s v="202508, 202507"/>
    <x v="47"/>
    <n v="694.48"/>
    <x v="1"/>
  </r>
  <r>
    <s v="FLUJO"/>
    <n v="10752460715"/>
    <s v="TTITO AMAU MISHELL ALEXANDRA"/>
    <s v="202508, 202507, 202506"/>
    <x v="47"/>
    <n v="394.95000000000005"/>
    <x v="1"/>
  </r>
  <r>
    <s v="FLUJO"/>
    <n v="20102982020"/>
    <s v="CLÃNICA VIRGEN DEL PILAR SCRL"/>
    <s v="202508, 202507"/>
    <x v="47"/>
    <n v="1121.46"/>
    <x v="1"/>
  </r>
  <r>
    <s v="FLUJO"/>
    <n v="20212246698"/>
    <s v="ASOCIACION DEPORTIVA ALIANZA SULLANA"/>
    <s v="202508"/>
    <x v="47"/>
    <n v="1328.59"/>
    <x v="1"/>
  </r>
  <r>
    <s v="FLUJO"/>
    <n v="20508330201"/>
    <s v="SOMERLY E.I.R.L."/>
    <s v="202508, 202507, 202506"/>
    <x v="47"/>
    <n v="394.95000000000005"/>
    <x v="1"/>
  </r>
  <r>
    <s v="FLUJO"/>
    <n v="20514777749"/>
    <s v="DESTILERIA VILLACURI SAC"/>
    <s v="202508, 202507, 202506, 202505, 202504"/>
    <x v="47"/>
    <n v="1664.01"/>
    <x v="1"/>
  </r>
  <r>
    <s v="FLUJO"/>
    <n v="20563127229"/>
    <s v="3MD TRANSPORTE Y LOGISTICA SRL"/>
    <s v="202508, 202507"/>
    <x v="47"/>
    <n v="1236.5"/>
    <x v="1"/>
  </r>
  <r>
    <s v="FLUJO"/>
    <n v="20604173575"/>
    <s v="TRANSPORTES GARABANDAL E.I.R.L."/>
    <s v="202508"/>
    <x v="47"/>
    <n v="752.68000000000006"/>
    <x v="1"/>
  </r>
  <r>
    <s v="FLUJO"/>
    <n v="20604543488"/>
    <s v="ATENAS  SAN VALENTIN S A C"/>
    <s v="202508, 202507, 202506, 202505, 202504, 202503"/>
    <x v="47"/>
    <n v="1796.06"/>
    <x v="1"/>
  </r>
  <r>
    <s v="FLUJO"/>
    <n v="20606532777"/>
    <s v="INVERSIONES JHOSDANS E.I.R.L"/>
    <s v="202508, 202507, 202506"/>
    <x v="47"/>
    <n v="394.95000000000005"/>
    <x v="1"/>
  </r>
  <r>
    <s v="FLUJO"/>
    <n v="20607574406"/>
    <s v="AGROVET ANDINA GROUP S.A.C."/>
    <s v="202508"/>
    <x v="47"/>
    <n v="287.18"/>
    <x v="1"/>
  </r>
  <r>
    <s v="FLUJO"/>
    <n v="20608373544"/>
    <s v="SERVICIOS DE TRANSPORTE Y ALQUILER ALTAMIRANO SAC"/>
    <s v="202508, 202507"/>
    <x v="47"/>
    <n v="659"/>
    <x v="1"/>
  </r>
  <r>
    <s v="FLUJO"/>
    <n v="20610886214"/>
    <s v="PERU MALLAS VIP SAC"/>
    <s v="202508, 202507"/>
    <x v="47"/>
    <n v="262.10000000000002"/>
    <x v="1"/>
  </r>
  <r>
    <s v="FLUJO"/>
    <n v="10465159800"/>
    <s v="CARRERA MELGAR JEFFRY MARTIN"/>
    <s v="202507, 202506"/>
    <x v="47"/>
    <n v="290.86"/>
    <x v="1"/>
  </r>
  <r>
    <s v="FLUJO"/>
    <n v="20366248766"/>
    <s v="SIKMAZ SERVICE EIRL"/>
    <s v="202505, 202507, 202506"/>
    <x v="47"/>
    <n v="398.93999999999994"/>
    <x v="1"/>
  </r>
  <r>
    <s v="FLUJO"/>
    <n v="20603441312"/>
    <s v="TRANSPORTES MOLLE SOCIEDAD ANONIMA CERRADA"/>
    <s v="202508"/>
    <x v="47"/>
    <n v="301.85000000000002"/>
    <x v="1"/>
  </r>
  <r>
    <s v="PRESUNTA"/>
    <n v="20450583953"/>
    <s v="FATSUR SRL"/>
    <s v="202508, 202507, 202506, 202505, 202504"/>
    <x v="47"/>
    <n v="470.17"/>
    <x v="1"/>
  </r>
  <r>
    <s v="PRESUNTA"/>
    <n v="20603583371"/>
    <s v="TAYPI UMA COMERCIO Y SERVICIOS GENERALES E.I.R.L."/>
    <s v="202508"/>
    <x v="47"/>
    <n v="287.18"/>
    <x v="1"/>
  </r>
  <r>
    <s v="PRESUNTA"/>
    <n v="20608866851"/>
    <s v="CENTRO DE ESPECIALIDADES OFTALMOLOGICAS E.I.R.L."/>
    <s v="202508"/>
    <x v="47"/>
    <n v="130.54"/>
    <x v="1"/>
  </r>
  <r>
    <s v="REAL TOTAL"/>
    <n v="20392819615"/>
    <s v="APS SERVICIOS GENERALES SAC"/>
    <s v="202404"/>
    <x v="47"/>
    <n v="963.44"/>
    <x v="1"/>
  </r>
  <r>
    <s v="REAL TOTAL"/>
    <n v="20601324955"/>
    <s v="SECONS CONSULTORES Y CONTRATISTAS S.A.C."/>
    <s v="201903, 201902"/>
    <x v="47"/>
    <n v="575.39"/>
    <x v="1"/>
  </r>
  <r>
    <s v="REAL TOTAL"/>
    <n v="20518314468"/>
    <s v="ALTA TECNOLOGIA MEDICA SAC"/>
    <s v="201006"/>
    <x v="47"/>
    <n v="219.15"/>
    <x v="1"/>
  </r>
  <r>
    <s v="FLUJO"/>
    <n v="20568106416"/>
    <s v="GRUPO LUCY LIZ SOCIEDAD ANONIMA CERRADA"/>
    <s v="202508, 202507, 202506"/>
    <x v="48"/>
    <n v="394.95000000000005"/>
    <x v="1"/>
  </r>
  <r>
    <s v="FLUJO"/>
    <n v="20600196678"/>
    <s v="AT YOUR SERVICE SRL"/>
    <s v="202508"/>
    <x v="48"/>
    <n v="254.14000000000001"/>
    <x v="1"/>
  </r>
  <r>
    <s v="FLUJO"/>
    <n v="20602930271"/>
    <s v="DIOS BRILLA EN MI SOCIEDAD ANONIMA CERRADA"/>
    <s v="202508"/>
    <x v="48"/>
    <n v="231.04"/>
    <x v="1"/>
  </r>
  <r>
    <s v="FLUJO"/>
    <n v="20603515910"/>
    <s v="SISTEMAS DE LIMPIEZA SAC"/>
    <s v="202508, 202507, 202506, 202505, 202504, 202503, 202502, 202501, 202412, 202411, 202410, 202409, 202408"/>
    <x v="48"/>
    <n v="1914.26"/>
    <x v="1"/>
  </r>
  <r>
    <s v="FLUJO"/>
    <n v="20603691513"/>
    <s v="CORPORACION RACOON SAC"/>
    <s v="202508, 202507, 202506, 202505"/>
    <x v="48"/>
    <n v="528.96"/>
    <x v="1"/>
  </r>
  <r>
    <s v="FLUJO"/>
    <n v="20606002131"/>
    <s v="ANTA CREATIVA SOLUCIONES INTEGRALES SAC"/>
    <s v="202508"/>
    <x v="48"/>
    <n v="242.59"/>
    <x v="1"/>
  </r>
  <r>
    <s v="FLUJO"/>
    <n v="20606072644"/>
    <s v="CORPORACION VERIMOBA S.A.C."/>
    <s v="202508, 202507, 202506, 202505, 202504"/>
    <x v="48"/>
    <n v="664.12"/>
    <x v="1"/>
  </r>
  <r>
    <s v="FLUJO"/>
    <n v="20606163429"/>
    <s v="LOGISTICA COMPLETA PERU EIRL"/>
    <s v="202508, 202507"/>
    <x v="48"/>
    <n v="262.10000000000002"/>
    <x v="1"/>
  </r>
  <r>
    <s v="FLUJO"/>
    <n v="20611025590"/>
    <s v="TESELIA STUDIO S.R.L."/>
    <s v="202508, 202507, 202506, 202505, 202504"/>
    <x v="48"/>
    <n v="664.12"/>
    <x v="1"/>
  </r>
  <r>
    <s v="FLUJO"/>
    <n v="20613317997"/>
    <s v="TRANSPORTES NATALE S.A.C."/>
    <s v="202508, 202507"/>
    <x v="48"/>
    <n v="417.5"/>
    <x v="1"/>
  </r>
  <r>
    <s v="FLUJO"/>
    <n v="20601337143"/>
    <s v="IEP GRUPO SAN ANTONIO SAC"/>
    <s v="202504, 202508, 202507, 202506, 202505"/>
    <x v="48"/>
    <n v="664.63"/>
    <x v="1"/>
  </r>
  <r>
    <s v="FLUJO"/>
    <n v="20601244471"/>
    <s v="GRUPO CJC SAC"/>
    <s v="202501, 202412"/>
    <x v="48"/>
    <n v="269.11"/>
    <x v="1"/>
  </r>
  <r>
    <s v="PRESUNTA"/>
    <n v="20610918957"/>
    <s v="RR TELCO SAC"/>
    <s v="202508"/>
    <x v="48"/>
    <n v="492.3"/>
    <x v="1"/>
  </r>
  <r>
    <s v="PRESUNTA"/>
    <n v="20610094113"/>
    <s v="AZ ESTRUCTURAS S.A.C."/>
    <s v="202507"/>
    <x v="48"/>
    <n v="209.57"/>
    <x v="1"/>
  </r>
  <r>
    <s v="REAL TOTAL"/>
    <n v="20610846999"/>
    <s v="EDGAR ALEJANDRO SUAREZ GUERRA E.I.R.L."/>
    <s v="202503"/>
    <x v="48"/>
    <n v="136.31"/>
    <x v="1"/>
  </r>
  <r>
    <s v="REAL TOTAL"/>
    <n v="20605350501"/>
    <s v="VC Y M OPERACIONES COMERCIALES EIRL"/>
    <s v="202412"/>
    <x v="48"/>
    <n v="140.16999999999999"/>
    <x v="1"/>
  </r>
  <r>
    <s v="REAL TOTAL"/>
    <n v="20523401794"/>
    <s v="HC CONSULTING SAC"/>
    <s v="201109"/>
    <x v="48"/>
    <n v="31.25"/>
    <x v="1"/>
  </r>
  <r>
    <s v="REAL TOTAL"/>
    <n v="20522731537"/>
    <s v="GAM ALQUILER PERU SAC"/>
    <s v="201012"/>
    <x v="48"/>
    <n v="109.17"/>
    <x v="1"/>
  </r>
  <r>
    <s v="REAL TOTAL"/>
    <n v="20101097286"/>
    <s v="PANEZ ISHIDA FAESA"/>
    <s v="200907, 200906, 200904, 200903, 200902, 200812, 200607, 200602, 200408, 200401"/>
    <x v="48"/>
    <n v="11250.240000000002"/>
    <x v="1"/>
  </r>
  <r>
    <s v="FLUJO"/>
    <n v="20481101264"/>
    <s v="EXCELENTS EIRL"/>
    <s v="202508, 202507, 202506, 202505"/>
    <x v="49"/>
    <n v="529.22"/>
    <x v="1"/>
  </r>
  <r>
    <s v="FLUJO"/>
    <n v="20554010556"/>
    <s v="SERMED SERVICIOS INTEGRALES EN MEDICINA ESPECIALIZADA S.A.C."/>
    <s v="202508"/>
    <x v="49"/>
    <n v="417.37"/>
    <x v="1"/>
  </r>
  <r>
    <s v="FLUJO"/>
    <n v="20602493831"/>
    <s v="HIDRO SUPPLY EIRL"/>
    <s v="202508"/>
    <x v="49"/>
    <n v="1098.6399999999999"/>
    <x v="1"/>
  </r>
  <r>
    <s v="FLUJO"/>
    <n v="20602598811"/>
    <s v="AGROINDUSTRIAS ESPEJO PALOMINO SAC"/>
    <s v="202508"/>
    <x v="49"/>
    <n v="287.18"/>
    <x v="1"/>
  </r>
  <r>
    <s v="FLUJO"/>
    <n v="20603542194"/>
    <s v="CONSTRUCCION REDES Y TELECOMUNICACIONES SAC"/>
    <s v="202508"/>
    <x v="49"/>
    <n v="261.08"/>
    <x v="1"/>
  </r>
  <r>
    <s v="FLUJO"/>
    <n v="20612051004"/>
    <s v="J  S REAL STATE PERU S.A.C."/>
    <s v="202508, 202507"/>
    <x v="49"/>
    <n v="262.24"/>
    <x v="1"/>
  </r>
  <r>
    <s v="FLUJO"/>
    <n v="20613730509"/>
    <s v="GRUPO DIAMOND S.A.C."/>
    <s v="202508, 202507, 202506, 202505"/>
    <x v="49"/>
    <n v="1405"/>
    <x v="1"/>
  </r>
  <r>
    <s v="FLUJO"/>
    <n v="20614073331"/>
    <s v="SECUREVEST E.I.R.L"/>
    <s v="202508, 202507"/>
    <x v="49"/>
    <n v="1066.44"/>
    <x v="1"/>
  </r>
  <r>
    <s v="FLUJO"/>
    <n v="20608296167"/>
    <s v="DIFAMMEI S.A.C"/>
    <s v="202507"/>
    <x v="49"/>
    <n v="233.09"/>
    <x v="1"/>
  </r>
  <r>
    <s v="FLUJO"/>
    <n v="20613167260"/>
    <s v="BIOFER TRADING S.A.C."/>
    <s v="202507"/>
    <x v="49"/>
    <n v="145.69"/>
    <x v="1"/>
  </r>
  <r>
    <s v="FLUJO"/>
    <n v="20551180272"/>
    <s v="YM CONTRATISTAS SAC"/>
    <s v="202506"/>
    <x v="49"/>
    <n v="176.35"/>
    <x v="1"/>
  </r>
  <r>
    <s v="FLUJO"/>
    <n v="20525653162"/>
    <s v="CORPORACION INTERN. CARRILLO E.I.R.L."/>
    <s v="202505"/>
    <x v="49"/>
    <n v="147.55000000000001"/>
    <x v="1"/>
  </r>
  <r>
    <s v="FLUJO"/>
    <n v="20602468748"/>
    <s v="PG SCHLUMBOHM SAC"/>
    <s v="202504, 202503"/>
    <x v="49"/>
    <n v="1469.3400000000001"/>
    <x v="1"/>
  </r>
  <r>
    <s v="FLUJO"/>
    <n v="20607013927"/>
    <s v="REYDEOROS COMPANY S.A.C."/>
    <s v="202504, 202507, 202506, 202505, 202508"/>
    <x v="49"/>
    <n v="1117.52"/>
    <x v="1"/>
  </r>
  <r>
    <s v="FLUJO"/>
    <n v="20602965563"/>
    <s v="TIVOLI GROUP SAC"/>
    <s v="202508, 202507"/>
    <x v="49"/>
    <n v="290.09000000000003"/>
    <x v="1"/>
  </r>
  <r>
    <s v="FLUJO"/>
    <n v="20613570501"/>
    <s v="JECK CONSTRUCCIONES EIRL"/>
    <s v="202508, 202507"/>
    <x v="49"/>
    <n v="301.68"/>
    <x v="1"/>
  </r>
  <r>
    <s v="PRESUNTA"/>
    <n v="20608756427"/>
    <s v="DISTRIBUIDORA FARMACÃ‰UTICA MEDICAL PERÃš S.A.C"/>
    <s v="202508"/>
    <x v="49"/>
    <n v="65.260000000000005"/>
    <x v="1"/>
  </r>
  <r>
    <s v="REAL TOTAL"/>
    <n v="20603642059"/>
    <s v="Fazza Consultores S.A.C."/>
    <s v="202310, 202309, 202308"/>
    <x v="49"/>
    <n v="662.71"/>
    <x v="1"/>
  </r>
  <r>
    <s v="REAL TOTAL"/>
    <n v="20392983504"/>
    <s v="COMERCIALIZADORA MARGAGU EIRL"/>
    <s v="202204, 202203"/>
    <x v="49"/>
    <n v="5.96"/>
    <x v="1"/>
  </r>
  <r>
    <s v="FLUJO"/>
    <n v="20515307720"/>
    <s v="PERUTOURS SAC"/>
    <s v="202508"/>
    <x v="50"/>
    <n v="237.06"/>
    <x v="1"/>
  </r>
  <r>
    <s v="FLUJO"/>
    <n v="20610665501"/>
    <s v="PLANCK X ENERGY PERÃš S.A.C.S"/>
    <s v="202508"/>
    <x v="50"/>
    <n v="578.16"/>
    <x v="1"/>
  </r>
  <r>
    <s v="FLUJO"/>
    <n v="20610791086"/>
    <s v="V-LOZ OPERADOR LOGISTICO S.A.C."/>
    <s v="202508, 202507, 202506, 202505, 202504"/>
    <x v="50"/>
    <n v="1270.27"/>
    <x v="1"/>
  </r>
  <r>
    <s v="FLUJO"/>
    <n v="20611713062"/>
    <s v="24 CUADROS AUDIOVISUAL S.A.C."/>
    <s v="202508, 202507, 202506, 202505, 202504"/>
    <x v="50"/>
    <n v="1176.5800000000002"/>
    <x v="1"/>
  </r>
  <r>
    <s v="FLUJO"/>
    <n v="20506684286"/>
    <s v="TACTICO MKT SAC"/>
    <s v="202507, 202506, 202505, 202504, 202503"/>
    <x v="50"/>
    <n v="670.55"/>
    <x v="1"/>
  </r>
  <r>
    <s v="FLUJO"/>
    <n v="20570835492"/>
    <s v="ALFRED TRANS EIRL"/>
    <s v="202506, 202505, 202508, 202507"/>
    <x v="50"/>
    <n v="529.47"/>
    <x v="1"/>
  </r>
  <r>
    <s v="REAL TOTAL"/>
    <n v="20536708732"/>
    <s v="TRIBALHOST SOCIEDAD ANONIMA CERRADA"/>
    <s v="202503"/>
    <x v="50"/>
    <n v="136.45000000000002"/>
    <x v="1"/>
  </r>
  <r>
    <s v="REAL TOTAL"/>
    <n v="20613488619"/>
    <s v="VIGILANCIA TAURO SOCIEDAD ANONIMA CERRADA"/>
    <s v="202501"/>
    <x v="50"/>
    <n v="138.76"/>
    <x v="1"/>
  </r>
  <r>
    <s v="REAL TOTAL"/>
    <n v="20306470338"/>
    <s v="inversiones y Negocios del Norte SAC"/>
    <s v="200211"/>
    <x v="50"/>
    <n v="496.68"/>
    <x v="1"/>
  </r>
  <r>
    <s v="FLUJO"/>
    <n v="20502026586"/>
    <s v="PATT FRESH SAC"/>
    <s v="202508"/>
    <x v="51"/>
    <n v="462.53000000000003"/>
    <x v="1"/>
  </r>
  <r>
    <s v="FLUJO"/>
    <n v="20516763273"/>
    <s v="DEGUSTACIONES Y SERVICIOS SAC"/>
    <s v="202508"/>
    <x v="51"/>
    <n v="236.20000000000002"/>
    <x v="1"/>
  </r>
  <r>
    <s v="FLUJO"/>
    <n v="20559860965"/>
    <s v="MONTE LUMER S.A.C."/>
    <s v="202508, 202506"/>
    <x v="51"/>
    <n v="447.36"/>
    <x v="1"/>
  </r>
  <r>
    <s v="FLUJO"/>
    <n v="20600289242"/>
    <s v="CORPORACION LOGISTICA F Y P SRL"/>
    <s v="202508, 202507, 202506, 202505, 202504"/>
    <x v="51"/>
    <n v="633.28"/>
    <x v="1"/>
  </r>
  <r>
    <s v="FLUJO"/>
    <n v="20602224181"/>
    <s v="CAIDIESEL S &amp; R S.A.C"/>
    <s v="202508, 202507"/>
    <x v="51"/>
    <n v="1319.94"/>
    <x v="1"/>
  </r>
  <r>
    <s v="FLUJO"/>
    <n v="20602748473"/>
    <s v="NEGOCIACIONES TH SAC"/>
    <s v="202508, 202507"/>
    <x v="51"/>
    <n v="262.36"/>
    <x v="1"/>
  </r>
  <r>
    <s v="FLUJO"/>
    <n v="20602944710"/>
    <s v="EBALS CONSULTORES SAC"/>
    <s v="202508, 202507, 202506"/>
    <x v="51"/>
    <n v="2072.14"/>
    <x v="1"/>
  </r>
  <r>
    <s v="FLUJO"/>
    <n v="20606539674"/>
    <s v="TRANSPORTES LAS PERLAS DEL PACIFICO EIRL"/>
    <s v="202508, 202507"/>
    <x v="51"/>
    <n v="262.36"/>
    <x v="1"/>
  </r>
  <r>
    <s v="FLUJO"/>
    <n v="20607677175"/>
    <s v="PEGASUS C  E S.A.C."/>
    <s v="202508, 202507, 202506, 202505, 202504, 202503"/>
    <x v="51"/>
    <n v="881.35"/>
    <x v="1"/>
  </r>
  <r>
    <s v="FLUJO"/>
    <n v="20607706213"/>
    <s v="JAML FER E.I.R.L."/>
    <s v="202508, 202507, 202506"/>
    <x v="51"/>
    <n v="395.34000000000003"/>
    <x v="1"/>
  </r>
  <r>
    <s v="FLUJO"/>
    <n v="20611756586"/>
    <s v="CONSORCIO AEROFACHADAS"/>
    <s v="202508"/>
    <x v="51"/>
    <n v="720.3"/>
    <x v="1"/>
  </r>
  <r>
    <s v="FLUJO"/>
    <n v="20614304881"/>
    <s v="MIRKODONI INDUSTRIAS PANADERIA Y PASTELERIA E.I.R.L."/>
    <s v="202508"/>
    <x v="51"/>
    <n v="391.99"/>
    <x v="1"/>
  </r>
  <r>
    <s v="FLUJO"/>
    <n v="20605325174"/>
    <s v="VALUM VIC E.I.R.L."/>
    <s v="202507, 202506"/>
    <x v="51"/>
    <n v="264.67999999999995"/>
    <x v="1"/>
  </r>
  <r>
    <s v="FLUJO"/>
    <n v="20610198075"/>
    <s v="INVERSIONES JOVALI S.A.C."/>
    <s v="202507, 202506"/>
    <x v="51"/>
    <n v="281.07"/>
    <x v="1"/>
  </r>
  <r>
    <s v="FLUJO"/>
    <n v="10095822245"/>
    <s v="COPARA LLANOS JANET VIOLETA"/>
    <s v="202503"/>
    <x v="51"/>
    <n v="545.78"/>
    <x v="1"/>
  </r>
  <r>
    <s v="REAL TOTAL"/>
    <n v="20516557371"/>
    <s v="SERVICIOS NAVALES E INDUSTRIALES VELASQUEZ SAC"/>
    <s v="200812"/>
    <x v="51"/>
    <n v="51.89"/>
    <x v="1"/>
  </r>
  <r>
    <s v="FLUJO"/>
    <n v="20547609221"/>
    <s v="ATM Soluciones de IngenierÃ­a SAC"/>
    <s v="202508, 202507"/>
    <x v="52"/>
    <n v="262.61"/>
    <x v="1"/>
  </r>
  <r>
    <s v="REAL TOTAL"/>
    <n v="20556355526"/>
    <s v="BIONIC PERU SOCIEDAD ANONIMA"/>
    <s v="202310, 202309, 202308"/>
    <x v="52"/>
    <n v="446.85"/>
    <x v="1"/>
  </r>
  <r>
    <s v="FLUJO"/>
    <n v="10097569636"/>
    <s v="ESPINOZA RAMIREZ ESPERANZA AMPARO"/>
    <s v="202508"/>
    <x v="53"/>
    <n v="279.99"/>
    <x v="1"/>
  </r>
  <r>
    <s v="FLUJO"/>
    <n v="20384484981"/>
    <s v="INVERSIONES YOLY SRL"/>
    <s v="202508"/>
    <x v="53"/>
    <n v="261.58999999999997"/>
    <x v="1"/>
  </r>
  <r>
    <s v="FLUJO"/>
    <n v="20517740781"/>
    <s v="CONSTRUCTORA CINCO ESTRELLA S.A.C."/>
    <s v="202508"/>
    <x v="53"/>
    <n v="868.1"/>
    <x v="1"/>
  </r>
  <r>
    <s v="FLUJO"/>
    <n v="20603869932"/>
    <s v="MEGA LOGISTICA GEO EIRL"/>
    <s v="202508, 202507, 202506, 202505, 202504"/>
    <x v="53"/>
    <n v="665.41"/>
    <x v="1"/>
  </r>
  <r>
    <s v="FLUJO"/>
    <n v="20565679253"/>
    <s v="CONSORCIO RUMI TOURS SAC"/>
    <s v="202507"/>
    <x v="53"/>
    <n v="131.82"/>
    <x v="1"/>
  </r>
  <r>
    <s v="FLUJO"/>
    <n v="20543418065"/>
    <s v="SERVIMULT JESUS DE SIRAC SRL"/>
    <s v="202506, 202505, 202504"/>
    <x v="53"/>
    <n v="499.03"/>
    <x v="1"/>
  </r>
  <r>
    <s v="PRESUNTA"/>
    <n v="20523897048"/>
    <s v="COOPERATIVA DE AHORRO Y CREDITO PROMOTORA DE NEGOCIOS Y SER"/>
    <s v="202508"/>
    <x v="53"/>
    <n v="173.62"/>
    <x v="1"/>
  </r>
  <r>
    <s v="REAL TOTAL"/>
    <n v="20564452859"/>
    <s v="DON VICTOR EIRL"/>
    <s v="202503, 202502"/>
    <x v="53"/>
    <n v="274.31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d v="2025-09-01T00:00:00"/>
    <n v="1400.95"/>
    <x v="0"/>
    <x v="0"/>
  </r>
  <r>
    <d v="2025-09-02T00:00:00"/>
    <n v="538.18000000000006"/>
    <x v="0"/>
    <x v="1"/>
  </r>
  <r>
    <d v="2025-09-05T00:00:00"/>
    <n v="825.48"/>
    <x v="0"/>
    <x v="2"/>
  </r>
  <r>
    <d v="2025-09-06T00:00:00"/>
    <n v="8444.68"/>
    <x v="0"/>
    <x v="2"/>
  </r>
  <r>
    <d v="2025-09-08T00:00:00"/>
    <n v="7028.14"/>
    <x v="0"/>
    <x v="3"/>
  </r>
  <r>
    <d v="2025-09-09T00:00:00"/>
    <n v="22665.600000000002"/>
    <x v="0"/>
    <x v="4"/>
  </r>
  <r>
    <d v="2025-09-10T00:00:00"/>
    <n v="24138.450000000004"/>
    <x v="0"/>
    <x v="5"/>
  </r>
  <r>
    <d v="2025-09-11T00:00:00"/>
    <n v="23324.109999999993"/>
    <x v="0"/>
    <x v="6"/>
  </r>
  <r>
    <d v="2025-09-12T00:00:00"/>
    <n v="32190.779999999988"/>
    <x v="0"/>
    <x v="7"/>
  </r>
  <r>
    <d v="2025-09-13T00:00:00"/>
    <n v="944.92"/>
    <x v="0"/>
    <x v="7"/>
  </r>
  <r>
    <d v="2025-09-14T00:00:00"/>
    <n v="1301.9599999999998"/>
    <x v="0"/>
    <x v="7"/>
  </r>
  <r>
    <d v="2025-09-15T00:00:00"/>
    <n v="13028.679999999997"/>
    <x v="0"/>
    <x v="8"/>
  </r>
  <r>
    <d v="2025-09-16T00:00:00"/>
    <n v="17544.099999999999"/>
    <x v="0"/>
    <x v="9"/>
  </r>
  <r>
    <d v="2025-09-17T00:00:00"/>
    <n v="25059.62"/>
    <x v="0"/>
    <x v="10"/>
  </r>
  <r>
    <d v="2025-09-18T00:00:00"/>
    <n v="14925.390000000001"/>
    <x v="0"/>
    <x v="11"/>
  </r>
  <r>
    <d v="2025-09-19T00:00:00"/>
    <n v="40547.550000000003"/>
    <x v="0"/>
    <x v="12"/>
  </r>
  <r>
    <d v="2025-09-20T00:00:00"/>
    <n v="9846.44"/>
    <x v="0"/>
    <x v="12"/>
  </r>
  <r>
    <d v="2025-09-21T00:00:00"/>
    <n v="261.72000000000003"/>
    <x v="0"/>
    <x v="12"/>
  </r>
  <r>
    <d v="2025-09-22T00:00:00"/>
    <n v="6165.6399999999994"/>
    <x v="0"/>
    <x v="13"/>
  </r>
  <r>
    <d v="2025-09-23T00:00:00"/>
    <n v="11526.39"/>
    <x v="0"/>
    <x v="14"/>
  </r>
  <r>
    <d v="2025-09-24T00:00:00"/>
    <n v="13165.15"/>
    <x v="0"/>
    <x v="15"/>
  </r>
  <r>
    <d v="2025-09-25T00:00:00"/>
    <n v="10654.599999999999"/>
    <x v="0"/>
    <x v="16"/>
  </r>
  <r>
    <d v="2025-09-26T00:00:00"/>
    <n v="11325.130000000001"/>
    <x v="0"/>
    <x v="17"/>
  </r>
  <r>
    <d v="2025-09-27T00:00:00"/>
    <n v="86203.489999999991"/>
    <x v="0"/>
    <x v="17"/>
  </r>
  <r>
    <d v="2025-09-29T00:00:00"/>
    <n v="36950.340000000004"/>
    <x v="0"/>
    <x v="18"/>
  </r>
  <r>
    <d v="2025-09-30T00:00:00"/>
    <n v="29537.409999999996"/>
    <x v="0"/>
    <x v="19"/>
  </r>
  <r>
    <d v="2025-10-01T00:00:00"/>
    <n v="8786.5799999999981"/>
    <x v="0"/>
    <x v="0"/>
  </r>
  <r>
    <d v="2025-10-02T00:00:00"/>
    <n v="2557.1499999999996"/>
    <x v="0"/>
    <x v="1"/>
  </r>
  <r>
    <d v="2025-10-03T00:00:00"/>
    <n v="37352.100000000006"/>
    <x v="0"/>
    <x v="20"/>
  </r>
  <r>
    <d v="2025-10-04T00:00:00"/>
    <n v="1161.1000000000001"/>
    <x v="0"/>
    <x v="20"/>
  </r>
  <r>
    <d v="2025-10-06T00:00:00"/>
    <n v="1172.78"/>
    <x v="0"/>
    <x v="21"/>
  </r>
  <r>
    <d v="2025-10-07T00:00:00"/>
    <n v="17699.419999999998"/>
    <x v="0"/>
    <x v="2"/>
  </r>
  <r>
    <d v="2025-10-09T00:00:00"/>
    <n v="1604.3799999999999"/>
    <x v="0"/>
    <x v="3"/>
  </r>
  <r>
    <d v="2025-10-03T00:00:00"/>
    <n v="1944.4299999999998"/>
    <x v="1"/>
    <x v="20"/>
  </r>
  <r>
    <d v="2025-10-04T00:00:00"/>
    <n v="2309.1800000000003"/>
    <x v="1"/>
    <x v="20"/>
  </r>
  <r>
    <d v="2025-10-05T00:00:00"/>
    <n v="229.45000000000002"/>
    <x v="1"/>
    <x v="20"/>
  </r>
  <r>
    <d v="2025-10-06T00:00:00"/>
    <n v="13533.270000000004"/>
    <x v="1"/>
    <x v="21"/>
  </r>
  <r>
    <d v="2025-10-07T00:00:00"/>
    <n v="17927.23"/>
    <x v="1"/>
    <x v="2"/>
  </r>
  <r>
    <d v="2025-10-08T00:00:00"/>
    <n v="6721.4299999999994"/>
    <x v="1"/>
    <x v="2"/>
  </r>
  <r>
    <d v="2025-10-09T00:00:00"/>
    <n v="20019.27"/>
    <x v="1"/>
    <x v="3"/>
  </r>
  <r>
    <d v="2025-10-10T00:00:00"/>
    <n v="56087.339999999982"/>
    <x v="1"/>
    <x v="4"/>
  </r>
  <r>
    <d v="2025-10-11T00:00:00"/>
    <n v="6562.73"/>
    <x v="1"/>
    <x v="4"/>
  </r>
  <r>
    <d v="2025-10-12T00:00:00"/>
    <n v="2682.9300000000003"/>
    <x v="1"/>
    <x v="4"/>
  </r>
  <r>
    <d v="2025-10-13T00:00:00"/>
    <n v="19346.329999999998"/>
    <x v="1"/>
    <x v="5"/>
  </r>
  <r>
    <d v="2025-10-14T00:00:00"/>
    <n v="25410.94000000001"/>
    <x v="1"/>
    <x v="6"/>
  </r>
  <r>
    <d v="2025-10-15T00:00:00"/>
    <n v="26511.91"/>
    <x v="1"/>
    <x v="7"/>
  </r>
  <r>
    <d v="2025-10-16T00:00:00"/>
    <n v="47811.360000000001"/>
    <x v="1"/>
    <x v="8"/>
  </r>
  <r>
    <d v="2025-10-17T00:00:00"/>
    <n v="19721.870000000006"/>
    <x v="1"/>
    <x v="9"/>
  </r>
  <r>
    <d v="2025-10-18T00:00:00"/>
    <n v="9094.35"/>
    <x v="1"/>
    <x v="9"/>
  </r>
  <r>
    <d v="2025-10-19T00:00:00"/>
    <n v="523.27"/>
    <x v="1"/>
    <x v="9"/>
  </r>
  <r>
    <d v="2025-10-20T00:00:00"/>
    <n v="20335.22"/>
    <x v="1"/>
    <x v="10"/>
  </r>
  <r>
    <d v="2025-10-21T00:00:00"/>
    <n v="16717.039999999997"/>
    <x v="1"/>
    <x v="11"/>
  </r>
  <r>
    <d v="2025-10-22T00:00:00"/>
    <n v="9155.98"/>
    <x v="1"/>
    <x v="12"/>
  </r>
  <r>
    <d v="2025-10-23T00:00:00"/>
    <n v="14312.800000000001"/>
    <x v="1"/>
    <x v="13"/>
  </r>
  <r>
    <d v="2025-10-24T00:00:00"/>
    <n v="17593.519999999997"/>
    <x v="1"/>
    <x v="14"/>
  </r>
  <r>
    <d v="2025-10-25T00:00:00"/>
    <n v="3206.4199999999996"/>
    <x v="1"/>
    <x v="14"/>
  </r>
  <r>
    <d v="2025-10-27T00:00:00"/>
    <n v="14624.43"/>
    <x v="1"/>
    <x v="15"/>
  </r>
  <r>
    <d v="2025-10-28T00:00:00"/>
    <n v="18876.530000000002"/>
    <x v="1"/>
    <x v="16"/>
  </r>
  <r>
    <d v="2025-10-29T00:00:00"/>
    <n v="9942.41"/>
    <x v="1"/>
    <x v="17"/>
  </r>
  <r>
    <d v="2025-10-30T00:00:00"/>
    <n v="5233.9800000000005"/>
    <x v="1"/>
    <x v="18"/>
  </r>
  <r>
    <d v="2025-10-31T00:00:00"/>
    <n v="9228.57"/>
    <x v="1"/>
    <x v="19"/>
  </r>
  <r>
    <d v="2025-11-01T00:00:00"/>
    <n v="709.46"/>
    <x v="1"/>
    <x v="0"/>
  </r>
  <r>
    <d v="2025-11-03T00:00:00"/>
    <n v="3153.87"/>
    <x v="1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d v="2025-09-08T00:00:00"/>
    <n v="23"/>
    <n v="7028.14"/>
    <x v="0"/>
    <x v="0"/>
  </r>
  <r>
    <d v="2025-09-09T00:00:00"/>
    <n v="46"/>
    <n v="22665.600000000002"/>
    <x v="1"/>
    <x v="0"/>
  </r>
  <r>
    <d v="2025-09-10T00:00:00"/>
    <n v="49"/>
    <n v="24138.450000000004"/>
    <x v="2"/>
    <x v="0"/>
  </r>
  <r>
    <d v="2025-09-11T00:00:00"/>
    <n v="44"/>
    <n v="23324.109999999993"/>
    <x v="3"/>
    <x v="0"/>
  </r>
  <r>
    <d v="2025-09-12T00:00:00"/>
    <n v="39"/>
    <n v="32190.779999999988"/>
    <x v="4"/>
    <x v="0"/>
  </r>
  <r>
    <d v="2025-09-13T00:00:00"/>
    <n v="4"/>
    <n v="944.92"/>
    <x v="4"/>
    <x v="0"/>
  </r>
  <r>
    <d v="2025-09-14T00:00:00"/>
    <n v="5"/>
    <n v="1301.9599999999998"/>
    <x v="4"/>
    <x v="0"/>
  </r>
  <r>
    <d v="2025-09-15T00:00:00"/>
    <n v="19"/>
    <n v="13028.679999999997"/>
    <x v="5"/>
    <x v="0"/>
  </r>
  <r>
    <d v="2025-09-16T00:00:00"/>
    <n v="26"/>
    <n v="17544.099999999999"/>
    <x v="6"/>
    <x v="0"/>
  </r>
  <r>
    <d v="2025-09-17T00:00:00"/>
    <n v="45"/>
    <n v="25059.62"/>
    <x v="7"/>
    <x v="0"/>
  </r>
  <r>
    <d v="2025-09-18T00:00:00"/>
    <n v="33"/>
    <n v="14925.390000000001"/>
    <x v="8"/>
    <x v="0"/>
  </r>
  <r>
    <d v="2025-09-19T00:00:00"/>
    <n v="23"/>
    <n v="40547.550000000003"/>
    <x v="9"/>
    <x v="0"/>
  </r>
  <r>
    <d v="2025-09-20T00:00:00"/>
    <n v="13"/>
    <n v="9846.44"/>
    <x v="9"/>
    <x v="0"/>
  </r>
  <r>
    <d v="2025-09-21T00:00:00"/>
    <n v="1"/>
    <n v="261.72000000000003"/>
    <x v="9"/>
    <x v="0"/>
  </r>
  <r>
    <d v="2025-09-22T00:00:00"/>
    <n v="14"/>
    <n v="6165.6399999999994"/>
    <x v="10"/>
    <x v="0"/>
  </r>
  <r>
    <d v="2025-09-23T00:00:00"/>
    <n v="23"/>
    <n v="11526.39"/>
    <x v="11"/>
    <x v="0"/>
  </r>
  <r>
    <d v="2025-09-24T00:00:00"/>
    <n v="21"/>
    <n v="13165.15"/>
    <x v="12"/>
    <x v="0"/>
  </r>
  <r>
    <d v="2025-09-25T00:00:00"/>
    <n v="26"/>
    <n v="10654.599999999999"/>
    <x v="13"/>
    <x v="0"/>
  </r>
  <r>
    <d v="2025-09-26T00:00:00"/>
    <n v="22"/>
    <n v="11325.130000000001"/>
    <x v="14"/>
    <x v="0"/>
  </r>
  <r>
    <d v="2025-09-27T00:00:00"/>
    <n v="9"/>
    <n v="86203.489999999991"/>
    <x v="14"/>
    <x v="0"/>
  </r>
  <r>
    <d v="2025-09-29T00:00:00"/>
    <n v="21"/>
    <n v="36950.340000000004"/>
    <x v="15"/>
    <x v="0"/>
  </r>
  <r>
    <d v="2025-09-30T00:00:00"/>
    <n v="21"/>
    <n v="29537.409999999996"/>
    <x v="16"/>
    <x v="0"/>
  </r>
  <r>
    <d v="2025-10-01T00:00:00"/>
    <n v="21"/>
    <n v="8786.5799999999981"/>
    <x v="17"/>
    <x v="0"/>
  </r>
  <r>
    <d v="2025-10-02T00:00:00"/>
    <n v="9"/>
    <n v="2557.1499999999996"/>
    <x v="18"/>
    <x v="0"/>
  </r>
  <r>
    <d v="2025-10-03T00:00:00"/>
    <n v="18"/>
    <n v="39296.530000000013"/>
    <x v="19"/>
    <x v="0"/>
  </r>
  <r>
    <d v="2025-10-04T00:00:00"/>
    <n v="10"/>
    <n v="3470.2799999999997"/>
    <x v="19"/>
    <x v="0"/>
  </r>
  <r>
    <d v="2025-10-05T00:00:00"/>
    <n v="1"/>
    <n v="229.45000000000002"/>
    <x v="19"/>
    <x v="0"/>
  </r>
  <r>
    <d v="2025-10-06T00:00:00"/>
    <n v="24"/>
    <n v="14706.049999999997"/>
    <x v="0"/>
    <x v="1"/>
  </r>
  <r>
    <d v="2025-10-07T00:00:00"/>
    <n v="44"/>
    <n v="35626.649999999994"/>
    <x v="1"/>
    <x v="1"/>
  </r>
  <r>
    <d v="2025-10-08T00:00:00"/>
    <n v="7"/>
    <n v="6721.43"/>
    <x v="2"/>
    <x v="1"/>
  </r>
  <r>
    <d v="2025-10-09T00:00:00"/>
    <n v="36"/>
    <n v="21623.65"/>
    <x v="3"/>
    <x v="1"/>
  </r>
  <r>
    <d v="2025-10-10T00:00:00"/>
    <n v="45"/>
    <n v="56087.340000000004"/>
    <x v="4"/>
    <x v="1"/>
  </r>
  <r>
    <d v="2025-10-11T00:00:00"/>
    <n v="19"/>
    <n v="6562.73"/>
    <x v="4"/>
    <x v="1"/>
  </r>
  <r>
    <d v="2025-10-12T00:00:00"/>
    <n v="3"/>
    <n v="2682.9300000000003"/>
    <x v="4"/>
    <x v="1"/>
  </r>
  <r>
    <d v="2025-10-13T00:00:00"/>
    <n v="23"/>
    <n v="19346.329999999998"/>
    <x v="5"/>
    <x v="1"/>
  </r>
  <r>
    <d v="2025-10-14T00:00:00"/>
    <n v="26"/>
    <n v="25410.940000000002"/>
    <x v="6"/>
    <x v="1"/>
  </r>
  <r>
    <d v="2025-10-15T00:00:00"/>
    <n v="40"/>
    <n v="26511.91"/>
    <x v="7"/>
    <x v="1"/>
  </r>
  <r>
    <d v="2025-10-16T00:00:00"/>
    <n v="34"/>
    <n v="47811.359999999986"/>
    <x v="8"/>
    <x v="1"/>
  </r>
  <r>
    <d v="2025-10-17T00:00:00"/>
    <n v="27"/>
    <n v="19721.869999999995"/>
    <x v="9"/>
    <x v="1"/>
  </r>
  <r>
    <d v="2025-10-18T00:00:00"/>
    <n v="12"/>
    <n v="9094.35"/>
    <x v="9"/>
    <x v="1"/>
  </r>
  <r>
    <d v="2025-10-19T00:00:00"/>
    <n v="2"/>
    <n v="523.27"/>
    <x v="9"/>
    <x v="1"/>
  </r>
  <r>
    <d v="2025-10-20T00:00:00"/>
    <n v="26"/>
    <n v="20335.22"/>
    <x v="10"/>
    <x v="1"/>
  </r>
  <r>
    <d v="2025-10-21T00:00:00"/>
    <n v="22"/>
    <n v="16717.039999999997"/>
    <x v="11"/>
    <x v="1"/>
  </r>
  <r>
    <d v="2025-10-22T00:00:00"/>
    <n v="23"/>
    <n v="9155.9800000000014"/>
    <x v="12"/>
    <x v="1"/>
  </r>
  <r>
    <d v="2025-10-23T00:00:00"/>
    <n v="23"/>
    <n v="14312.799999999997"/>
    <x v="13"/>
    <x v="1"/>
  </r>
  <r>
    <d v="2025-10-24T00:00:00"/>
    <n v="30"/>
    <n v="17593.520000000004"/>
    <x v="14"/>
    <x v="1"/>
  </r>
  <r>
    <d v="2025-10-25T00:00:00"/>
    <n v="6"/>
    <n v="3206.42"/>
    <x v="14"/>
    <x v="1"/>
  </r>
  <r>
    <d v="2025-10-27T00:00:00"/>
    <n v="22"/>
    <n v="14624.430000000004"/>
    <x v="15"/>
    <x v="1"/>
  </r>
  <r>
    <d v="2025-10-28T00:00:00"/>
    <n v="19"/>
    <n v="18876.530000000002"/>
    <x v="16"/>
    <x v="1"/>
  </r>
  <r>
    <d v="2025-10-29T00:00:00"/>
    <n v="19"/>
    <n v="9942.41"/>
    <x v="17"/>
    <x v="1"/>
  </r>
  <r>
    <d v="2025-10-30T00:00:00"/>
    <n v="9"/>
    <n v="5233.9800000000005"/>
    <x v="18"/>
    <x v="1"/>
  </r>
  <r>
    <d v="2025-10-31T00:00:00"/>
    <n v="16"/>
    <n v="9228.57"/>
    <x v="19"/>
    <x v="1"/>
  </r>
  <r>
    <d v="2025-11-01T00:00:00"/>
    <n v="2"/>
    <n v="709.46"/>
    <x v="19"/>
    <x v="1"/>
  </r>
  <r>
    <d v="2025-11-03T00:00:00"/>
    <n v="8"/>
    <n v="3153.8699999999994"/>
    <x v="20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3">
  <r>
    <s v="FLUJO"/>
    <n v="10046361666"/>
    <s v="ROSAS MENDOZA MARIA DEL PILAR"/>
    <s v="202507, 202506"/>
    <x v="0"/>
    <n v="260.56"/>
    <s v="SETIEMBRE"/>
    <n v="1"/>
  </r>
  <r>
    <s v="FLUJO"/>
    <n v="10078860184"/>
    <s v="DULANTO GILARDI OSCAR"/>
    <s v="202507"/>
    <x v="0"/>
    <n v="162.67000000000002"/>
    <s v="SETIEMBRE"/>
    <n v="1"/>
  </r>
  <r>
    <s v="FLUJO"/>
    <n v="10410951695"/>
    <s v="EVANGELISTA JULCA NORMA ISABEL"/>
    <s v="202507"/>
    <x v="0"/>
    <n v="147.88"/>
    <s v="SETIEMBRE"/>
    <n v="1"/>
  </r>
  <r>
    <s v="FLUJO"/>
    <n v="20445526127"/>
    <s v="SERV IND HALAVISI SAC"/>
    <s v="202507"/>
    <x v="0"/>
    <n v="257.28000000000003"/>
    <s v="SETIEMBRE"/>
    <n v="1"/>
  </r>
  <r>
    <s v="FLUJO"/>
    <n v="20488084411"/>
    <s v="PRODUCTOS LACTEOS NATURALES SAC"/>
    <s v="202507, 202506"/>
    <x v="0"/>
    <n v="1486.4299999999998"/>
    <s v="SETIEMBRE"/>
    <n v="1"/>
  </r>
  <r>
    <s v="FLUJO"/>
    <n v="20516235684"/>
    <s v="J. TRIPLE E. E.I.R.L"/>
    <s v="202507"/>
    <x v="0"/>
    <n v="162.67000000000002"/>
    <s v="SETIEMBRE"/>
    <n v="1"/>
  </r>
  <r>
    <s v="FLUJO"/>
    <n v="20544624335"/>
    <s v="GLOBAL TOOLS PERU SAC"/>
    <s v="202507"/>
    <x v="0"/>
    <n v="132.26"/>
    <s v="SETIEMBRE"/>
    <n v="1"/>
  </r>
  <r>
    <s v="FLUJO"/>
    <n v="20549404911"/>
    <s v="REPARACIONES ESPECIALES SAC"/>
    <s v="202507"/>
    <x v="0"/>
    <n v="211.09"/>
    <s v="SETIEMBRE"/>
    <n v="1"/>
  </r>
  <r>
    <s v="FLUJO"/>
    <n v="20549504621"/>
    <s v="SOCIOS SERNOVA SAC"/>
    <s v="202507"/>
    <x v="0"/>
    <n v="147.88"/>
    <s v="SETIEMBRE"/>
    <n v="1"/>
  </r>
  <r>
    <s v="FLUJO"/>
    <n v="20556274011"/>
    <s v="3D CONCEPT STUDIO EIRL"/>
    <s v="202507"/>
    <x v="0"/>
    <n v="150.51"/>
    <s v="SETIEMBRE"/>
    <n v="1"/>
  </r>
  <r>
    <s v="FLUJO"/>
    <n v="20601321069"/>
    <s v="INVERSIONES AGROALIMENTARIA SRL"/>
    <s v="202507"/>
    <x v="0"/>
    <n v="147.88"/>
    <s v="SETIEMBRE"/>
    <n v="1"/>
  </r>
  <r>
    <s v="FLUJO"/>
    <n v="20603638914"/>
    <s v="LA ADICCION FAST FOOD E.I.R.L."/>
    <s v="202507"/>
    <x v="0"/>
    <n v="147.88"/>
    <s v="SETIEMBRE"/>
    <n v="1"/>
  </r>
  <r>
    <s v="FLUJO"/>
    <n v="20607283771"/>
    <s v="NEMAS SERVICIOS E.I.R.L."/>
    <s v="202507, 202506, 202505"/>
    <x v="0"/>
    <n v="392.63"/>
    <s v="SETIEMBRE"/>
    <n v="1"/>
  </r>
  <r>
    <s v="FLUJO"/>
    <n v="20608444158"/>
    <s v="AQUASHIELD PERU S.A.C."/>
    <s v="202507"/>
    <x v="0"/>
    <n v="147.88"/>
    <s v="SETIEMBRE"/>
    <n v="1"/>
  </r>
  <r>
    <s v="FLUJO"/>
    <n v="20608525239"/>
    <s v="CORPORACION DE EXPORTACIONES PIMA SAC"/>
    <s v="202507"/>
    <x v="0"/>
    <n v="129.63999999999999"/>
    <s v="SETIEMBRE"/>
    <n v="1"/>
  </r>
  <r>
    <s v="FLUJO"/>
    <n v="20487574130"/>
    <s v="CONSTRUCTORA CAMINOS DEL INCA S.A.C."/>
    <s v="202506"/>
    <x v="0"/>
    <n v="164.28"/>
    <s v="SETIEMBRE"/>
    <n v="1"/>
  </r>
  <r>
    <s v="FLUJO"/>
    <n v="20554217657"/>
    <s v="ASCENSORES JY SOCIEDAD ANONIMA CERRADA"/>
    <s v="202506, 202507"/>
    <x v="0"/>
    <n v="1316.27"/>
    <s v="SETIEMBRE"/>
    <n v="1"/>
  </r>
  <r>
    <s v="FLUJO"/>
    <n v="20603072007"/>
    <s v="consultora fenix srl"/>
    <s v="202506"/>
    <x v="0"/>
    <n v="177.43"/>
    <s v="SETIEMBRE"/>
    <n v="1"/>
  </r>
  <r>
    <s v="FLUJO"/>
    <n v="20608214055"/>
    <s v="GESTIONES CARDT EIRL"/>
    <s v="202506, 202505"/>
    <x v="0"/>
    <n v="262.99"/>
    <s v="SETIEMBRE"/>
    <n v="1"/>
  </r>
  <r>
    <s v="FLUJO"/>
    <n v="10466541091"/>
    <s v="VALDERA SUCLUPE LUCILA ESTHER"/>
    <s v="202505, 202504"/>
    <x v="0"/>
    <n v="132.66"/>
    <s v="SETIEMBRE"/>
    <n v="1"/>
  </r>
  <r>
    <s v="FLUJO"/>
    <n v="20555713097"/>
    <s v="AGEIN CONTRUCTORES SAC"/>
    <s v="202504"/>
    <x v="0"/>
    <n v="313.25"/>
    <s v="SETIEMBRE"/>
    <n v="1"/>
  </r>
  <r>
    <s v="FLUJO"/>
    <n v="20606097485"/>
    <s v="KADE SERVICES PERU E.I.R.L"/>
    <s v="202504, 202503"/>
    <x v="0"/>
    <n v="516.54999999999995"/>
    <s v="SETIEMBRE"/>
    <n v="1"/>
  </r>
  <r>
    <s v="REAL TOTAL"/>
    <n v="20329560687"/>
    <s v="DAEWOO INTERNATIONAL CORPORATION SUCURSAL PERUANA"/>
    <s v="201001"/>
    <x v="0"/>
    <n v="59.57"/>
    <s v="SETIEMBRE"/>
    <n v="1"/>
  </r>
  <r>
    <s v="FLUJO"/>
    <n v="10033516377"/>
    <s v="YARLEQUE INGA MIGUEL"/>
    <s v="202507"/>
    <x v="1"/>
    <n v="301.62"/>
    <s v="SETIEMBRE"/>
    <n v="2"/>
  </r>
  <r>
    <s v="FLUJO"/>
    <n v="10166488911"/>
    <s v="ORTEGA HIDROGO OSCAR OCTAVIO"/>
    <s v="202507, 202506"/>
    <x v="1"/>
    <n v="260.68"/>
    <s v="SETIEMBRE"/>
    <n v="2"/>
  </r>
  <r>
    <s v="FLUJO"/>
    <n v="10282272844"/>
    <s v="PARBINA SOTO GRACIELA BETHY"/>
    <s v="202507, 202506"/>
    <x v="1"/>
    <n v="243.48000000000002"/>
    <s v="SETIEMBRE"/>
    <n v="2"/>
  </r>
  <r>
    <s v="FLUJO"/>
    <n v="10404091382"/>
    <s v="APAZA SARCCO MAXIMO"/>
    <s v="202507, 202506"/>
    <x v="1"/>
    <n v="276.83000000000004"/>
    <s v="SETIEMBRE"/>
    <n v="2"/>
  </r>
  <r>
    <s v="FLUJO"/>
    <n v="10425771421"/>
    <s v="MALDONADO INCA ALFREDO"/>
    <s v="202507"/>
    <x v="1"/>
    <n v="148.03"/>
    <s v="SETIEMBRE"/>
    <n v="2"/>
  </r>
  <r>
    <s v="FLUJO"/>
    <n v="10742126281"/>
    <s v="PEÃ‘AFLOR DE SOUZA BRUNELA"/>
    <s v="202507"/>
    <x v="1"/>
    <n v="148.03"/>
    <s v="SETIEMBRE"/>
    <n v="2"/>
  </r>
  <r>
    <s v="FLUJO"/>
    <n v="10804399661"/>
    <s v="PAREDES PEREZ LORENZO"/>
    <s v="202507, 202506, 202505"/>
    <x v="1"/>
    <n v="392.89"/>
    <s v="SETIEMBRE"/>
    <n v="2"/>
  </r>
  <r>
    <s v="FLUJO"/>
    <n v="20392883119"/>
    <s v="MULTISERVICIOS SAN PEDRO DE CORONGO EIRL"/>
    <s v="202507"/>
    <x v="1"/>
    <n v="148.03"/>
    <s v="SETIEMBRE"/>
    <n v="2"/>
  </r>
  <r>
    <s v="FLUJO"/>
    <n v="20487604225"/>
    <s v="ESTUDIO ROQUE SALAZAR Y ASOCIADOS SAC"/>
    <s v="202507, 202506"/>
    <x v="1"/>
    <n v="260.68"/>
    <s v="SETIEMBRE"/>
    <n v="2"/>
  </r>
  <r>
    <s v="FLUJO"/>
    <n v="20494017793"/>
    <s v="abaco ingenieros sac"/>
    <s v="202507"/>
    <x v="1"/>
    <n v="277.78999999999996"/>
    <s v="SETIEMBRE"/>
    <n v="2"/>
  </r>
  <r>
    <s v="FLUJO"/>
    <n v="20517094626"/>
    <s v="RYC MERCHANDISING CORP EIRL"/>
    <s v="202507"/>
    <x v="1"/>
    <n v="162.83000000000001"/>
    <s v="SETIEMBRE"/>
    <n v="2"/>
  </r>
  <r>
    <s v="FLUJO"/>
    <n v="20548423920"/>
    <s v="AGROTECH GROUP SAC"/>
    <s v="202507, 202506, 202505"/>
    <x v="1"/>
    <n v="392.89"/>
    <s v="SETIEMBRE"/>
    <n v="2"/>
  </r>
  <r>
    <s v="FLUJO"/>
    <n v="20551404995"/>
    <s v="PHVA PERU S.A.C."/>
    <s v="202507"/>
    <x v="1"/>
    <n v="148.03"/>
    <s v="SETIEMBRE"/>
    <n v="2"/>
  </r>
  <r>
    <s v="FLUJO"/>
    <n v="20555441232"/>
    <s v="DGALLDI S.A.C."/>
    <s v="202507"/>
    <x v="1"/>
    <n v="148.03"/>
    <s v="SETIEMBRE"/>
    <n v="2"/>
  </r>
  <r>
    <s v="FLUJO"/>
    <n v="20558226031"/>
    <s v="H  T TRANSPORTES  HERNAN COLLADO BLANCO SRL"/>
    <s v="202507, 202506"/>
    <x v="1"/>
    <n v="810.47"/>
    <s v="SETIEMBRE"/>
    <n v="2"/>
  </r>
  <r>
    <s v="FLUJO"/>
    <n v="20600487109"/>
    <s v="MULTISERVICIOS URARINAS S.R.L"/>
    <s v="202507, 202506, 202505, 202504"/>
    <x v="1"/>
    <n v="182.36"/>
    <s v="SETIEMBRE"/>
    <n v="2"/>
  </r>
  <r>
    <s v="FLUJO"/>
    <n v="20601777194"/>
    <s v="CORPORACION GOLDEN SUN SAC"/>
    <s v="202507"/>
    <x v="1"/>
    <n v="148.03"/>
    <s v="SETIEMBRE"/>
    <n v="2"/>
  </r>
  <r>
    <s v="FLUJO"/>
    <n v="20602122132"/>
    <s v="SERVICIO LOGISTICO E Y M E.I.R.L."/>
    <s v="202507, 202506"/>
    <x v="1"/>
    <n v="302.90000000000003"/>
    <s v="SETIEMBRE"/>
    <n v="2"/>
  </r>
  <r>
    <s v="FLUJO"/>
    <n v="20608418009"/>
    <s v="REAL COMPANY W M S.A.C."/>
    <s v="202507"/>
    <x v="1"/>
    <n v="1457.26"/>
    <s v="SETIEMBRE"/>
    <n v="2"/>
  </r>
  <r>
    <s v="FLUJO"/>
    <n v="20608555774"/>
    <s v="INVERSIONES MICA Y NERITA E.I.R.L."/>
    <s v="202507, 202506"/>
    <x v="1"/>
    <n v="479.94"/>
    <s v="SETIEMBRE"/>
    <n v="2"/>
  </r>
  <r>
    <s v="FLUJO"/>
    <n v="20610309101"/>
    <s v="HEIMPER GROUP E.I.R.L."/>
    <s v="202507"/>
    <x v="1"/>
    <n v="148.03"/>
    <s v="SETIEMBRE"/>
    <n v="2"/>
  </r>
  <r>
    <s v="FLUJO"/>
    <n v="20611040157"/>
    <s v="TRANSPORTE SOFIS S.A.C."/>
    <s v="202507"/>
    <x v="1"/>
    <n v="148.03"/>
    <s v="SETIEMBRE"/>
    <n v="2"/>
  </r>
  <r>
    <s v="FLUJO"/>
    <n v="20611202874"/>
    <s v="CONSORCIO AGUAFIT S.A.C"/>
    <s v="202507"/>
    <x v="1"/>
    <n v="148.03"/>
    <s v="SETIEMBRE"/>
    <n v="2"/>
  </r>
  <r>
    <s v="FLUJO"/>
    <n v="20612675580"/>
    <s v="CALLHUB E.I.R.L"/>
    <s v="202507, 202506, 202505"/>
    <x v="1"/>
    <n v="455.84"/>
    <s v="SETIEMBRE"/>
    <n v="2"/>
  </r>
  <r>
    <s v="FLUJO"/>
    <n v="20613125915"/>
    <s v="MONTE BOSQUE SAC"/>
    <s v="202507, 202506, 202505"/>
    <x v="1"/>
    <n v="816.51"/>
    <s v="SETIEMBRE"/>
    <n v="2"/>
  </r>
  <r>
    <s v="FLUJO"/>
    <n v="20613343572"/>
    <s v="DV SMART SOLUTION E.I.R.L."/>
    <s v="202507, 202506, 202504, 202503"/>
    <x v="1"/>
    <n v="528.43000000000006"/>
    <s v="SETIEMBRE"/>
    <n v="2"/>
  </r>
  <r>
    <s v="FLUJO"/>
    <n v="20613695231"/>
    <s v="APIWORKING LATAM S.A.C."/>
    <s v="202507"/>
    <x v="1"/>
    <n v="277.78999999999996"/>
    <s v="SETIEMBRE"/>
    <n v="2"/>
  </r>
  <r>
    <s v="FLUJO"/>
    <n v="10258051306"/>
    <s v="TINTINAPON CHIROQUE LUIS ABELARDO"/>
    <s v="202506, 202507"/>
    <x v="1"/>
    <n v="260.95000000000005"/>
    <s v="SETIEMBRE"/>
    <n v="2"/>
  </r>
  <r>
    <s v="FLUJO"/>
    <n v="10442282451"/>
    <s v="LARRY ALBERTO PANTA SANCHEZ"/>
    <s v="202506, 202505, 202504, 202507"/>
    <x v="1"/>
    <n v="526.25"/>
    <s v="SETIEMBRE"/>
    <n v="2"/>
  </r>
  <r>
    <s v="FLUJO"/>
    <n v="20478730021"/>
    <s v="SERVICIO DE MECANICA FINA B Y B SAC"/>
    <s v="202506, 202507"/>
    <x v="1"/>
    <n v="261.20000000000005"/>
    <s v="SETIEMBRE"/>
    <n v="2"/>
  </r>
  <r>
    <s v="FLUJO"/>
    <n v="20481285217"/>
    <s v="SERVICIOS MUTLIPLES REMA SAC"/>
    <s v="202506, 202507"/>
    <x v="1"/>
    <n v="322.01"/>
    <s v="SETIEMBRE"/>
    <n v="2"/>
  </r>
  <r>
    <s v="FLUJO"/>
    <n v="20502985664"/>
    <s v="RIVERA GERVASI ASOCIADOS ABOGADOS SCRL"/>
    <s v="202506"/>
    <x v="1"/>
    <n v="149.35000000000002"/>
    <s v="SETIEMBRE"/>
    <n v="2"/>
  </r>
  <r>
    <s v="FLUJO"/>
    <n v="20554590293"/>
    <s v="GREENERGY SAC"/>
    <s v="202506, 202507"/>
    <x v="1"/>
    <n v="297.96000000000004"/>
    <s v="SETIEMBRE"/>
    <n v="2"/>
  </r>
  <r>
    <s v="FLUJO"/>
    <n v="20608354418"/>
    <s v="SOCIEDAD AGRÃCOLA PAMPA GRANDE S.A.C."/>
    <s v="202506, 202505"/>
    <x v="1"/>
    <n v="289.43"/>
    <s v="SETIEMBRE"/>
    <n v="2"/>
  </r>
  <r>
    <s v="FLUJO"/>
    <n v="20533209883"/>
    <s v="CREE Y V SOLUCIONES S.R.L."/>
    <s v="202505, 202504, 202507, 202506"/>
    <x v="1"/>
    <n v="1323.2200000000003"/>
    <s v="SETIEMBRE"/>
    <n v="2"/>
  </r>
  <r>
    <s v="FLUJO"/>
    <n v="20602392113"/>
    <s v="Negocios de Informacion Tecnologia y Comunicaciones SAC"/>
    <s v="202505"/>
    <x v="1"/>
    <n v="160.15"/>
    <s v="SETIEMBRE"/>
    <n v="2"/>
  </r>
  <r>
    <s v="FLUJO"/>
    <n v="20612249581"/>
    <s v="CLEANING SERVICE KRYSTELL S.A.C"/>
    <s v="202505, 202506, 202507"/>
    <x v="1"/>
    <n v="393.91999999999996"/>
    <s v="SETIEMBRE"/>
    <n v="2"/>
  </r>
  <r>
    <s v="FLUJO"/>
    <n v="20613608851"/>
    <s v="AKIRA CORPORATION S.A.C."/>
    <s v="202505"/>
    <x v="1"/>
    <n v="476.1"/>
    <s v="SETIEMBRE"/>
    <n v="2"/>
  </r>
  <r>
    <s v="FLUJO"/>
    <n v="20610167650"/>
    <s v="TRANSPORTES ROGRIGO S.A.C."/>
    <s v="202504, 202503, 202507, 202506, 202505"/>
    <x v="1"/>
    <n v="880.21"/>
    <s v="SETIEMBRE"/>
    <n v="2"/>
  </r>
  <r>
    <s v="FLUJO"/>
    <n v="10442446089"/>
    <s v="GUEVARA LOZANO NILZON"/>
    <s v="202503, 202502"/>
    <x v="1"/>
    <n v="202.94"/>
    <s v="SETIEMBRE"/>
    <n v="2"/>
  </r>
  <r>
    <s v="FLUJO"/>
    <n v="20610010645"/>
    <s v="GRUPO R E.I.R.L."/>
    <s v="202503, 202505, 202504, 202507, 202506, 202502"/>
    <x v="1"/>
    <n v="496.64"/>
    <s v="SETIEMBRE"/>
    <n v="2"/>
  </r>
  <r>
    <s v="FLUJO"/>
    <n v="20612796182"/>
    <s v="CLINICA INTEGRAL AVANZADA DEL TRATAMIENTO DE LAS OBESIDADES"/>
    <s v="202503, 202505, 202504"/>
    <x v="1"/>
    <n v="531.1"/>
    <s v="SETIEMBRE"/>
    <n v="2"/>
  </r>
  <r>
    <s v="FLUJO"/>
    <n v="20600908937"/>
    <s v="BEPYC DEL PERU SOCIEDAD ANONIMA CERRADA"/>
    <s v="202502"/>
    <x v="1"/>
    <n v="873.18999999999994"/>
    <s v="SETIEMBRE"/>
    <n v="2"/>
  </r>
  <r>
    <s v="PRESUNTA"/>
    <n v="20101364403"/>
    <s v="MEM SAC"/>
    <s v="202507"/>
    <x v="1"/>
    <n v="129.76"/>
    <s v="SETIEMBRE"/>
    <n v="2"/>
  </r>
  <r>
    <s v="PRESUNTA"/>
    <n v="20562649906"/>
    <s v="LAVANDERIA PRESS SAC"/>
    <s v="202507"/>
    <x v="1"/>
    <n v="142.74"/>
    <s v="SETIEMBRE"/>
    <n v="2"/>
  </r>
  <r>
    <s v="REAL TOTAL"/>
    <n v="20372190028"/>
    <s v="AVP Y SEGURIDAD SAC"/>
    <s v="202507, 202506, 202505, 202504, 202503, 202502, 202501"/>
    <x v="1"/>
    <n v="5735.0199999999995"/>
    <s v="SETIEMBRE"/>
    <n v="2"/>
  </r>
  <r>
    <s v="FLUJO"/>
    <n v="10079437048"/>
    <s v="ANGOBALDO TORRES MALAGA MIGUEL GUILLERMO"/>
    <s v="202507"/>
    <x v="2"/>
    <n v="162.83000000000001"/>
    <s v="SETIEMBRE"/>
    <n v="3"/>
  </r>
  <r>
    <s v="FLUJO"/>
    <n v="10093825000"/>
    <s v="PANICHI PARDAVE BRUNO MARTIN"/>
    <s v="202507"/>
    <x v="2"/>
    <n v="364.72999999999996"/>
    <s v="SETIEMBRE"/>
    <n v="3"/>
  </r>
  <r>
    <s v="FLUJO"/>
    <n v="10178221278"/>
    <s v="CARRANZA CHAVEZ MARLENE MANUELA"/>
    <s v="202507"/>
    <x v="2"/>
    <n v="148.03"/>
    <s v="SETIEMBRE"/>
    <n v="3"/>
  </r>
  <r>
    <s v="FLUJO"/>
    <n v="10296193921"/>
    <s v="FARFAN ZEVALLOS CLORINDA"/>
    <s v="202507"/>
    <x v="2"/>
    <n v="148.03"/>
    <s v="SETIEMBRE"/>
    <n v="3"/>
  </r>
  <r>
    <s v="FLUJO"/>
    <n v="10452440208"/>
    <s v="SAUL ESTRADA HUILLCA"/>
    <s v="202507"/>
    <x v="2"/>
    <n v="1168.83"/>
    <s v="SETIEMBRE"/>
    <n v="3"/>
  </r>
  <r>
    <s v="FLUJO"/>
    <n v="10460172514"/>
    <s v="ZAPATA BORJA LADYS CARLA BEATRIZ"/>
    <s v="202507"/>
    <x v="2"/>
    <n v="129.76"/>
    <s v="SETIEMBRE"/>
    <n v="3"/>
  </r>
  <r>
    <s v="FLUJO"/>
    <n v="20445768139"/>
    <s v="INVERSIONES HATUN FISH SRL"/>
    <s v="202507"/>
    <x v="2"/>
    <n v="172"/>
    <s v="SETIEMBRE"/>
    <n v="3"/>
  </r>
  <r>
    <s v="FLUJO"/>
    <n v="20478156228"/>
    <s v="CORPORACION KANDY SAC"/>
    <s v="202507, 202506, 202505"/>
    <x v="2"/>
    <n v="393.02"/>
    <s v="SETIEMBRE"/>
    <n v="3"/>
  </r>
  <r>
    <s v="FLUJO"/>
    <n v="20487716538"/>
    <s v="GOTECH PERU S.A.C."/>
    <s v="202507"/>
    <x v="2"/>
    <n v="162.83000000000001"/>
    <s v="SETIEMBRE"/>
    <n v="3"/>
  </r>
  <r>
    <s v="FLUJO"/>
    <n v="20526575394"/>
    <s v="CLINICA BELLO HORIZONTE SA"/>
    <s v="202507"/>
    <x v="2"/>
    <n v="308.06"/>
    <s v="SETIEMBRE"/>
    <n v="3"/>
  </r>
  <r>
    <s v="FLUJO"/>
    <n v="20545263344"/>
    <s v="SERVICIOS GRAFICOS JCEM SAC"/>
    <s v="202507"/>
    <x v="2"/>
    <n v="260.27999999999997"/>
    <s v="SETIEMBRE"/>
    <n v="3"/>
  </r>
  <r>
    <s v="FLUJO"/>
    <n v="20554037756"/>
    <s v="CHIMAC SAC"/>
    <s v="202507"/>
    <x v="2"/>
    <n v="148.03"/>
    <s v="SETIEMBRE"/>
    <n v="3"/>
  </r>
  <r>
    <s v="FLUJO"/>
    <n v="20573126883"/>
    <s v="CONSULTOR EJECUTOR Y MULTISERVICIO KVEM EIRL"/>
    <s v="202507, 202506"/>
    <x v="2"/>
    <n v="138.48000000000002"/>
    <s v="SETIEMBRE"/>
    <n v="3"/>
  </r>
  <r>
    <s v="FLUJO"/>
    <n v="20601146682"/>
    <s v="ANCOSUR EIRL"/>
    <s v="202507, 202506"/>
    <x v="2"/>
    <n v="411.65"/>
    <s v="SETIEMBRE"/>
    <n v="3"/>
  </r>
  <r>
    <s v="FLUJO"/>
    <n v="20601590396"/>
    <s v="MGS SERVICIOS TELECORP SAC"/>
    <s v="202507, 202506"/>
    <x v="2"/>
    <n v="297.52"/>
    <s v="SETIEMBRE"/>
    <n v="3"/>
  </r>
  <r>
    <s v="FLUJO"/>
    <n v="20601792908"/>
    <s v="CAR GLASS AUTOMOTRIZ E.I.R.L."/>
    <s v="202507, 202506"/>
    <x v="2"/>
    <n v="260.81"/>
    <s v="SETIEMBRE"/>
    <n v="3"/>
  </r>
  <r>
    <s v="FLUJO"/>
    <n v="20602289924"/>
    <s v="OCTANET S.A.C."/>
    <s v="202507, 202506"/>
    <x v="2"/>
    <n v="121.13000000000001"/>
    <s v="SETIEMBRE"/>
    <n v="3"/>
  </r>
  <r>
    <s v="FLUJO"/>
    <n v="20602559000"/>
    <s v="LAIA CONSUL EIRL"/>
    <s v="202507, 202506, 202504, 202503, 202502, 202505"/>
    <x v="2"/>
    <n v="1410.7800000000002"/>
    <s v="SETIEMBRE"/>
    <n v="3"/>
  </r>
  <r>
    <s v="FLUJO"/>
    <n v="20602648223"/>
    <s v="COLISEL SAC."/>
    <s v="202507, 202506"/>
    <x v="2"/>
    <n v="612.86000000000013"/>
    <s v="SETIEMBRE"/>
    <n v="3"/>
  </r>
  <r>
    <s v="FLUJO"/>
    <n v="20605189149"/>
    <s v="INVERSIONES HOLDING GROUP S.A.C."/>
    <s v="202507, 202506"/>
    <x v="2"/>
    <n v="303.06000000000006"/>
    <s v="SETIEMBRE"/>
    <n v="3"/>
  </r>
  <r>
    <s v="FLUJO"/>
    <n v="20605590021"/>
    <s v="RYN INNOVA S.A.C."/>
    <s v="202507"/>
    <x v="2"/>
    <n v="261.99"/>
    <s v="SETIEMBRE"/>
    <n v="3"/>
  </r>
  <r>
    <s v="FLUJO"/>
    <n v="20605895159"/>
    <s v="ESPERANZA PALACIOS EIRL"/>
    <s v="202507"/>
    <x v="2"/>
    <n v="216.02"/>
    <s v="SETIEMBRE"/>
    <n v="3"/>
  </r>
  <r>
    <s v="FLUJO"/>
    <n v="20606560177"/>
    <s v="ALSUM S.A.C."/>
    <s v="202507"/>
    <x v="2"/>
    <n v="629.23"/>
    <s v="SETIEMBRE"/>
    <n v="3"/>
  </r>
  <r>
    <s v="FLUJO"/>
    <n v="20607772291"/>
    <s v="CH Y G ASOCIADOS ASESORAMIENTO CONTABLE EIRL"/>
    <s v="202507"/>
    <x v="2"/>
    <n v="129.76"/>
    <s v="SETIEMBRE"/>
    <n v="3"/>
  </r>
  <r>
    <s v="FLUJO"/>
    <n v="20608209019"/>
    <s v="GRUPO NINACRISTO EMPRESA INDIVIDUAL DE RESPONSABILIDAD LIMIT"/>
    <s v="202507, 202506, 202505, 202504"/>
    <x v="2"/>
    <n v="526.38"/>
    <s v="SETIEMBRE"/>
    <n v="3"/>
  </r>
  <r>
    <s v="FLUJO"/>
    <n v="20608318225"/>
    <s v="CONFECCIONES YARA EIRL"/>
    <s v="202507, 202506"/>
    <x v="2"/>
    <n v="260.81"/>
    <s v="SETIEMBRE"/>
    <n v="3"/>
  </r>
  <r>
    <s v="FLUJO"/>
    <n v="20608587820"/>
    <s v="comercial jimenez  j.w.j eirl"/>
    <s v="202507, 202506, 202505, 202504, 202503"/>
    <x v="2"/>
    <n v="660.9"/>
    <s v="SETIEMBRE"/>
    <n v="3"/>
  </r>
  <r>
    <s v="FLUJO"/>
    <n v="20609349761"/>
    <s v="CETUMI E.I.R.L."/>
    <s v="202507"/>
    <x v="2"/>
    <n v="148.03"/>
    <s v="SETIEMBRE"/>
    <n v="3"/>
  </r>
  <r>
    <s v="FLUJO"/>
    <n v="20610315624"/>
    <s v="GRUPO INMOBILIARIA SULCA S.A.C."/>
    <s v="202507, 202506, 202505, 202504, 202503, 202502"/>
    <x v="2"/>
    <n v="796.57999999999993"/>
    <s v="SETIEMBRE"/>
    <n v="3"/>
  </r>
  <r>
    <s v="FLUJO"/>
    <n v="20610355499"/>
    <s v="NATURAL SENSES SAC"/>
    <s v="202507"/>
    <x v="2"/>
    <n v="148.03"/>
    <s v="SETIEMBRE"/>
    <n v="3"/>
  </r>
  <r>
    <s v="FLUJO"/>
    <n v="20610493654"/>
    <s v="WINE CENTRO CORPORAL GROUP E.I.R.L."/>
    <s v="202507, 202505, 202506"/>
    <x v="2"/>
    <n v="982.02"/>
    <s v="SETIEMBRE"/>
    <n v="3"/>
  </r>
  <r>
    <s v="FLUJO"/>
    <n v="20610957731"/>
    <s v="CORPORACION PLAST PERU E.I.R.L."/>
    <s v="202507"/>
    <x v="2"/>
    <n v="148.03"/>
    <s v="SETIEMBRE"/>
    <n v="3"/>
  </r>
  <r>
    <s v="FLUJO"/>
    <n v="20611174391"/>
    <s v="INDIETRO SAC"/>
    <s v="202507"/>
    <x v="2"/>
    <n v="148.03"/>
    <s v="SETIEMBRE"/>
    <n v="3"/>
  </r>
  <r>
    <s v="FLUJO"/>
    <n v="20611425628"/>
    <s v="HISTORIA TEXTIL SAC"/>
    <s v="202507, 202506"/>
    <x v="2"/>
    <n v="526.58000000000004"/>
    <s v="SETIEMBRE"/>
    <n v="3"/>
  </r>
  <r>
    <s v="FLUJO"/>
    <n v="20611977353"/>
    <s v="NIDO WELCOME S.A.C."/>
    <s v="202507"/>
    <x v="2"/>
    <n v="441.19000000000005"/>
    <s v="SETIEMBRE"/>
    <n v="3"/>
  </r>
  <r>
    <s v="FLUJO"/>
    <n v="20612335932"/>
    <s v="INDUSTRIAS DERLEE SAC"/>
    <s v="202507, 202506"/>
    <x v="2"/>
    <n v="807.83999999999992"/>
    <s v="SETIEMBRE"/>
    <n v="3"/>
  </r>
  <r>
    <s v="FLUJO"/>
    <n v="20603533535"/>
    <s v="Smart Motion SAC"/>
    <s v="202506, 202505"/>
    <x v="2"/>
    <n v="263.26"/>
    <s v="SETIEMBRE"/>
    <n v="3"/>
  </r>
  <r>
    <s v="FLUJO"/>
    <n v="20608767712"/>
    <s v="MA MOTO SHOP E.I.R.L."/>
    <s v="202506, 202505"/>
    <x v="2"/>
    <n v="263.26"/>
    <s v="SETIEMBRE"/>
    <n v="3"/>
  </r>
  <r>
    <s v="FLUJO"/>
    <n v="20612889989"/>
    <s v="SH ODONTOZ HEALTH S.A.C."/>
    <s v="202506, 202505"/>
    <x v="2"/>
    <n v="263.26"/>
    <s v="SETIEMBRE"/>
    <n v="3"/>
  </r>
  <r>
    <s v="FLUJO"/>
    <n v="20122683355"/>
    <s v="CASA RIKY SOCIEDAD ANONIMA CERRADA"/>
    <s v="202505, 202504, 202507, 202506"/>
    <x v="2"/>
    <n v="1077.31"/>
    <s v="SETIEMBRE"/>
    <n v="3"/>
  </r>
  <r>
    <s v="FLUJO"/>
    <n v="20610503579"/>
    <s v="ALSI CONSTRUCTORA S.A.C."/>
    <s v="202505, 202506, 202507"/>
    <x v="2"/>
    <n v="2251.21"/>
    <s v="SETIEMBRE"/>
    <n v="3"/>
  </r>
  <r>
    <s v="FLUJO"/>
    <n v="20601277949"/>
    <s v="GUADALUPE SERVICIOS INTEGRALES SRL"/>
    <s v="202504, 202503"/>
    <x v="2"/>
    <n v="439.23"/>
    <s v="SETIEMBRE"/>
    <n v="3"/>
  </r>
  <r>
    <s v="FLUJO"/>
    <n v="20613515969"/>
    <s v="PAQUITA FISH E.I.R.L."/>
    <s v="202504, 202505"/>
    <x v="2"/>
    <n v="266.08000000000004"/>
    <s v="SETIEMBRE"/>
    <n v="3"/>
  </r>
  <r>
    <s v="FLUJO"/>
    <n v="20602044638"/>
    <s v="FODATEX SAC"/>
    <s v="202502, 202503"/>
    <x v="2"/>
    <n v="1365.33"/>
    <s v="SETIEMBRE"/>
    <n v="3"/>
  </r>
  <r>
    <s v="PRESUNTA"/>
    <n v="20563578824"/>
    <s v="A &amp; H COMPANY S.A.C."/>
    <s v="202507"/>
    <x v="2"/>
    <n v="443.85"/>
    <s v="SETIEMBRE"/>
    <n v="3"/>
  </r>
  <r>
    <s v="PRESUNTA"/>
    <n v="20400581925"/>
    <s v="EMPRESA DE TRANSPORTES TURI SMO AMPAY SCRL"/>
    <s v="202505, 202507, 202506"/>
    <x v="2"/>
    <n v="2530.64"/>
    <s v="SETIEMBRE"/>
    <n v="3"/>
  </r>
  <r>
    <s v="REAL TOTAL"/>
    <n v="10710945221"/>
    <s v="gilmer antonio flores tenazoa"/>
    <s v="202502"/>
    <x v="2"/>
    <n v="135.68"/>
    <s v="SETIEMBRE"/>
    <n v="3"/>
  </r>
  <r>
    <s v="REAL TOTAL"/>
    <n v="20600038819"/>
    <s v="TALLER DE SOLDADURA JOEL E.I.R.L."/>
    <s v="202107"/>
    <x v="2"/>
    <n v="195.17000000000002"/>
    <s v="SETIEMBRE"/>
    <n v="3"/>
  </r>
  <r>
    <s v="REAL TOTAL"/>
    <n v="20100574773"/>
    <s v="America International Tours SA"/>
    <s v="201804, 201803, 201802"/>
    <x v="2"/>
    <n v="690.03000000000009"/>
    <s v="SETIEMBRE"/>
    <n v="3"/>
  </r>
  <r>
    <s v="FLUJO"/>
    <n v="10062261752"/>
    <s v="CASTRO RAMOS MARIA MAGDALENA"/>
    <s v="202507, 202506"/>
    <x v="3"/>
    <n v="94.4"/>
    <s v="SETIEMBRE"/>
    <n v="4"/>
  </r>
  <r>
    <s v="FLUJO"/>
    <n v="10246912934"/>
    <s v="RODRIGUEZ SUYO DORIS"/>
    <s v="202507, 202506"/>
    <x v="3"/>
    <n v="461.85"/>
    <s v="SETIEMBRE"/>
    <n v="4"/>
  </r>
  <r>
    <s v="FLUJO"/>
    <n v="10296520018"/>
    <s v="VIZCARRA RUIZ JAIRO"/>
    <s v="202507, 202506, 202505"/>
    <x v="3"/>
    <n v="393.02"/>
    <s v="SETIEMBRE"/>
    <n v="4"/>
  </r>
  <r>
    <s v="FLUJO"/>
    <n v="10464654581"/>
    <s v="MUOZ  CHAVEZ  ANDRES"/>
    <s v="202507"/>
    <x v="3"/>
    <n v="148.03"/>
    <s v="SETIEMBRE"/>
    <n v="4"/>
  </r>
  <r>
    <s v="FLUJO"/>
    <n v="20207931471"/>
    <s v="grove peru sa c"/>
    <s v="202507"/>
    <x v="3"/>
    <n v="495.11"/>
    <s v="SETIEMBRE"/>
    <n v="4"/>
  </r>
  <r>
    <s v="FLUJO"/>
    <n v="20259263230"/>
    <s v="TOURS PANASUR EIRL"/>
    <s v="202507"/>
    <x v="3"/>
    <n v="148.03"/>
    <s v="SETIEMBRE"/>
    <n v="4"/>
  </r>
  <r>
    <s v="FLUJO"/>
    <n v="20452573394"/>
    <s v="SMRL CANTERAS ASOCIADAS I"/>
    <s v="202507, 202506, 202505"/>
    <x v="3"/>
    <n v="820.63000000000011"/>
    <s v="SETIEMBRE"/>
    <n v="4"/>
  </r>
  <r>
    <s v="FLUJO"/>
    <n v="20480036132"/>
    <s v="TRANSPORTES CLARITA SRL"/>
    <s v="202507"/>
    <x v="3"/>
    <n v="875.76"/>
    <s v="SETIEMBRE"/>
    <n v="4"/>
  </r>
  <r>
    <s v="FLUJO"/>
    <n v="20505322917"/>
    <s v="INVERSIONES ROLCAS SAC"/>
    <s v="202507"/>
    <x v="3"/>
    <n v="277.78999999999996"/>
    <s v="SETIEMBRE"/>
    <n v="4"/>
  </r>
  <r>
    <s v="FLUJO"/>
    <n v="20539625722"/>
    <s v="mac inversiones y equipos sac"/>
    <s v="202507"/>
    <x v="3"/>
    <n v="129.76"/>
    <s v="SETIEMBRE"/>
    <n v="4"/>
  </r>
  <r>
    <s v="FLUJO"/>
    <n v="20556808768"/>
    <s v="GRUPO E Y CM CONTRATISTAS GENERALES SRL"/>
    <s v="202507, 202506"/>
    <x v="3"/>
    <n v="457.62"/>
    <s v="SETIEMBRE"/>
    <n v="4"/>
  </r>
  <r>
    <s v="FLUJO"/>
    <n v="20600907655"/>
    <s v="INVERSIONES RAPIVENTAS S.A.C."/>
    <s v="202507"/>
    <x v="3"/>
    <n v="148.03"/>
    <s v="SETIEMBRE"/>
    <n v="4"/>
  </r>
  <r>
    <s v="FLUJO"/>
    <n v="20602812619"/>
    <s v="R &amp; D ARQUITECTURA INGENIERIA Y CONSTRUCCION SAC"/>
    <s v="202507"/>
    <x v="3"/>
    <n v="628.84999999999991"/>
    <s v="SETIEMBRE"/>
    <n v="4"/>
  </r>
  <r>
    <s v="FLUJO"/>
    <n v="20603611552"/>
    <s v="INGENIERIA Y CONSTRUCCION BEGO SAC"/>
    <s v="202507, 202506, 202505, 202504, 202503, 202502"/>
    <x v="3"/>
    <n v="1444.3"/>
    <s v="SETIEMBRE"/>
    <n v="4"/>
  </r>
  <r>
    <s v="FLUJO"/>
    <n v="20603720131"/>
    <s v="G&amp;A TECNOLOGIAS S.A.C"/>
    <s v="202507"/>
    <x v="3"/>
    <n v="277.78999999999996"/>
    <s v="SETIEMBRE"/>
    <n v="4"/>
  </r>
  <r>
    <s v="FLUJO"/>
    <n v="20605402314"/>
    <s v="JAIDEC E.I.R.L."/>
    <s v="202507, 202506"/>
    <x v="3"/>
    <n v="947.01"/>
    <s v="SETIEMBRE"/>
    <n v="4"/>
  </r>
  <r>
    <s v="FLUJO"/>
    <n v="20606507870"/>
    <s v="OVEJA NEGRA MOTORS SAC"/>
    <s v="202507"/>
    <x v="3"/>
    <n v="148.03"/>
    <s v="SETIEMBRE"/>
    <n v="4"/>
  </r>
  <r>
    <s v="FLUJO"/>
    <n v="20606800097"/>
    <s v="D' SARA CORPORACIÃ“N S.A.C."/>
    <s v="202507, 202506"/>
    <x v="3"/>
    <n v="286.89999999999998"/>
    <s v="SETIEMBRE"/>
    <n v="4"/>
  </r>
  <r>
    <s v="FLUJO"/>
    <n v="20607392791"/>
    <s v="INVERNADEROS TIKARIY S.A.C"/>
    <s v="202507"/>
    <x v="3"/>
    <n v="148.03"/>
    <s v="SETIEMBRE"/>
    <n v="4"/>
  </r>
  <r>
    <s v="FLUJO"/>
    <n v="20607929191"/>
    <s v="EXTREME AIRE ACONDICIONADO Y REFRIGERACION S.A.C"/>
    <s v="202507, 202506"/>
    <x v="3"/>
    <n v="1430.1399999999999"/>
    <s v="SETIEMBRE"/>
    <n v="4"/>
  </r>
  <r>
    <s v="FLUJO"/>
    <n v="20608491369"/>
    <s v="JAVAL INGENIEROS CONSTRUCTORES S.R.L."/>
    <s v="202507, 202506"/>
    <x v="3"/>
    <n v="260.81"/>
    <s v="SETIEMBRE"/>
    <n v="4"/>
  </r>
  <r>
    <s v="FLUJO"/>
    <n v="20608526278"/>
    <s v="PARROQUIA SANTO TORIBIO DE MOGROVEJO"/>
    <s v="202507, 202506, 202505, 202504"/>
    <x v="3"/>
    <n v="736.1"/>
    <s v="SETIEMBRE"/>
    <n v="4"/>
  </r>
  <r>
    <s v="FLUJO"/>
    <n v="20609164507"/>
    <s v="GRUPO GASTRONOMICO MR E.I.R.L."/>
    <s v="202507"/>
    <x v="3"/>
    <n v="368.75"/>
    <s v="SETIEMBRE"/>
    <n v="4"/>
  </r>
  <r>
    <s v="FLUJO"/>
    <n v="20610173641"/>
    <s v="CASTRO Y ABOG. S.A.C."/>
    <s v="202507, 202506"/>
    <x v="3"/>
    <n v="131.70999999999998"/>
    <s v="SETIEMBRE"/>
    <n v="4"/>
  </r>
  <r>
    <s v="FLUJO"/>
    <n v="20611807440"/>
    <s v="GRUPO NAVHE S.R.L."/>
    <s v="202507"/>
    <x v="3"/>
    <n v="847.74"/>
    <s v="SETIEMBRE"/>
    <n v="4"/>
  </r>
  <r>
    <s v="FLUJO"/>
    <n v="20612868094"/>
    <s v="FRANATPA INVERSIONES S.A.C"/>
    <s v="202507, 202506, 202505"/>
    <x v="3"/>
    <n v="393.02"/>
    <s v="SETIEMBRE"/>
    <n v="4"/>
  </r>
  <r>
    <s v="FLUJO"/>
    <n v="20613007441"/>
    <s v="SERVICIOS GENERALES GUEVARA E.I.R.L."/>
    <s v="202507, 202506, 202505"/>
    <x v="3"/>
    <n v="475.90000000000009"/>
    <s v="SETIEMBRE"/>
    <n v="4"/>
  </r>
  <r>
    <s v="FLUJO"/>
    <n v="10096577759"/>
    <s v="LLANQUECHA TACO ARTEMIO VIDAL"/>
    <s v="202506, 202507"/>
    <x v="3"/>
    <n v="392.38"/>
    <s v="SETIEMBRE"/>
    <n v="4"/>
  </r>
  <r>
    <s v="FLUJO"/>
    <n v="20603177933"/>
    <s v="IVTEC LED S.A.C."/>
    <s v="202506"/>
    <x v="3"/>
    <n v="20.399999999999999"/>
    <s v="SETIEMBRE"/>
    <n v="4"/>
  </r>
  <r>
    <s v="FLUJO"/>
    <n v="20603759100"/>
    <s v="C Y G INTERNATIONAL BUSINESS GROUP S.A.C."/>
    <s v="202506, 202505, 202507"/>
    <x v="3"/>
    <n v="393.53999999999996"/>
    <s v="SETIEMBRE"/>
    <n v="4"/>
  </r>
  <r>
    <s v="FLUJO"/>
    <n v="20605570047"/>
    <s v="LABORATORIO SR DE QOYLLUR RITTI J B E.I.R.L."/>
    <s v="202506, 202507"/>
    <x v="3"/>
    <n v="346.9"/>
    <s v="SETIEMBRE"/>
    <n v="4"/>
  </r>
  <r>
    <s v="FLUJO"/>
    <n v="20609450712"/>
    <s v="IMPACTA PUBLICIDAD GRAFICA E.I.R.L."/>
    <s v="202506, 202505"/>
    <x v="3"/>
    <n v="263.26"/>
    <s v="SETIEMBRE"/>
    <n v="4"/>
  </r>
  <r>
    <s v="FLUJO"/>
    <n v="20610906371"/>
    <s v="Cooperativa Agraria Lideres Emprendedores en  Banano"/>
    <s v="202506, 202505, 202504, 202503"/>
    <x v="3"/>
    <n v="345.19000000000005"/>
    <s v="SETIEMBRE"/>
    <n v="4"/>
  </r>
  <r>
    <s v="FLUJO"/>
    <n v="20470871475"/>
    <s v="EMP. DE TRANSPORTES SOL DE AMERICA EIRL"/>
    <s v="202505"/>
    <x v="3"/>
    <n v="150.81"/>
    <s v="SETIEMBRE"/>
    <n v="4"/>
  </r>
  <r>
    <s v="FLUJO"/>
    <n v="20606636050"/>
    <s v="INTERVENCION  SOCIAL   ERICSSON  E.I.R.L"/>
    <s v="202504, 202503"/>
    <x v="3"/>
    <n v="305.58"/>
    <s v="SETIEMBRE"/>
    <n v="4"/>
  </r>
  <r>
    <s v="FLUJO"/>
    <n v="20608204807"/>
    <s v="INDUSTRIAS PERUANAS UNIDAS S.A.C."/>
    <s v="202504, 202503, 202502"/>
    <x v="3"/>
    <n v="443.90999999999997"/>
    <s v="SETIEMBRE"/>
    <n v="4"/>
  </r>
  <r>
    <s v="FLUJO"/>
    <n v="20611039825"/>
    <s v="JUVENUS CAPITAL SAC"/>
    <s v="202504, 202503"/>
    <x v="3"/>
    <n v="267.88"/>
    <s v="SETIEMBRE"/>
    <n v="4"/>
  </r>
  <r>
    <s v="FLUJO"/>
    <n v="20612906123"/>
    <s v="ATLANTA CONSULTORES Y EJECUTORES E.I.R.L."/>
    <s v="202502, 202504, 202503"/>
    <x v="3"/>
    <n v="536.72"/>
    <s v="SETIEMBRE"/>
    <n v="4"/>
  </r>
  <r>
    <s v="FLUJO"/>
    <n v="20603940696"/>
    <s v="CONSTRUCTORA MAKENA SAC"/>
    <s v="202104"/>
    <x v="3"/>
    <n v="735.71"/>
    <s v="SETIEMBRE"/>
    <n v="4"/>
  </r>
  <r>
    <s v="PRESUNTA"/>
    <n v="20449318693"/>
    <s v="GESCONP SRL"/>
    <s v="202507"/>
    <x v="3"/>
    <n v="208.82999999999998"/>
    <s v="SETIEMBRE"/>
    <n v="4"/>
  </r>
  <r>
    <s v="PRESUNTA"/>
    <n v="20451800184"/>
    <s v="PARROQUIA SANTA ROSA DEL MAR"/>
    <s v="202507"/>
    <x v="3"/>
    <n v="137.80000000000001"/>
    <s v="SETIEMBRE"/>
    <n v="4"/>
  </r>
  <r>
    <s v="PRESUNTA"/>
    <n v="20606794143"/>
    <s v="ICS PACK S.A.C."/>
    <s v="202506, 202507"/>
    <x v="3"/>
    <n v="298.10000000000002"/>
    <s v="SETIEMBRE"/>
    <n v="4"/>
  </r>
  <r>
    <s v="PRESUNTA"/>
    <n v="20498129065"/>
    <s v="MICRODATA SRL"/>
    <s v="202504"/>
    <x v="3"/>
    <n v="495.6"/>
    <s v="SETIEMBRE"/>
    <n v="4"/>
  </r>
  <r>
    <s v="REAL TOTAL"/>
    <n v="20155770881"/>
    <s v="Asociacion CEP Peruano Chino Diez De Octubre"/>
    <s v="202410"/>
    <x v="3"/>
    <n v="5006.3900000000003"/>
    <s v="SETIEMBRE"/>
    <n v="4"/>
  </r>
  <r>
    <s v="FLUJO"/>
    <n v="10097470559"/>
    <s v="CEP BF SKINNER"/>
    <s v="202507"/>
    <x v="4"/>
    <n v="1295.4000000000001"/>
    <s v="SETIEMBRE"/>
    <n v="5"/>
  </r>
  <r>
    <s v="FLUJO"/>
    <n v="20108213630"/>
    <s v="NEGOCIACION SANTA ANGELA S.A.C."/>
    <s v="202507"/>
    <x v="4"/>
    <n v="278.07"/>
    <s v="SETIEMBRE"/>
    <n v="5"/>
  </r>
  <r>
    <s v="FLUJO"/>
    <n v="20393693119"/>
    <s v="OLEAGINOSAS PUCALLPA SAC"/>
    <s v="202507"/>
    <x v="4"/>
    <n v="3767.46"/>
    <s v="SETIEMBRE"/>
    <n v="5"/>
  </r>
  <r>
    <s v="FLUJO"/>
    <n v="20451592131"/>
    <s v="TRANSDAM  SRL"/>
    <s v="202507"/>
    <x v="4"/>
    <n v="196.69"/>
    <s v="SETIEMBRE"/>
    <n v="5"/>
  </r>
  <r>
    <s v="FLUJO"/>
    <n v="20495669999"/>
    <s v="TRANSPORTES HERRERA EIRL"/>
    <s v="202507, 202506, 202505"/>
    <x v="4"/>
    <n v="393.15"/>
    <s v="SETIEMBRE"/>
    <n v="5"/>
  </r>
  <r>
    <s v="FLUJO"/>
    <n v="20510156812"/>
    <s v="ALLIANCE AIRFREIGHT Y OCEAN PERU SOCIEDAD ANONIMA"/>
    <s v="202507, 202506"/>
    <x v="4"/>
    <n v="692.77"/>
    <s v="SETIEMBRE"/>
    <n v="5"/>
  </r>
  <r>
    <s v="FLUJO"/>
    <n v="20513336676"/>
    <s v="CONCESIONARIO DE ALIMENTOS LUCE MIR EIRL"/>
    <s v="202507, 202506"/>
    <x v="4"/>
    <n v="277.11"/>
    <s v="SETIEMBRE"/>
    <n v="5"/>
  </r>
  <r>
    <s v="FLUJO"/>
    <n v="20602829198"/>
    <s v="SAHURT INGENIEROS EIRL"/>
    <s v="202507"/>
    <x v="4"/>
    <n v="148.16999999999999"/>
    <s v="SETIEMBRE"/>
    <n v="5"/>
  </r>
  <r>
    <s v="FLUJO"/>
    <n v="20602926703"/>
    <s v="CSICAP COMPANY E.I.R.L."/>
    <s v="202507"/>
    <x v="4"/>
    <n v="150.81"/>
    <s v="SETIEMBRE"/>
    <n v="5"/>
  </r>
  <r>
    <s v="FLUJO"/>
    <n v="20603082941"/>
    <s v="Servicios Industriales Ruben S.A.C."/>
    <s v="202507, 202506"/>
    <x v="4"/>
    <n v="260.94"/>
    <s v="SETIEMBRE"/>
    <n v="5"/>
  </r>
  <r>
    <s v="FLUJO"/>
    <n v="20603257058"/>
    <s v="CALETA DOLSA SAC"/>
    <s v="202507, 202506"/>
    <x v="4"/>
    <n v="5878.41"/>
    <s v="SETIEMBRE"/>
    <n v="5"/>
  </r>
  <r>
    <s v="FLUJO"/>
    <n v="20603751044"/>
    <s v="CORPORACION COMERCIO SEGURO SAC"/>
    <s v="202507, 202506, 202505"/>
    <x v="4"/>
    <n v="479.74"/>
    <s v="SETIEMBRE"/>
    <n v="5"/>
  </r>
  <r>
    <s v="FLUJO"/>
    <n v="20605639136"/>
    <s v="F Y S MARTINEZ SAC"/>
    <s v="202507"/>
    <x v="4"/>
    <n v="280.7"/>
    <s v="SETIEMBRE"/>
    <n v="5"/>
  </r>
  <r>
    <s v="FLUJO"/>
    <n v="20606395681"/>
    <s v="INVERSIONES KAMILA IYARI E.I.R.L."/>
    <s v="202507, 202506, 202505, 202504"/>
    <x v="4"/>
    <n v="579.16999999999996"/>
    <s v="SETIEMBRE"/>
    <n v="5"/>
  </r>
  <r>
    <s v="FLUJO"/>
    <n v="20606545551"/>
    <s v="PERUVIAN NORTH FOOD S.A.C."/>
    <s v="202507"/>
    <x v="4"/>
    <n v="250.85000000000002"/>
    <s v="SETIEMBRE"/>
    <n v="5"/>
  </r>
  <r>
    <s v="FLUJO"/>
    <n v="20607031682"/>
    <s v="HIELO Y CONGELADOS PARACHIQUE SOCIEDAD ANONIMA CERRADA"/>
    <s v="202507, 202506, 202505"/>
    <x v="4"/>
    <n v="393.15"/>
    <s v="SETIEMBRE"/>
    <n v="5"/>
  </r>
  <r>
    <s v="FLUJO"/>
    <n v="20607058831"/>
    <s v="CORPORACION R TOMAS E.I.R.L."/>
    <s v="202507"/>
    <x v="4"/>
    <n v="196.69"/>
    <s v="SETIEMBRE"/>
    <n v="5"/>
  </r>
  <r>
    <s v="FLUJO"/>
    <n v="20607154423"/>
    <s v="LABORATORIO LABMIN SAC"/>
    <s v="202507, 202506, 202505, 202504"/>
    <x v="4"/>
    <n v="605.74"/>
    <s v="SETIEMBRE"/>
    <n v="5"/>
  </r>
  <r>
    <s v="FLUJO"/>
    <n v="20607894958"/>
    <s v="DIGITAL CITY S.A.C."/>
    <s v="202507, 202506, 202505, 202504"/>
    <x v="4"/>
    <n v="574.79"/>
    <s v="SETIEMBRE"/>
    <n v="5"/>
  </r>
  <r>
    <s v="FLUJO"/>
    <n v="20609009021"/>
    <s v="SERVICIOS DE ALIMENTOS GENERALES Y AFINES SAC"/>
    <s v="202507"/>
    <x v="4"/>
    <n v="148.16999999999999"/>
    <s v="SETIEMBRE"/>
    <n v="5"/>
  </r>
  <r>
    <s v="FLUJO"/>
    <n v="20609154676"/>
    <s v="GRUPO HR E INGENIEROS EIRL"/>
    <s v="202507, 202506, 202505, 202504"/>
    <x v="4"/>
    <n v="526.51"/>
    <s v="SETIEMBRE"/>
    <n v="5"/>
  </r>
  <r>
    <s v="FLUJO"/>
    <n v="20610855912"/>
    <s v="PERUVIAN ORGANIC LANDS S.A.C."/>
    <s v="202507, 202506"/>
    <x v="4"/>
    <n v="519.98"/>
    <s v="SETIEMBRE"/>
    <n v="5"/>
  </r>
  <r>
    <s v="FLUJO"/>
    <n v="20613076680"/>
    <s v="BRAF PERU LOGISTIC S.A.C."/>
    <s v="202507, 202506, 202505, 202504"/>
    <x v="4"/>
    <n v="526.51"/>
    <s v="SETIEMBRE"/>
    <n v="5"/>
  </r>
  <r>
    <s v="FLUJO"/>
    <n v="20506204683"/>
    <s v="SJW SRL"/>
    <s v="202506"/>
    <x v="4"/>
    <n v="2913.71"/>
    <s v="SETIEMBRE"/>
    <n v="5"/>
  </r>
  <r>
    <s v="FLUJO"/>
    <n v="20600888103"/>
    <s v="Gear Computer SCRL"/>
    <s v="202506, 202507, 202505"/>
    <x v="4"/>
    <n v="978.96"/>
    <s v="SETIEMBRE"/>
    <n v="5"/>
  </r>
  <r>
    <s v="FLUJO"/>
    <n v="20605882359"/>
    <s v="CENTRO DE INVESTIGACION Y ASESORIA TRIBUTARIA ICHPAS SAC"/>
    <s v="202506"/>
    <x v="4"/>
    <n v="131.05000000000001"/>
    <s v="SETIEMBRE"/>
    <n v="5"/>
  </r>
  <r>
    <s v="FLUJO"/>
    <n v="20608194534"/>
    <s v="MGP SERVYPARTS E.I.R.L."/>
    <s v="202506, 202507"/>
    <x v="4"/>
    <n v="487.95000000000005"/>
    <s v="SETIEMBRE"/>
    <n v="5"/>
  </r>
  <r>
    <s v="FLUJO"/>
    <n v="20477419390"/>
    <s v="CLINICA IMPLANTES DEL NORTE SRL"/>
    <s v="202505, 202504, 202506, 202507"/>
    <x v="4"/>
    <n v="527.92000000000007"/>
    <s v="SETIEMBRE"/>
    <n v="5"/>
  </r>
  <r>
    <s v="FLUJO"/>
    <n v="20543608271"/>
    <s v="INVERSIONES GORRION SAC"/>
    <s v="202505"/>
    <x v="4"/>
    <n v="145.42000000000002"/>
    <s v="SETIEMBRE"/>
    <n v="5"/>
  </r>
  <r>
    <s v="FLUJO"/>
    <n v="20602083030"/>
    <s v="COMERCIAL LA CRUZ Y MENDEZ SAC"/>
    <s v="202505, 202506"/>
    <x v="4"/>
    <n v="264.02999999999997"/>
    <s v="SETIEMBRE"/>
    <n v="5"/>
  </r>
  <r>
    <s v="FLUJO"/>
    <n v="10418000703"/>
    <s v="SANDRA RAMIREZ CARLOS"/>
    <s v="202504, 202503, 202502, 202501"/>
    <x v="4"/>
    <n v="574"/>
    <s v="SETIEMBRE"/>
    <n v="5"/>
  </r>
  <r>
    <s v="FLUJO"/>
    <n v="20607576484"/>
    <s v="JHUMAJER S.A.C."/>
    <s v="202504"/>
    <x v="4"/>
    <n v="101.41"/>
    <s v="SETIEMBRE"/>
    <n v="5"/>
  </r>
  <r>
    <s v="FLUJO"/>
    <n v="20602549241"/>
    <s v="SERVICIOS DE SALUD YACC S.R.L"/>
    <s v="202503, 202504"/>
    <x v="4"/>
    <n v="220.68"/>
    <s v="SETIEMBRE"/>
    <n v="5"/>
  </r>
  <r>
    <s v="FLUJO"/>
    <n v="20543073491"/>
    <s v="GCY GROUP SAC"/>
    <s v="202502"/>
    <x v="4"/>
    <n v="330.51"/>
    <s v="SETIEMBRE"/>
    <n v="5"/>
  </r>
  <r>
    <s v="PRESUNTA"/>
    <n v="20602466737"/>
    <s v="THABNA CONTRATISTAS S.A.C."/>
    <s v="202507"/>
    <x v="4"/>
    <n v="539.31999999999994"/>
    <s v="SETIEMBRE"/>
    <n v="5"/>
  </r>
  <r>
    <s v="PRESUNTA"/>
    <n v="20272827681"/>
    <s v="REFRISA S.R.LTDA."/>
    <s v="202412, 202411"/>
    <x v="4"/>
    <n v="1004.55"/>
    <s v="SETIEMBRE"/>
    <n v="5"/>
  </r>
  <r>
    <s v="REAL TOTAL"/>
    <n v="20198459748"/>
    <s v="buzos del pacifico eirl"/>
    <s v="202502, 202501"/>
    <x v="4"/>
    <n v="3859.25"/>
    <s v="SETIEMBRE"/>
    <n v="5"/>
  </r>
  <r>
    <s v="REAL TOTAL"/>
    <n v="20494179262"/>
    <s v="JYP CONSTRUCTORES GENERALES SAC"/>
    <s v="202410"/>
    <x v="4"/>
    <n v="130.96"/>
    <s v="SETIEMBRE"/>
    <n v="5"/>
  </r>
  <r>
    <s v="REAL TOTAL"/>
    <n v="20554078789"/>
    <s v="HEXYTOSA EIRL"/>
    <s v="201803, 201804, 201810, 201809, 201808, 201807, 201806, 201805"/>
    <x v="4"/>
    <n v="1560.0800000000002"/>
    <s v="SETIEMBRE"/>
    <n v="5"/>
  </r>
  <r>
    <s v="FLUJO"/>
    <n v="20117182640"/>
    <s v="EMP TRANSP VIRGEN DE LA PUERTA SA"/>
    <s v="202507"/>
    <x v="5"/>
    <n v="129.88999999999999"/>
    <s v="SETIEMBRE"/>
    <n v="5"/>
  </r>
  <r>
    <s v="FLUJO"/>
    <n v="20550010900"/>
    <s v="CALDERAS PERUANAS Y DERIVADOS SOCIEDAD ANONIMA CERRADA"/>
    <s v="202506, 202504"/>
    <x v="5"/>
    <n v="264.67"/>
    <s v="SETIEMBRE"/>
    <n v="5"/>
  </r>
  <r>
    <s v="FLUJO"/>
    <n v="20610120874"/>
    <s v="CORPORACION GUIMEL SAC"/>
    <s v="202506, 202507, 202505"/>
    <x v="5"/>
    <n v="420.47"/>
    <s v="SETIEMBRE"/>
    <n v="5"/>
  </r>
  <r>
    <s v="PRESUNTA"/>
    <n v="20601443831"/>
    <s v="ZARAGOZA LOGISTICA Y TRANSPORTES E.I.R.L."/>
    <s v="202507"/>
    <x v="5"/>
    <n v="129.88999999999999"/>
    <s v="SETIEMBRE"/>
    <n v="5"/>
  </r>
  <r>
    <s v="FLUJO"/>
    <n v="10218025451"/>
    <s v="CASTILLO LEON REYNALDO PASTOR"/>
    <s v="202507"/>
    <x v="6"/>
    <n v="148.16999999999999"/>
    <s v="SETIEMBRE"/>
    <n v="5"/>
  </r>
  <r>
    <s v="FLUJO"/>
    <n v="20606470054"/>
    <s v="GRUPO D'PALMA SAC"/>
    <s v="202507, 202506, 202505"/>
    <x v="6"/>
    <n v="393.4"/>
    <s v="SETIEMBRE"/>
    <n v="5"/>
  </r>
  <r>
    <s v="FLUJO"/>
    <n v="20610622080"/>
    <s v="HANDFLUID TRADING S.A.C."/>
    <s v="202507"/>
    <x v="6"/>
    <n v="148.16999999999999"/>
    <s v="SETIEMBRE"/>
    <n v="5"/>
  </r>
  <r>
    <s v="PRESUNTA"/>
    <n v="20549673491"/>
    <s v="GRAFITEX ISRAEL EIRL"/>
    <s v="201708, 201707"/>
    <x v="6"/>
    <n v="390.4"/>
    <s v="SETIEMBRE"/>
    <n v="5"/>
  </r>
  <r>
    <s v="REAL TOTAL"/>
    <n v="20603338481"/>
    <s v="JNAVARRO INSTALACIONES E INGENIERIA SAC"/>
    <s v="202305"/>
    <x v="6"/>
    <n v="221.82"/>
    <s v="SETIEMBRE"/>
    <n v="5"/>
  </r>
  <r>
    <s v="FLUJO"/>
    <n v="10293974875"/>
    <s v="REYMER MORALES DARIA BEATRIZ"/>
    <s v="202507, 202506, 202505, 202504, 202503"/>
    <x v="7"/>
    <n v="661.53"/>
    <s v="SETIEMBRE"/>
    <n v="6"/>
  </r>
  <r>
    <s v="FLUJO"/>
    <n v="20517418545"/>
    <s v="DISTRIBUIDORA MULTIUTILES SAC"/>
    <s v="202507, 202506"/>
    <x v="7"/>
    <n v="229.61"/>
    <s v="SETIEMBRE"/>
    <n v="6"/>
  </r>
  <r>
    <s v="FLUJO"/>
    <n v="20524079586"/>
    <s v="electro comercial karol srl"/>
    <s v="202507"/>
    <x v="7"/>
    <n v="278.07"/>
    <s v="SETIEMBRE"/>
    <n v="6"/>
  </r>
  <r>
    <s v="FLUJO"/>
    <n v="20543398790"/>
    <s v="LINK CORREDORES DE SEGUROS S.A.C."/>
    <s v="202507, 202506"/>
    <x v="7"/>
    <n v="693.11"/>
    <s v="SETIEMBRE"/>
    <n v="6"/>
  </r>
  <r>
    <s v="FLUJO"/>
    <n v="20549204075"/>
    <s v="JLB CORPORACION EIRL"/>
    <s v="202507, 202506"/>
    <x v="7"/>
    <n v="1582.29"/>
    <s v="SETIEMBRE"/>
    <n v="6"/>
  </r>
  <r>
    <s v="FLUJO"/>
    <n v="20559311198"/>
    <s v="CRISERVIS E.I.R.L."/>
    <s v="202507"/>
    <x v="7"/>
    <n v="148.16999999999999"/>
    <s v="SETIEMBRE"/>
    <n v="6"/>
  </r>
  <r>
    <s v="FLUJO"/>
    <n v="20603902425"/>
    <s v="Inversiones Cevhal SAC"/>
    <s v="202507, 202506, 202505"/>
    <x v="7"/>
    <n v="393.4"/>
    <s v="SETIEMBRE"/>
    <n v="6"/>
  </r>
  <r>
    <s v="FLUJO"/>
    <n v="20604810575"/>
    <s v="INDUSTRIA FG SOCIEDAD ANONIMA CERRADA"/>
    <s v="202507, 202506"/>
    <x v="7"/>
    <n v="287.19"/>
    <s v="SETIEMBRE"/>
    <n v="6"/>
  </r>
  <r>
    <s v="FLUJO"/>
    <n v="20605441077"/>
    <s v="ACVET PERU E.I.R.L."/>
    <s v="202507"/>
    <x v="7"/>
    <n v="244.48"/>
    <s v="SETIEMBRE"/>
    <n v="6"/>
  </r>
  <r>
    <s v="FLUJO"/>
    <n v="20605947728"/>
    <s v="SERVICIO INTEGRAL PIERO ALDO E.I.R.L."/>
    <s v="202507, 202506"/>
    <x v="7"/>
    <n v="261.07"/>
    <s v="SETIEMBRE"/>
    <n v="6"/>
  </r>
  <r>
    <s v="FLUJO"/>
    <n v="20608740288"/>
    <s v="LIKA - EPICERIE SAC"/>
    <s v="202507, 202506, 202505, 202504, 202503"/>
    <x v="7"/>
    <n v="581.82999999999993"/>
    <s v="SETIEMBRE"/>
    <n v="6"/>
  </r>
  <r>
    <s v="FLUJO"/>
    <n v="20609715007"/>
    <s v="GRUPO CORPORATIVO CHAVEZ EIRL"/>
    <s v="202507, 202506"/>
    <x v="7"/>
    <n v="261.07"/>
    <s v="SETIEMBRE"/>
    <n v="6"/>
  </r>
  <r>
    <s v="FLUJO"/>
    <n v="20611262966"/>
    <s v="IH FASHION"/>
    <s v="202507, 202506, 202505, 202504"/>
    <x v="7"/>
    <n v="699.43000000000006"/>
    <s v="SETIEMBRE"/>
    <n v="6"/>
  </r>
  <r>
    <s v="FLUJO"/>
    <n v="20610234101"/>
    <s v="MORVIDIESEL S.A.C."/>
    <s v="202506, 202505, 202504, 202503"/>
    <x v="7"/>
    <n v="4435.6499999999996"/>
    <s v="SETIEMBRE"/>
    <n v="6"/>
  </r>
  <r>
    <s v="FLUJO"/>
    <n v="10072623873"/>
    <s v="CALDERON ALTAMIRANO"/>
    <s v="202505"/>
    <x v="7"/>
    <n v="262.71000000000004"/>
    <s v="SETIEMBRE"/>
    <n v="6"/>
  </r>
  <r>
    <s v="FLUJO"/>
    <n v="10418892612"/>
    <s v="VILLANUEVA GARCIA CARMEN JANNET"/>
    <s v="202505"/>
    <x v="7"/>
    <n v="128.01"/>
    <s v="SETIEMBRE"/>
    <n v="6"/>
  </r>
  <r>
    <s v="PRESUNTA"/>
    <n v="10336768735"/>
    <s v="QUIROZ DELGADO NANCY"/>
    <s v="202507"/>
    <x v="7"/>
    <n v="129.88999999999999"/>
    <s v="SETIEMBRE"/>
    <n v="6"/>
  </r>
  <r>
    <s v="REAL TOTAL"/>
    <n v="20551703712"/>
    <s v="NM TELECOM SAC"/>
    <s v="202205"/>
    <x v="7"/>
    <n v="362.58000000000004"/>
    <s v="SETIEMBRE"/>
    <n v="6"/>
  </r>
  <r>
    <s v="REAL TOTAL"/>
    <n v="20204156060"/>
    <s v="G &amp; G ARQUITECTOS"/>
    <s v="200211"/>
    <x v="7"/>
    <n v="1388.59"/>
    <s v="SETIEMBRE"/>
    <n v="6"/>
  </r>
  <r>
    <s v="FLUJO"/>
    <n v="10292472477"/>
    <s v="SUC MORON VALDA ELENA ILDA"/>
    <s v="202507"/>
    <x v="8"/>
    <n v="278.34000000000003"/>
    <s v="SETIEMBRE"/>
    <n v="7"/>
  </r>
  <r>
    <s v="FLUJO"/>
    <n v="10462120031"/>
    <s v="PEÃ‘A CHIPANA NILTON ANDRES"/>
    <s v="202507"/>
    <x v="8"/>
    <n v="148.32"/>
    <s v="SETIEMBRE"/>
    <n v="7"/>
  </r>
  <r>
    <s v="FLUJO"/>
    <n v="20480594143"/>
    <s v="DRUGSTORE DIFAPAG EIRL"/>
    <s v="202507"/>
    <x v="8"/>
    <n v="148.32"/>
    <s v="SETIEMBRE"/>
    <n v="7"/>
  </r>
  <r>
    <s v="FLUJO"/>
    <n v="20522135764"/>
    <s v="CORPORACION ROSSE S.A.C."/>
    <s v="202507"/>
    <x v="8"/>
    <n v="211.72"/>
    <s v="SETIEMBRE"/>
    <n v="7"/>
  </r>
  <r>
    <s v="FLUJO"/>
    <n v="20529442956"/>
    <s v="SAN MIGUEL ARCANGEL CONTRATISTAS GENERALES"/>
    <s v="202507"/>
    <x v="8"/>
    <n v="225.34"/>
    <s v="SETIEMBRE"/>
    <n v="7"/>
  </r>
  <r>
    <s v="FLUJO"/>
    <n v="20556395820"/>
    <s v="MEDIA IMPACT PERU SAC"/>
    <s v="202507"/>
    <x v="8"/>
    <n v="3145.4"/>
    <s v="SETIEMBRE"/>
    <n v="7"/>
  </r>
  <r>
    <s v="FLUJO"/>
    <n v="20600054717"/>
    <s v="RR RAMIREZ SAC"/>
    <s v="202507"/>
    <x v="8"/>
    <n v="3073.4500000000003"/>
    <s v="SETIEMBRE"/>
    <n v="7"/>
  </r>
  <r>
    <s v="FLUJO"/>
    <n v="20600472233"/>
    <s v="EFF INGENIEROS EIRL"/>
    <s v="202507"/>
    <x v="8"/>
    <n v="1290.8499999999999"/>
    <s v="SETIEMBRE"/>
    <n v="7"/>
  </r>
  <r>
    <s v="FLUJO"/>
    <n v="20601238676"/>
    <s v="PLANTACIONES ORGANICAS DEL  PERU SAC"/>
    <s v="202507, 202506, 202505"/>
    <x v="8"/>
    <n v="433.03000000000009"/>
    <s v="SETIEMBRE"/>
    <n v="7"/>
  </r>
  <r>
    <s v="FLUJO"/>
    <n v="20601886392"/>
    <s v="JMM INGENIERIA &amp; SERVICIOS GENERALES S.A.C."/>
    <s v="202507"/>
    <x v="8"/>
    <n v="148.32"/>
    <s v="SETIEMBRE"/>
    <n v="7"/>
  </r>
  <r>
    <s v="FLUJO"/>
    <n v="20602659683"/>
    <s v="FRIGORIFICO SANTA ESPERANZA SAC"/>
    <s v="202507, 202506, 202505"/>
    <x v="8"/>
    <n v="617.18000000000006"/>
    <s v="SETIEMBRE"/>
    <n v="7"/>
  </r>
  <r>
    <s v="FLUJO"/>
    <n v="20602867065"/>
    <s v="SERVICIOS GENERALES ARFAV E.I.R.L."/>
    <s v="202507, 202506, 202504, 202503, 202502, 202501"/>
    <x v="8"/>
    <n v="1072.81"/>
    <s v="SETIEMBRE"/>
    <n v="7"/>
  </r>
  <r>
    <s v="FLUJO"/>
    <n v="20605270817"/>
    <s v="SUSAN CAMILO VICTOR INGENIEROS S.A.C."/>
    <s v="202507, 202506"/>
    <x v="8"/>
    <n v="261.21000000000004"/>
    <s v="SETIEMBRE"/>
    <n v="7"/>
  </r>
  <r>
    <s v="FLUJO"/>
    <n v="20605352091"/>
    <s v="CORPORACION LIKER E.I.R.L."/>
    <s v="202507, 202506, 202505"/>
    <x v="8"/>
    <n v="393.67000000000007"/>
    <s v="SETIEMBRE"/>
    <n v="7"/>
  </r>
  <r>
    <s v="FLUJO"/>
    <n v="20605809414"/>
    <s v="PANIFICADORA SAC"/>
    <s v="202507"/>
    <x v="8"/>
    <n v="170.47"/>
    <s v="SETIEMBRE"/>
    <n v="7"/>
  </r>
  <r>
    <s v="FLUJO"/>
    <n v="20609389533"/>
    <s v="HATSUR EIRL"/>
    <s v="202507, 202506"/>
    <x v="8"/>
    <n v="277.39"/>
    <s v="SETIEMBRE"/>
    <n v="7"/>
  </r>
  <r>
    <s v="FLUJO"/>
    <n v="20611423251"/>
    <s v="DD COFFEE BAKERY GROUP S.A.C."/>
    <s v="202507, 202506"/>
    <x v="8"/>
    <n v="261.21000000000004"/>
    <s v="SETIEMBRE"/>
    <n v="7"/>
  </r>
  <r>
    <s v="FLUJO"/>
    <n v="20542731851"/>
    <s v="ORGANIZACION EDUCATIVA DANIEL GOLEMAN EIRL"/>
    <s v="202506, 202505"/>
    <x v="8"/>
    <n v="263.64"/>
    <s v="SETIEMBRE"/>
    <n v="7"/>
  </r>
  <r>
    <s v="FLUJO"/>
    <n v="20609308746"/>
    <s v="LOPEZHER S.R.L."/>
    <s v="202506"/>
    <x v="8"/>
    <n v="164.61"/>
    <s v="SETIEMBRE"/>
    <n v="7"/>
  </r>
  <r>
    <s v="FLUJO"/>
    <n v="20600625692"/>
    <s v="CONAGAS SAC"/>
    <s v="202505, 202506"/>
    <x v="8"/>
    <n v="533.06999999999994"/>
    <s v="SETIEMBRE"/>
    <n v="7"/>
  </r>
  <r>
    <s v="FLUJO"/>
    <n v="20608676725"/>
    <s v="Encalada MS S.A.C."/>
    <s v="202505"/>
    <x v="8"/>
    <n v="1102.9099999999999"/>
    <s v="SETIEMBRE"/>
    <n v="7"/>
  </r>
  <r>
    <s v="PRESUNTA"/>
    <n v="20560188324"/>
    <s v="JEHOVA JIREH ELIENAI GRUPO CORPORATIVO SAC"/>
    <s v="202507, 202506"/>
    <x v="8"/>
    <n v="560.33000000000004"/>
    <s v="SETIEMBRE"/>
    <n v="7"/>
  </r>
  <r>
    <s v="PRESUNTA"/>
    <n v="20606970928"/>
    <s v="TRANSPORTE MC Y LH SRL"/>
    <s v="202507"/>
    <x v="8"/>
    <n v="138.07999999999998"/>
    <s v="SETIEMBRE"/>
    <n v="7"/>
  </r>
  <r>
    <s v="REAL TOTAL"/>
    <n v="10071815426"/>
    <s v="ALCAZAR SERNA GUSTAVO GOTARDO"/>
    <s v="202502, 202501"/>
    <x v="8"/>
    <n v="338.1"/>
    <s v="SETIEMBRE"/>
    <n v="7"/>
  </r>
  <r>
    <s v="REAL TOTAL"/>
    <n v="20510520212"/>
    <s v="LITOTRICIA JAVIER PRADO SAC"/>
    <s v="202412, 202411, 202410"/>
    <x v="8"/>
    <n v="1013.88"/>
    <s v="SETIEMBRE"/>
    <n v="7"/>
  </r>
  <r>
    <s v="REAL TOTAL"/>
    <n v="20111857467"/>
    <s v="academia de natacion angel romero srl"/>
    <s v="201801"/>
    <x v="8"/>
    <n v="1272.45"/>
    <s v="SETIEMBRE"/>
    <n v="7"/>
  </r>
  <r>
    <s v="FLUJO"/>
    <n v="10026192400"/>
    <s v="SILVESTRE NUEZ SAAVEDRA"/>
    <s v="202507"/>
    <x v="9"/>
    <n v="389.61"/>
    <s v="SETIEMBRE"/>
    <n v="8"/>
  </r>
  <r>
    <s v="FLUJO"/>
    <n v="10192313045"/>
    <s v="RIOS VERASTEGUI MANUEL GENARO"/>
    <s v="202507, 202506"/>
    <x v="9"/>
    <n v="229.85"/>
    <s v="SETIEMBRE"/>
    <n v="8"/>
  </r>
  <r>
    <s v="FLUJO"/>
    <n v="10406333707"/>
    <s v="BARRIOS LUQUE KARINA"/>
    <s v="202507, 202506"/>
    <x v="9"/>
    <n v="261.34000000000003"/>
    <s v="SETIEMBRE"/>
    <n v="8"/>
  </r>
  <r>
    <s v="FLUJO"/>
    <n v="10471707851"/>
    <s v="FLORES SORIA KARL LODBER"/>
    <s v="202507"/>
    <x v="9"/>
    <n v="796.13"/>
    <s v="SETIEMBRE"/>
    <n v="8"/>
  </r>
  <r>
    <s v="FLUJO"/>
    <n v="10802563308"/>
    <s v="SAMPEN FLORES CARLOS HERNAN"/>
    <s v="202507, 202506"/>
    <x v="9"/>
    <n v="261.34000000000003"/>
    <s v="SETIEMBRE"/>
    <n v="8"/>
  </r>
  <r>
    <s v="FLUJO"/>
    <n v="10804722179"/>
    <s v="AGUILAR CENTURION RENE OMAR"/>
    <s v="202507, 202506, 202505, 202504, 202503"/>
    <x v="9"/>
    <n v="1477.85"/>
    <s v="SETIEMBRE"/>
    <n v="8"/>
  </r>
  <r>
    <s v="FLUJO"/>
    <n v="20343493984"/>
    <s v="ALAYZA CONSULTORES LEGALES ASOCIADOS SOC. CIVIL DE RESPONSAB"/>
    <s v="202507"/>
    <x v="9"/>
    <n v="210.01"/>
    <s v="SETIEMBRE"/>
    <n v="8"/>
  </r>
  <r>
    <s v="FLUJO"/>
    <n v="20452624487"/>
    <s v="INVERSIONES MAJORO SAC"/>
    <s v="202507, 202506"/>
    <x v="9"/>
    <n v="161.87"/>
    <s v="SETIEMBRE"/>
    <n v="8"/>
  </r>
  <r>
    <s v="FLUJO"/>
    <n v="20509607657"/>
    <s v="LAN TRADING SA"/>
    <s v="202507"/>
    <x v="9"/>
    <n v="249.39"/>
    <s v="SETIEMBRE"/>
    <n v="8"/>
  </r>
  <r>
    <s v="FLUJO"/>
    <n v="20520774352"/>
    <s v="REPRESENTACIONES JHOSEP SAC"/>
    <s v="202507, 202506"/>
    <x v="9"/>
    <n v="261.34000000000003"/>
    <s v="SETIEMBRE"/>
    <n v="8"/>
  </r>
  <r>
    <s v="FLUJO"/>
    <n v="20545373441"/>
    <s v="VETERINARIA MI CACHORRITO SAC"/>
    <s v="202507"/>
    <x v="9"/>
    <n v="132.66"/>
    <s v="SETIEMBRE"/>
    <n v="8"/>
  </r>
  <r>
    <s v="FLUJO"/>
    <n v="20600230108"/>
    <s v="DANCAR CONTRATISTAS EIRL"/>
    <s v="202507, 202506"/>
    <x v="9"/>
    <n v="325.82"/>
    <s v="SETIEMBRE"/>
    <n v="8"/>
  </r>
  <r>
    <s v="FLUJO"/>
    <n v="20602293930"/>
    <s v="LOGISTICA &amp; SERVICIOS GENERALES DE LA CRUZ S.A.C."/>
    <s v="202507"/>
    <x v="9"/>
    <n v="366.28999999999996"/>
    <s v="SETIEMBRE"/>
    <n v="8"/>
  </r>
  <r>
    <s v="FLUJO"/>
    <n v="20602443885"/>
    <s v="FAHLA CALL SAC"/>
    <s v="202507"/>
    <x v="9"/>
    <n v="148.32"/>
    <s v="SETIEMBRE"/>
    <n v="8"/>
  </r>
  <r>
    <s v="FLUJO"/>
    <n v="20602782264"/>
    <s v="GRUPO FACVRIL EIRL"/>
    <s v="202507, 202506, 202505, 202504, 202503, 202502"/>
    <x v="9"/>
    <n v="776.92999999999984"/>
    <s v="SETIEMBRE"/>
    <n v="8"/>
  </r>
  <r>
    <s v="FLUJO"/>
    <n v="20606820501"/>
    <s v="INNOVAGRO BIOSCIENCE SAC"/>
    <s v="202507, 202506"/>
    <x v="9"/>
    <n v="288.23"/>
    <s v="SETIEMBRE"/>
    <n v="8"/>
  </r>
  <r>
    <s v="FLUJO"/>
    <n v="20607944840"/>
    <s v="ESTUDIO JURIDICO MENENDEZ Y ASOCIADOS SRL"/>
    <s v="202507, 202503, 202502"/>
    <x v="9"/>
    <n v="608.25"/>
    <s v="SETIEMBRE"/>
    <n v="8"/>
  </r>
  <r>
    <s v="FLUJO"/>
    <n v="20607980251"/>
    <s v="KING DESIGN C Y G SOCIEDAD ANONIMA CERRADA"/>
    <s v="202507, 202506"/>
    <x v="9"/>
    <n v="458.30000000000007"/>
    <s v="SETIEMBRE"/>
    <n v="8"/>
  </r>
  <r>
    <s v="FLUJO"/>
    <n v="20608060686"/>
    <s v="EVOLUCION PERU TELECOMUNICACIONES S.A.C."/>
    <s v="202507"/>
    <x v="9"/>
    <n v="209.42000000000002"/>
    <s v="SETIEMBRE"/>
    <n v="8"/>
  </r>
  <r>
    <s v="FLUJO"/>
    <n v="20608727338"/>
    <s v="ACN TRANSPORTES SAC"/>
    <s v="202507, 202506"/>
    <x v="9"/>
    <n v="346.90000000000003"/>
    <s v="SETIEMBRE"/>
    <n v="8"/>
  </r>
  <r>
    <s v="FLUJO"/>
    <n v="20608844415"/>
    <s v="DISTRIBUIDORA FERREMA S.A.C."/>
    <s v="202507, 202506"/>
    <x v="9"/>
    <n v="793.78"/>
    <s v="SETIEMBRE"/>
    <n v="8"/>
  </r>
  <r>
    <s v="FLUJO"/>
    <n v="20611853077"/>
    <s v="DENT IMPORTACIONES SAYCA SAC."/>
    <s v="202507"/>
    <x v="9"/>
    <n v="143.02000000000001"/>
    <s v="SETIEMBRE"/>
    <n v="8"/>
  </r>
  <r>
    <s v="FLUJO"/>
    <n v="20612451410"/>
    <s v="FORTI CONSTRUCTORES PERU S.A.C"/>
    <s v="202507"/>
    <x v="9"/>
    <n v="148.32"/>
    <s v="SETIEMBRE"/>
    <n v="8"/>
  </r>
  <r>
    <s v="FLUJO"/>
    <n v="10011467852"/>
    <s v="ALFONSO ENRIQUE GARCIA GARCIA"/>
    <s v="202506"/>
    <x v="9"/>
    <n v="149.79"/>
    <s v="SETIEMBRE"/>
    <n v="8"/>
  </r>
  <r>
    <s v="FLUJO"/>
    <n v="20334314732"/>
    <s v="ABASTECEDORA DE PRODUCTOS Y SERVICIOS EIRL"/>
    <s v="202506, 202505, 202507"/>
    <x v="9"/>
    <n v="393.91999999999996"/>
    <s v="SETIEMBRE"/>
    <n v="8"/>
  </r>
  <r>
    <s v="FLUJO"/>
    <n v="20533210385"/>
    <s v="JALD INVERSIONES EIRL"/>
    <s v="202506, 202505, 202504, 202503, 202507"/>
    <x v="9"/>
    <n v="1805.68"/>
    <s v="SETIEMBRE"/>
    <n v="8"/>
  </r>
  <r>
    <s v="FLUJO"/>
    <n v="20603283512"/>
    <s v="elda e hijos consultores peru sac"/>
    <s v="202506, 202507"/>
    <x v="9"/>
    <n v="4196.92"/>
    <s v="SETIEMBRE"/>
    <n v="8"/>
  </r>
  <r>
    <s v="FLUJO"/>
    <n v="20606309806"/>
    <s v="SEGURABG S.A.C"/>
    <s v="202506"/>
    <x v="9"/>
    <n v="2000.37"/>
    <s v="SETIEMBRE"/>
    <n v="8"/>
  </r>
  <r>
    <s v="FLUJO"/>
    <n v="20610806873"/>
    <s v="SOLUCIONES D Y Z HOSSO EIRL"/>
    <s v="202506, 202505, 202504, 202503, 202502, 202507"/>
    <x v="9"/>
    <n v="798.24999999999989"/>
    <s v="SETIEMBRE"/>
    <n v="8"/>
  </r>
  <r>
    <s v="FLUJO"/>
    <n v="20605735585"/>
    <s v="SEGURIDAD Y SERVICIOS CLAVE 2 AREQUIPA EIRL"/>
    <s v="202505, 202507, 202506"/>
    <x v="9"/>
    <n v="500.25"/>
    <s v="SETIEMBRE"/>
    <n v="8"/>
  </r>
  <r>
    <s v="FLUJO"/>
    <n v="20513790393"/>
    <s v="Export Fashion Peruana SAC"/>
    <s v="202504, 202503, 202502"/>
    <x v="9"/>
    <n v="790.79000000000008"/>
    <s v="SETIEMBRE"/>
    <n v="8"/>
  </r>
  <r>
    <s v="FLUJO"/>
    <n v="20609530589"/>
    <s v="INVERSIONES TURISTICAS GALLO E.I.R.L"/>
    <s v="202503, 202502"/>
    <x v="9"/>
    <n v="270.71000000000004"/>
    <s v="SETIEMBRE"/>
    <n v="8"/>
  </r>
  <r>
    <s v="FLUJO"/>
    <n v="20611193891"/>
    <s v="CASA DE REPOSO MI GRAN ABUELO E.I.R.L."/>
    <s v="202503, 202504"/>
    <x v="9"/>
    <n v="268.39999999999998"/>
    <s v="SETIEMBRE"/>
    <n v="8"/>
  </r>
  <r>
    <s v="FLUJO"/>
    <n v="20509889610"/>
    <s v="INTERANDINA VIAJES Y TURISMO SRL"/>
    <s v="202502"/>
    <x v="9"/>
    <n v="155.06"/>
    <s v="SETIEMBRE"/>
    <n v="8"/>
  </r>
  <r>
    <s v="PRESUNTA"/>
    <n v="10329385553"/>
    <s v="MARIA ELENA ALFARO RODRIGUEZ"/>
    <s v="202507"/>
    <x v="9"/>
    <n v="172.60000000000002"/>
    <s v="SETIEMBRE"/>
    <n v="8"/>
  </r>
  <r>
    <s v="PRESUNTA"/>
    <n v="10454288683"/>
    <s v="MENDOZA RODRIGUEZ LUIS PABLO"/>
    <s v="202507, 202506"/>
    <x v="9"/>
    <n v="298.11"/>
    <s v="SETIEMBRE"/>
    <n v="8"/>
  </r>
  <r>
    <s v="PRESUNTA"/>
    <n v="20481784132"/>
    <s v="SAN RAMON SAC"/>
    <s v="202507"/>
    <x v="9"/>
    <n v="148.32"/>
    <s v="SETIEMBRE"/>
    <n v="8"/>
  </r>
  <r>
    <s v="PRESUNTA"/>
    <n v="20609228173"/>
    <s v="Escuela de Servicios y GestiÃ³n de Riesgos SAC"/>
    <s v="202507"/>
    <x v="9"/>
    <n v="148.32"/>
    <s v="SETIEMBRE"/>
    <n v="8"/>
  </r>
  <r>
    <s v="PRESUNTA"/>
    <n v="20611609311"/>
    <s v="TRANSPORTES RUIZ VILLENA E.I.R.L"/>
    <s v="202507"/>
    <x v="9"/>
    <n v="149.41999999999999"/>
    <s v="SETIEMBRE"/>
    <n v="8"/>
  </r>
  <r>
    <s v="PRESUNTA"/>
    <n v="20613865609"/>
    <s v="AGROLEYKA SRL"/>
    <s v="202507"/>
    <x v="9"/>
    <n v="230.13"/>
    <s v="SETIEMBRE"/>
    <n v="8"/>
  </r>
  <r>
    <s v="PRESUNTA"/>
    <n v="10071815426"/>
    <s v="ALCAZAR SERNA GUSTAVO GOTARDO"/>
    <s v="202505, 202504, 202503, 202507, 202506"/>
    <x v="9"/>
    <n v="820.56999999999994"/>
    <s v="SETIEMBRE"/>
    <n v="8"/>
  </r>
  <r>
    <s v="PRESUNTA"/>
    <n v="20609754894"/>
    <s v="BREAD MILLS S.A.C"/>
    <s v="202504, 202505"/>
    <x v="9"/>
    <n v="451.03999999999996"/>
    <s v="SETIEMBRE"/>
    <n v="8"/>
  </r>
  <r>
    <s v="REAL TOTAL"/>
    <n v="20602710280"/>
    <s v="NORTHWEST SECURITY S.A.C"/>
    <s v="202501"/>
    <x v="9"/>
    <n v="1075.2"/>
    <s v="SETIEMBRE"/>
    <n v="8"/>
  </r>
  <r>
    <s v="REAL TOTAL"/>
    <n v="20526450851"/>
    <s v="SOLIMAR INDUSTRIA EIRL"/>
    <s v="202208"/>
    <x v="9"/>
    <n v="313.48"/>
    <s v="SETIEMBRE"/>
    <n v="8"/>
  </r>
  <r>
    <s v="REAL TOTAL"/>
    <n v="20100002206"/>
    <s v="ESTABLECIMIENTOS INCA S.A.C."/>
    <s v="201406, 200512"/>
    <x v="9"/>
    <n v="877.31999999999994"/>
    <s v="SETIEMBRE"/>
    <n v="8"/>
  </r>
  <r>
    <s v="FLUJO"/>
    <n v="10079521863"/>
    <s v="DE LAMA RISCO MARTHA AVELINA"/>
    <s v="202507"/>
    <x v="10"/>
    <n v="148.32"/>
    <s v="SETIEMBRE"/>
    <n v="9"/>
  </r>
  <r>
    <s v="FLUJO"/>
    <n v="10266846695"/>
    <s v="ALEGRIA AGUERO LUZMILA DEL CARMEN"/>
    <s v="202507"/>
    <x v="10"/>
    <n v="211.72"/>
    <s v="SETIEMBRE"/>
    <n v="9"/>
  </r>
  <r>
    <s v="FLUJO"/>
    <n v="10414641488"/>
    <s v="JOSE LUIS VILLAJUAN TOMAS"/>
    <s v="202507"/>
    <x v="10"/>
    <n v="148.32"/>
    <s v="SETIEMBRE"/>
    <n v="9"/>
  </r>
  <r>
    <s v="FLUJO"/>
    <n v="10730370259"/>
    <s v="ROJAS ORDOÃ‘EZ FIORELLA NICOLE"/>
    <s v="202507, 202506"/>
    <x v="10"/>
    <n v="130.66000000000003"/>
    <s v="SETIEMBRE"/>
    <n v="9"/>
  </r>
  <r>
    <s v="FLUJO"/>
    <n v="10766626934"/>
    <s v="AZABACHE NORIEGA JORGE LUIS"/>
    <s v="202507, 202506"/>
    <x v="10"/>
    <n v="261.34000000000003"/>
    <s v="SETIEMBRE"/>
    <n v="9"/>
  </r>
  <r>
    <s v="FLUJO"/>
    <n v="20481923949"/>
    <s v="Huaca Larga SAC"/>
    <s v="202507"/>
    <x v="10"/>
    <n v="148.32"/>
    <s v="SETIEMBRE"/>
    <n v="9"/>
  </r>
  <r>
    <s v="FLUJO"/>
    <n v="20530945201"/>
    <s v="PERUVIAN FOOD COMPANY SAC"/>
    <s v="202507"/>
    <x v="10"/>
    <n v="148.32"/>
    <s v="SETIEMBRE"/>
    <n v="9"/>
  </r>
  <r>
    <s v="FLUJO"/>
    <n v="20559954943"/>
    <s v="RIZAM CONTRATISTAS Y SERVICIOS GENERALES SAC"/>
    <s v="202507"/>
    <x v="10"/>
    <n v="148.32"/>
    <s v="SETIEMBRE"/>
    <n v="9"/>
  </r>
  <r>
    <s v="FLUJO"/>
    <n v="20602445047"/>
    <s v="Ã‘AÃ‘OCUY SAC"/>
    <s v="202507"/>
    <x v="10"/>
    <n v="118.13"/>
    <s v="SETIEMBRE"/>
    <n v="9"/>
  </r>
  <r>
    <s v="FLUJO"/>
    <n v="20602821090"/>
    <s v="GRUPO RV INGENIEROS ASOCIADOS S.R.L."/>
    <s v="202507, 202506"/>
    <x v="10"/>
    <n v="261.34000000000003"/>
    <s v="SETIEMBRE"/>
    <n v="9"/>
  </r>
  <r>
    <s v="FLUJO"/>
    <n v="20603252137"/>
    <s v="FRIO KLEN E.I.R.L"/>
    <s v="202507, 202506"/>
    <x v="10"/>
    <n v="287.45000000000005"/>
    <s v="SETIEMBRE"/>
    <n v="9"/>
  </r>
  <r>
    <s v="FLUJO"/>
    <n v="20604539596"/>
    <s v="LA FRUTTA S.R.L."/>
    <s v="202507, 202506, 202505, 202504, 202503"/>
    <x v="10"/>
    <n v="728.3900000000001"/>
    <s v="SETIEMBRE"/>
    <n v="9"/>
  </r>
  <r>
    <s v="FLUJO"/>
    <n v="20605158693"/>
    <s v="MELA MENICA EIRL"/>
    <s v="202507, 202504, 202503, 202502, 202506, 202505"/>
    <x v="10"/>
    <n v="1418.97"/>
    <s v="SETIEMBRE"/>
    <n v="9"/>
  </r>
  <r>
    <s v="FLUJO"/>
    <n v="20606007214"/>
    <s v="FABRICA DE COLCHONES Y PRODUCTOS RELACIONADOS TORRES y TORRE"/>
    <s v="202507, 202506, 202505, 202504, 202503"/>
    <x v="10"/>
    <n v="755.37"/>
    <s v="SETIEMBRE"/>
    <n v="9"/>
  </r>
  <r>
    <s v="FLUJO"/>
    <n v="20607434183"/>
    <s v="CORPORACION Y INVERSIONES ELAMERICANO  S.A.C."/>
    <s v="202507, 202506, 202505"/>
    <x v="10"/>
    <n v="393.80000000000007"/>
    <s v="SETIEMBRE"/>
    <n v="9"/>
  </r>
  <r>
    <s v="FLUJO"/>
    <n v="20610185640"/>
    <s v="AGRO EXPORTACION MIKAL SOCIEDAD ANONIMA CERRADA"/>
    <s v="202507, 202506, 202505"/>
    <x v="10"/>
    <n v="393.80000000000007"/>
    <s v="SETIEMBRE"/>
    <n v="9"/>
  </r>
  <r>
    <s v="FLUJO"/>
    <n v="20611146125"/>
    <s v="NEGOCIOS ALIMENTICIOS REYES S.R.L."/>
    <s v="202507, 202506"/>
    <x v="10"/>
    <n v="647.54"/>
    <s v="SETIEMBRE"/>
    <n v="9"/>
  </r>
  <r>
    <s v="FLUJO"/>
    <n v="20612400017"/>
    <s v="TEXTILES JMK S.A.C."/>
    <s v="202507, 202506"/>
    <x v="10"/>
    <n v="578.16"/>
    <s v="SETIEMBRE"/>
    <n v="9"/>
  </r>
  <r>
    <s v="FLUJO"/>
    <n v="20603577788"/>
    <s v="KCR SOCIO EMPRESARIAL S.A.C."/>
    <s v="202506, 202507"/>
    <x v="10"/>
    <n v="242.87"/>
    <s v="SETIEMBRE"/>
    <n v="9"/>
  </r>
  <r>
    <s v="FLUJO"/>
    <n v="20603834462"/>
    <s v="MOL EL PIRATA DE CHICLAYO FUTBOL CLUB"/>
    <s v="202506, 202507"/>
    <x v="10"/>
    <n v="780.72"/>
    <s v="SETIEMBRE"/>
    <n v="9"/>
  </r>
  <r>
    <s v="FLUJO"/>
    <n v="20611557541"/>
    <s v="ASESORES VEYSA SAC"/>
    <s v="202505"/>
    <x v="10"/>
    <n v="132.46"/>
    <s v="SETIEMBRE"/>
    <n v="9"/>
  </r>
  <r>
    <s v="FLUJO"/>
    <n v="10408830228"/>
    <s v="VARGAS ESTRADA JOHJAN"/>
    <s v="202504, 202503"/>
    <x v="10"/>
    <n v="134.19999999999999"/>
    <s v="SETIEMBRE"/>
    <n v="9"/>
  </r>
  <r>
    <s v="FLUJO"/>
    <n v="20601537118"/>
    <s v="JJ CORREA E.I.R.L."/>
    <s v="202504"/>
    <x v="10"/>
    <n v="153.67000000000002"/>
    <s v="SETIEMBRE"/>
    <n v="9"/>
  </r>
  <r>
    <s v="PRESUNTA"/>
    <n v="20510332483"/>
    <s v="IMAD PERU SAC"/>
    <s v="202507"/>
    <x v="10"/>
    <n v="1939.1200000000001"/>
    <s v="SETIEMBRE"/>
    <n v="9"/>
  </r>
  <r>
    <s v="PRESUNTA"/>
    <n v="20516138051"/>
    <s v="Integradores de Soluciones Linux SAC"/>
    <s v="202507"/>
    <x v="10"/>
    <n v="147.99"/>
    <s v="SETIEMBRE"/>
    <n v="9"/>
  </r>
  <r>
    <s v="PRESUNTA"/>
    <n v="20604725608"/>
    <s v="SERVICIOS MIRSA E.I.R.L"/>
    <s v="202507, 202506, 202505, 202504, 202503, 202502"/>
    <x v="10"/>
    <n v="798.26"/>
    <s v="SETIEMBRE"/>
    <n v="9"/>
  </r>
  <r>
    <s v="PRESUNTA"/>
    <n v="20608353233"/>
    <s v="EMPRESA DE SEGURIDAD VIP PERU SRL"/>
    <s v="202507, 202506"/>
    <x v="10"/>
    <n v="298.11"/>
    <s v="SETIEMBRE"/>
    <n v="9"/>
  </r>
  <r>
    <s v="REAL TOTAL"/>
    <n v="20610483462"/>
    <s v="LUCIANO SS E.I.R.L"/>
    <s v="202404"/>
    <x v="10"/>
    <n v="137.80000000000001"/>
    <s v="SETIEMBRE"/>
    <n v="9"/>
  </r>
  <r>
    <s v="REAL TOTAL"/>
    <n v="20491071533"/>
    <s v="laboratorio  diesel G  A scrltda"/>
    <s v="202301"/>
    <x v="10"/>
    <n v="247.32"/>
    <s v="SETIEMBRE"/>
    <n v="9"/>
  </r>
  <r>
    <s v="REAL TOTAL"/>
    <n v="20565209290"/>
    <s v="FRANSU TRADING SAC"/>
    <s v="201907, 201906"/>
    <x v="10"/>
    <n v="509.23"/>
    <s v="SETIEMBRE"/>
    <n v="9"/>
  </r>
  <r>
    <s v="REAL TOTAL"/>
    <n v="20481629161"/>
    <s v="YOVIC S.A.C."/>
    <s v="201804, 201803"/>
    <x v="10"/>
    <n v="1914.1100000000001"/>
    <s v="SETIEMBRE"/>
    <n v="9"/>
  </r>
  <r>
    <s v="REAL TOTAL"/>
    <n v="20101333940"/>
    <s v="OSTIM S.A."/>
    <s v="200812"/>
    <x v="10"/>
    <n v="41.7"/>
    <s v="SETIEMBRE"/>
    <n v="9"/>
  </r>
  <r>
    <s v="REAL TOTAL"/>
    <n v="20513540362"/>
    <s v="PERUVIAN SUN SAC"/>
    <s v="200612"/>
    <x v="10"/>
    <n v="519.55999999999995"/>
    <s v="SETIEMBRE"/>
    <n v="9"/>
  </r>
  <r>
    <s v="FLUJO"/>
    <n v="20518304233"/>
    <s v="POTENZA GAS SAC"/>
    <s v="202507, 202506, 202505"/>
    <x v="11"/>
    <n v="394.06000000000006"/>
    <s v="SETIEMBRE"/>
    <n v="10"/>
  </r>
  <r>
    <s v="FLUJO"/>
    <n v="20554520678"/>
    <s v="REDES MULTIMEDIA PERU SAC"/>
    <s v="202507, 202506, 202505, 202504"/>
    <x v="11"/>
    <n v="693.9"/>
    <s v="SETIEMBRE"/>
    <n v="10"/>
  </r>
  <r>
    <s v="FLUJO"/>
    <n v="20601480345"/>
    <s v="PROGRAMA DE CAPACITACION Y FORMACION DOCENTE E.I.R.L."/>
    <s v="202507"/>
    <x v="11"/>
    <n v="389.58"/>
    <s v="SETIEMBRE"/>
    <n v="10"/>
  </r>
  <r>
    <s v="FLUJO"/>
    <n v="20602146902"/>
    <s v="SAN IGNACIO DE NUEVA ESPERANZA SAC"/>
    <s v="202507, 202506, 202505"/>
    <x v="11"/>
    <n v="394.06000000000006"/>
    <s v="SETIEMBRE"/>
    <n v="10"/>
  </r>
  <r>
    <s v="FLUJO"/>
    <n v="20603213301"/>
    <s v="SOLUCIONES EN TRANSPORTES MELIS SAC"/>
    <s v="202507"/>
    <x v="11"/>
    <n v="148.47"/>
    <s v="SETIEMBRE"/>
    <n v="10"/>
  </r>
  <r>
    <s v="FLUJO"/>
    <n v="20604758301"/>
    <s v="EDITORIAL MUCHIK S.A.C."/>
    <s v="202507, 202506"/>
    <x v="11"/>
    <n v="289.24"/>
    <s v="SETIEMBRE"/>
    <n v="10"/>
  </r>
  <r>
    <s v="FLUJO"/>
    <n v="20609136279"/>
    <s v="AGRO SOLUTA S.A.C."/>
    <s v="202507"/>
    <x v="11"/>
    <n v="148.47"/>
    <s v="SETIEMBRE"/>
    <n v="10"/>
  </r>
  <r>
    <s v="FLUJO"/>
    <n v="20610209832"/>
    <s v="SOPLIN E.I.R.L"/>
    <s v="202507, 202506"/>
    <x v="11"/>
    <n v="372.36"/>
    <s v="SETIEMBRE"/>
    <n v="10"/>
  </r>
  <r>
    <s v="FLUJO"/>
    <n v="20611285796"/>
    <s v="CORPORACION ELMAZ S.A.C."/>
    <s v="202507, 202506"/>
    <x v="11"/>
    <n v="1062.0300000000002"/>
    <s v="SETIEMBRE"/>
    <n v="10"/>
  </r>
  <r>
    <s v="FLUJO"/>
    <n v="20612751367"/>
    <s v="CORPORACION Y SERVICIOS MULTIPLES FLOR FR Y A SAC"/>
    <s v="202507, 202506"/>
    <x v="11"/>
    <n v="270.39"/>
    <s v="SETIEMBRE"/>
    <n v="10"/>
  </r>
  <r>
    <s v="FLUJO"/>
    <n v="20614114399"/>
    <s v="MAQUINARIA KOMIR SAC"/>
    <s v="202507, 202506, 202505"/>
    <x v="11"/>
    <n v="394.06000000000006"/>
    <s v="SETIEMBRE"/>
    <n v="10"/>
  </r>
  <r>
    <s v="FLUJO"/>
    <n v="20602059236"/>
    <s v="Celeste Mar S.A.C."/>
    <s v="202506, 202505, 202504, 202507"/>
    <x v="11"/>
    <n v="527.66999999999996"/>
    <s v="SETIEMBRE"/>
    <n v="10"/>
  </r>
  <r>
    <s v="FLUJO"/>
    <n v="20602210082"/>
    <s v="TALENT PEOPLE OUTSOURCING S.A.C"/>
    <s v="202506"/>
    <x v="11"/>
    <n v="407.06"/>
    <s v="SETIEMBRE"/>
    <n v="10"/>
  </r>
  <r>
    <s v="FLUJO"/>
    <n v="20515072587"/>
    <s v="CORPORACION ARCOS S.A.C."/>
    <s v="202505, 202504"/>
    <x v="11"/>
    <n v="342.83000000000004"/>
    <s v="SETIEMBRE"/>
    <n v="10"/>
  </r>
  <r>
    <s v="FLUJO"/>
    <n v="20607151688"/>
    <s v="METIS DREG S.A.C."/>
    <s v="202505, 202504, 202503"/>
    <x v="11"/>
    <n v="536.03"/>
    <s v="SETIEMBRE"/>
    <n v="10"/>
  </r>
  <r>
    <s v="FLUJO"/>
    <n v="20611118750"/>
    <s v="AGRONEGOCIOS SUSY EIRL"/>
    <s v="202505, 202504"/>
    <x v="11"/>
    <n v="266.22000000000003"/>
    <s v="SETIEMBRE"/>
    <n v="10"/>
  </r>
  <r>
    <s v="FLUJO"/>
    <n v="20523759087"/>
    <s v="PACHAMAMA TRADITIONAL BANQUETS SAC"/>
    <s v="202504, 202507, 202506, 202505"/>
    <x v="11"/>
    <n v="2516.2799999999997"/>
    <s v="SETIEMBRE"/>
    <n v="10"/>
  </r>
  <r>
    <s v="FLUJO"/>
    <n v="20612460575"/>
    <s v="SERVICIOS BURGA EIRL"/>
    <s v="202503"/>
    <x v="11"/>
    <n v="63"/>
    <s v="SETIEMBRE"/>
    <n v="10"/>
  </r>
  <r>
    <s v="PRESUNTA"/>
    <n v="20516024551"/>
    <s v="MEDICAL MED SAC"/>
    <s v="202507"/>
    <x v="11"/>
    <n v="253.39000000000001"/>
    <s v="SETIEMBRE"/>
    <n v="10"/>
  </r>
  <r>
    <s v="PRESUNTA"/>
    <n v="20603610769"/>
    <s v="ACABADOS EXCLUSIVOS LUZ S.A.C."/>
    <s v="202507"/>
    <x v="11"/>
    <n v="260.3"/>
    <s v="SETIEMBRE"/>
    <n v="10"/>
  </r>
  <r>
    <s v="PRESUNTA"/>
    <n v="20498260366"/>
    <s v="MONTAJE, INGENIERIA Y MANTENIMIENTO SCRL"/>
    <s v="202504, 202503, 202502, 202501, 202412, 202411, 202410, 202409, 202408, 202407, 202406, 202405"/>
    <x v="11"/>
    <n v="27302.470000000005"/>
    <s v="SETIEMBRE"/>
    <n v="10"/>
  </r>
  <r>
    <s v="REAL TOTAL"/>
    <n v="20217254125"/>
    <s v="MUNICIPALIDAD DISTRITAL DE SAN ANTONIO"/>
    <s v="202410"/>
    <x v="11"/>
    <n v="2970.65"/>
    <s v="SETIEMBRE"/>
    <n v="10"/>
  </r>
  <r>
    <s v="REAL TOTAL"/>
    <n v="20555177110"/>
    <s v="TRANSPORTES Y SERVICIOS GERALD SAC"/>
    <s v="202405"/>
    <x v="11"/>
    <n v="545.03"/>
    <s v="SETIEMBRE"/>
    <n v="10"/>
  </r>
  <r>
    <s v="FLUJO"/>
    <n v="10435515172"/>
    <s v="JUANA IRIS GUTIERREZ VEGA"/>
    <s v="202507, 202506, 202505"/>
    <x v="12"/>
    <n v="137.1"/>
    <s v="SETIEMBRE"/>
    <n v="10"/>
  </r>
  <r>
    <s v="FLUJO"/>
    <n v="20532083126"/>
    <s v="SERVICIOS GENERALES DORBEC E.I.R.L"/>
    <s v="202507, 202506, 202505"/>
    <x v="12"/>
    <n v="2539.88"/>
    <s v="SETIEMBRE"/>
    <n v="10"/>
  </r>
  <r>
    <s v="FLUJO"/>
    <n v="20539765061"/>
    <s v="POLIFLEX GROUP SAC"/>
    <s v="202507"/>
    <x v="12"/>
    <n v="288.10000000000002"/>
    <s v="SETIEMBRE"/>
    <n v="10"/>
  </r>
  <r>
    <s v="FLUJO"/>
    <n v="20566572665"/>
    <s v="DISTRIBUIDORA HUARIPUMA SAC"/>
    <s v="202507"/>
    <x v="12"/>
    <n v="293.75"/>
    <s v="SETIEMBRE"/>
    <n v="10"/>
  </r>
  <r>
    <s v="FLUJO"/>
    <n v="20610742174"/>
    <s v="INVERSIONES TOMAS GUTARRA SAC"/>
    <s v="202507, 202506, 202505, 202504"/>
    <x v="12"/>
    <n v="747.69"/>
    <s v="SETIEMBRE"/>
    <n v="10"/>
  </r>
  <r>
    <s v="FLUJO"/>
    <n v="20603634684"/>
    <s v="CONFECCIONES TANTA SAC"/>
    <s v="202506"/>
    <x v="12"/>
    <n v="131.44"/>
    <s v="SETIEMBRE"/>
    <n v="10"/>
  </r>
  <r>
    <s v="FLUJO"/>
    <n v="10725778380"/>
    <s v="CALDERON NAVEZ EDITH KATHERIN"/>
    <s v="202505"/>
    <x v="12"/>
    <n v="70.400000000000006"/>
    <s v="SETIEMBRE"/>
    <n v="10"/>
  </r>
  <r>
    <s v="FLUJO"/>
    <n v="20606031034"/>
    <s v="GRUPO EDUCATIVO CULTURAL JESA S.R.L."/>
    <s v="202505"/>
    <x v="12"/>
    <n v="132.6"/>
    <s v="SETIEMBRE"/>
    <n v="10"/>
  </r>
  <r>
    <s v="FLUJO"/>
    <n v="20518001176"/>
    <s v="M Y 3A CORPORACION ELECTRO INDUSTRIAL EIRL"/>
    <s v="202504, 202507, 202506, 202505"/>
    <x v="12"/>
    <n v="677.73"/>
    <s v="SETIEMBRE"/>
    <n v="10"/>
  </r>
  <r>
    <s v="FLUJO"/>
    <n v="20611143509"/>
    <s v="COMERCIALIZACION DE FIERROS Y METALES SAC"/>
    <s v="202503, 202502, 202507, 202506, 202505, 202504"/>
    <x v="12"/>
    <n v="800.68"/>
    <s v="SETIEMBRE"/>
    <n v="10"/>
  </r>
  <r>
    <s v="FLUJO"/>
    <n v="20601480655"/>
    <s v="ADHESIVOS PERUVIAN YMAN SAC"/>
    <s v="202501, 202504"/>
    <x v="12"/>
    <n v="2583.54"/>
    <s v="SETIEMBRE"/>
    <n v="10"/>
  </r>
  <r>
    <s v="PRESUNTA"/>
    <n v="20600491891"/>
    <s v="THE WINE COMPANY S.A.C."/>
    <s v="202507"/>
    <x v="12"/>
    <n v="1407.6"/>
    <s v="SETIEMBRE"/>
    <n v="10"/>
  </r>
  <r>
    <s v="REAL TOTAL"/>
    <n v="20440355707"/>
    <s v="J  J REPRESENTACIONES Y TURISTISTICAS SRL"/>
    <s v="202008"/>
    <x v="12"/>
    <n v="35.93"/>
    <s v="SETIEMBRE"/>
    <n v="10"/>
  </r>
  <r>
    <s v="PRESUNTA"/>
    <n v="20612958123"/>
    <s v="RODRIGO GALLO OROPEZA TRAUMA EIRL"/>
    <s v="202507, 202506"/>
    <x v="13"/>
    <n v="261.72000000000003"/>
    <s v="SETIEMBRE"/>
    <n v="10"/>
  </r>
  <r>
    <s v="FLUJO"/>
    <n v="10097572289"/>
    <s v="ARREDONDO SEGOVIA ROCIO"/>
    <s v="202507"/>
    <x v="14"/>
    <n v="260.55"/>
    <s v="SETIEMBRE"/>
    <n v="11"/>
  </r>
  <r>
    <s v="FLUJO"/>
    <n v="20303795431"/>
    <s v="ERSI IMPORTACIONES SRL."/>
    <s v="202507, 202506"/>
    <x v="14"/>
    <n v="277.93000000000006"/>
    <s v="SETIEMBRE"/>
    <n v="11"/>
  </r>
  <r>
    <s v="FLUJO"/>
    <n v="20479541184"/>
    <s v="GRANDA CONTRATISTAS SRL"/>
    <s v="202507"/>
    <x v="14"/>
    <n v="263.03000000000003"/>
    <s v="SETIEMBRE"/>
    <n v="11"/>
  </r>
  <r>
    <s v="FLUJO"/>
    <n v="20507828087"/>
    <s v="J &amp; M  CONSTRUCTORES S.R.L."/>
    <s v="202507, 202506, 202505, 202504"/>
    <x v="14"/>
    <n v="346.52"/>
    <s v="SETIEMBRE"/>
    <n v="11"/>
  </r>
  <r>
    <s v="FLUJO"/>
    <n v="20544254651"/>
    <s v="MECC CONSULTORES Y CONTRATISTAS GENERALES SAC"/>
    <s v="202507, 202506"/>
    <x v="14"/>
    <n v="462.62"/>
    <s v="SETIEMBRE"/>
    <n v="11"/>
  </r>
  <r>
    <s v="FLUJO"/>
    <n v="20602084087"/>
    <s v="CONSTRUCCIONES Y ACABADOS FUENTES E.I.R.L."/>
    <s v="202507"/>
    <x v="14"/>
    <n v="148.61000000000001"/>
    <s v="SETIEMBRE"/>
    <n v="11"/>
  </r>
  <r>
    <s v="FLUJO"/>
    <n v="20610528334"/>
    <s v="HHM MAQUINARIAS Y SERVICIOS E.I.R.L."/>
    <s v="202507, 202506, 202505"/>
    <x v="14"/>
    <n v="872.37"/>
    <s v="SETIEMBRE"/>
    <n v="11"/>
  </r>
  <r>
    <s v="FLUJO"/>
    <n v="20610764411"/>
    <s v="AKM LOGISTIC S.A.C."/>
    <s v="202507, 202506, 202505, 202504, 202503"/>
    <x v="14"/>
    <n v="1290.7199999999998"/>
    <s v="SETIEMBRE"/>
    <n v="11"/>
  </r>
  <r>
    <s v="FLUJO"/>
    <n v="20611598867"/>
    <s v="UNICOS COMPANY S.R.L."/>
    <s v="202507, 202506, 202505"/>
    <x v="14"/>
    <n v="677.26"/>
    <s v="SETIEMBRE"/>
    <n v="11"/>
  </r>
  <r>
    <s v="FLUJO"/>
    <n v="20601364361"/>
    <s v="HOGA  MODA EIRL"/>
    <s v="202506"/>
    <x v="14"/>
    <n v="131.44"/>
    <s v="SETIEMBRE"/>
    <n v="11"/>
  </r>
  <r>
    <s v="FLUJO"/>
    <n v="20612132373"/>
    <s v="CONSORCIO LUBARU S.A.C."/>
    <s v="202505, 202504, 202507, 202506"/>
    <x v="14"/>
    <n v="701.81000000000006"/>
    <s v="SETIEMBRE"/>
    <n v="11"/>
  </r>
  <r>
    <s v="FLUJO"/>
    <n v="20454096194"/>
    <s v="FIBRAS DEL SUR SAC"/>
    <s v="202504, 202503, 202502"/>
    <x v="14"/>
    <n v="537.4"/>
    <s v="SETIEMBRE"/>
    <n v="11"/>
  </r>
  <r>
    <s v="PRESUNTA"/>
    <n v="20409418865"/>
    <s v="Institucion Educativa Privada Juan Pablo II SRL Zarumilla"/>
    <s v="202507"/>
    <x v="14"/>
    <n v="130.28"/>
    <s v="SETIEMBRE"/>
    <n v="11"/>
  </r>
  <r>
    <s v="REAL TOTAL"/>
    <n v="20138529445"/>
    <s v="ASOC DE PROPIETARIOS DEL MCO MODELO PARTICULAR SAN JUAN"/>
    <s v="200701"/>
    <x v="14"/>
    <n v="65.099999999999994"/>
    <s v="SETIEMBRE"/>
    <n v="11"/>
  </r>
  <r>
    <s v="FLUJO"/>
    <n v="10102239003"/>
    <s v="BLANCAS LAVADO EVELYN"/>
    <s v="202507, 202506"/>
    <x v="15"/>
    <n v="162.12"/>
    <s v="SETIEMBRE"/>
    <n v="12"/>
  </r>
  <r>
    <s v="FLUJO"/>
    <n v="10420382001"/>
    <s v="CANO ARBIETO MARIO"/>
    <s v="202507, 202506, 202505, 202504, 202503"/>
    <x v="15"/>
    <n v="829.02"/>
    <s v="SETIEMBRE"/>
    <n v="12"/>
  </r>
  <r>
    <s v="FLUJO"/>
    <n v="20432846491"/>
    <s v="ESBARI SAC"/>
    <s v="202507"/>
    <x v="15"/>
    <n v="715.46999999999991"/>
    <s v="SETIEMBRE"/>
    <n v="12"/>
  </r>
  <r>
    <s v="FLUJO"/>
    <n v="20525925693"/>
    <s v="INVERSIONES ROSANT SAC"/>
    <s v="202507, 202506"/>
    <x v="15"/>
    <n v="261.72000000000003"/>
    <s v="SETIEMBRE"/>
    <n v="12"/>
  </r>
  <r>
    <s v="FLUJO"/>
    <n v="20549009965"/>
    <s v="INVERSIONES SANTIAGO EIRL"/>
    <s v="202507"/>
    <x v="15"/>
    <n v="347.26"/>
    <s v="SETIEMBRE"/>
    <n v="12"/>
  </r>
  <r>
    <s v="FLUJO"/>
    <n v="20552011377"/>
    <s v="ASOCIACION DE DIFUSION CULTURAL UNIDA  ADCUNI"/>
    <s v="202507"/>
    <x v="15"/>
    <n v="272.84000000000003"/>
    <s v="SETIEMBRE"/>
    <n v="12"/>
  </r>
  <r>
    <s v="FLUJO"/>
    <n v="20557467964"/>
    <s v="CLASS PARKING SAC"/>
    <s v="202507"/>
    <x v="15"/>
    <n v="148.61000000000001"/>
    <s v="SETIEMBRE"/>
    <n v="12"/>
  </r>
  <r>
    <s v="FLUJO"/>
    <n v="20600114370"/>
    <s v="PAOLA SIZA PERU SAC"/>
    <s v="202507"/>
    <x v="15"/>
    <n v="291.92"/>
    <s v="SETIEMBRE"/>
    <n v="12"/>
  </r>
  <r>
    <s v="FLUJO"/>
    <n v="20604060479"/>
    <s v="CAFÃ‰ SANGUCHON FELIZ E.I.R.L."/>
    <s v="202507"/>
    <x v="15"/>
    <n v="130.28"/>
    <s v="SETIEMBRE"/>
    <n v="12"/>
  </r>
  <r>
    <s v="FLUJO"/>
    <n v="20605875841"/>
    <s v="HAPPY MUNDO KIDS E.I.R.L."/>
    <s v="202507, 202506"/>
    <x v="15"/>
    <n v="298.69"/>
    <s v="SETIEMBRE"/>
    <n v="12"/>
  </r>
  <r>
    <s v="FLUJO"/>
    <n v="20606642955"/>
    <s v="CORPORACIÃ“N MINERA ACME S.A.C."/>
    <s v="202507, 202506"/>
    <x v="15"/>
    <n v="523.42000000000007"/>
    <s v="SETIEMBRE"/>
    <n v="12"/>
  </r>
  <r>
    <s v="FLUJO"/>
    <n v="20610237844"/>
    <s v="PPPERU SERVICIOS GENERALES S.A.C."/>
    <s v="202507"/>
    <x v="15"/>
    <n v="243.31"/>
    <s v="SETIEMBRE"/>
    <n v="12"/>
  </r>
  <r>
    <s v="FLUJO"/>
    <n v="10178800979"/>
    <s v="ANGELES RODRIGUEZ EDWIN SANTIAGO"/>
    <s v="202506, 202505"/>
    <x v="15"/>
    <n v="152.06"/>
    <s v="SETIEMBRE"/>
    <n v="12"/>
  </r>
  <r>
    <s v="FLUJO"/>
    <n v="20553238103"/>
    <s v="IMDIMEX E.I.R.L."/>
    <s v="202506"/>
    <x v="15"/>
    <n v="262.87"/>
    <s v="SETIEMBRE"/>
    <n v="12"/>
  </r>
  <r>
    <s v="FLUJO"/>
    <n v="20572123228"/>
    <s v="JAS CONSULTORIA Y SERVICIOS GENERALES EIRL"/>
    <s v="202505"/>
    <x v="15"/>
    <n v="2093.7399999999998"/>
    <s v="SETIEMBRE"/>
    <n v="12"/>
  </r>
  <r>
    <s v="FLUJO"/>
    <n v="20602495168"/>
    <s v="NEGOCIOS Y SERVICIOS ANCAR EIRL"/>
    <s v="202503"/>
    <x v="15"/>
    <n v="244.98000000000002"/>
    <s v="SETIEMBRE"/>
    <n v="12"/>
  </r>
  <r>
    <s v="PRESUNTA"/>
    <n v="20461111174"/>
    <s v="CIECLANCE SAC"/>
    <s v="202507"/>
    <x v="15"/>
    <n v="40.700000000000003"/>
    <s v="SETIEMBRE"/>
    <n v="12"/>
  </r>
  <r>
    <s v="PRESUNTA"/>
    <n v="20505805713"/>
    <s v="EL HUERTO COMERCIAL EIRL"/>
    <s v="202507, 202506"/>
    <x v="15"/>
    <n v="365.94"/>
    <s v="SETIEMBRE"/>
    <n v="12"/>
  </r>
  <r>
    <s v="PRESUNTA"/>
    <n v="20607653217"/>
    <s v="INVERSIONES Y REPRESENTACIONES LATINOAMERICA S.A.C."/>
    <s v="202507, 202506, 202505"/>
    <x v="15"/>
    <n v="844.38"/>
    <s v="SETIEMBRE"/>
    <n v="12"/>
  </r>
  <r>
    <s v="PRESUNTA"/>
    <n v="20604339953"/>
    <s v="HABITAT OASIS S.A.C."/>
    <s v="202410, 202412, 202411"/>
    <x v="15"/>
    <n v="902.22"/>
    <s v="SETIEMBRE"/>
    <n v="12"/>
  </r>
  <r>
    <s v="REAL TOTAL"/>
    <n v="20474001122"/>
    <s v="AVINEY CARGO SAC"/>
    <s v="201508, 201507"/>
    <x v="15"/>
    <n v="1744.73"/>
    <s v="SETIEMBRE"/>
    <n v="12"/>
  </r>
  <r>
    <s v="REAL TOTAL"/>
    <n v="20327004973"/>
    <s v="macro service srl"/>
    <s v="200812"/>
    <x v="15"/>
    <n v="42.07"/>
    <s v="SETIEMBRE"/>
    <n v="12"/>
  </r>
  <r>
    <s v="REAL TOTAL"/>
    <n v="20349488958"/>
    <s v="PERU TECHNOLOGY S.A.C"/>
    <s v="199809"/>
    <x v="15"/>
    <n v="608.04"/>
    <s v="SETIEMBRE"/>
    <n v="12"/>
  </r>
  <r>
    <s v="FLUJO"/>
    <n v="10046347728"/>
    <s v="PAREDES VILCA VICTORIA DAMIANA"/>
    <s v="202507"/>
    <x v="16"/>
    <n v="263.19"/>
    <s v="SETIEMBRE"/>
    <n v="13"/>
  </r>
  <r>
    <s v="FLUJO"/>
    <n v="10305645945"/>
    <s v="Huanaco Flores Gregorio Luciano"/>
    <s v="202507"/>
    <x v="16"/>
    <n v="148.61000000000001"/>
    <s v="SETIEMBRE"/>
    <n v="13"/>
  </r>
  <r>
    <s v="FLUJO"/>
    <n v="20493824563"/>
    <s v="MyL DISTRIBUIDORA EIRL"/>
    <s v="202507, 202506"/>
    <x v="16"/>
    <n v="523.67000000000007"/>
    <s v="SETIEMBRE"/>
    <n v="13"/>
  </r>
  <r>
    <s v="FLUJO"/>
    <n v="20498132449"/>
    <s v="ESTABLO LOS MEDANOS EIRL"/>
    <s v="202507, 202506, 202505, 202504, 202503, 202502, 202501"/>
    <x v="16"/>
    <n v="937.0100000000001"/>
    <s v="SETIEMBRE"/>
    <n v="13"/>
  </r>
  <r>
    <s v="FLUJO"/>
    <n v="20559979695"/>
    <s v="A Y P ABOGADOS Y CONSULTORES EIRL"/>
    <s v="202507, 202506, 202505, 202502"/>
    <x v="16"/>
    <n v="657.56999999999994"/>
    <s v="SETIEMBRE"/>
    <n v="13"/>
  </r>
  <r>
    <s v="FLUJO"/>
    <n v="20601474973"/>
    <s v="CALLE LOS CASTAÃ‘OS NUMERO 432-440-446 URBANIZACION COUNTRY"/>
    <s v="202507"/>
    <x v="16"/>
    <n v="182.9"/>
    <s v="SETIEMBRE"/>
    <n v="13"/>
  </r>
  <r>
    <s v="FLUJO"/>
    <n v="20603215771"/>
    <s v="EXUS SAC"/>
    <s v="202507, 202506, 202505"/>
    <x v="16"/>
    <n v="530.13"/>
    <s v="SETIEMBRE"/>
    <n v="13"/>
  </r>
  <r>
    <s v="FLUJO"/>
    <n v="20605412450"/>
    <s v="CHIFA POLLERIA BUFETT EXPRESS E.I.R.L."/>
    <s v="202507, 202506, 202505, 202504, 202503, 202502"/>
    <x v="16"/>
    <n v="732.8"/>
    <s v="SETIEMBRE"/>
    <n v="13"/>
  </r>
  <r>
    <s v="FLUJO"/>
    <n v="20610838147"/>
    <s v="SERVICIOS GENERALES DEL PERU A Y B S.A.C."/>
    <s v="202507"/>
    <x v="16"/>
    <n v="130.28"/>
    <s v="SETIEMBRE"/>
    <n v="13"/>
  </r>
  <r>
    <s v="FLUJO"/>
    <n v="20611461021"/>
    <s v="JIREH SOLUCIONES LOGISTICAS INTEGRALES S.A.C."/>
    <s v="202507, 202506, 202505"/>
    <x v="16"/>
    <n v="698.34"/>
    <s v="SETIEMBRE"/>
    <n v="13"/>
  </r>
  <r>
    <s v="FLUJO"/>
    <n v="20614064332"/>
    <s v="AGORA EDUCORP S.A.C. BIC"/>
    <s v="202507, 202506, 202505"/>
    <x v="16"/>
    <n v="838.0200000000001"/>
    <s v="SETIEMBRE"/>
    <n v="13"/>
  </r>
  <r>
    <s v="FLUJO"/>
    <n v="20602500021"/>
    <s v="Inversiones Petroleras del Oriente Peruano S.A.C."/>
    <s v="202506"/>
    <x v="16"/>
    <n v="187.79999999999998"/>
    <s v="SETIEMBRE"/>
    <n v="13"/>
  </r>
  <r>
    <s v="FLUJO"/>
    <n v="20604712654"/>
    <s v="ELECTRO FERIA EIRL"/>
    <s v="202506, 202505, 202504"/>
    <x v="16"/>
    <n v="704.71"/>
    <s v="SETIEMBRE"/>
    <n v="13"/>
  </r>
  <r>
    <s v="FLUJO"/>
    <n v="20409498958"/>
    <s v="COMERCIAL MODA KISS EIRL"/>
    <s v="202505"/>
    <x v="16"/>
    <n v="151.4"/>
    <s v="SETIEMBRE"/>
    <n v="13"/>
  </r>
  <r>
    <s v="FLUJO"/>
    <n v="20504508723"/>
    <s v="EVENTIVA SAC"/>
    <s v="202504"/>
    <x v="16"/>
    <n v="338.2"/>
    <s v="SETIEMBRE"/>
    <n v="13"/>
  </r>
  <r>
    <s v="FLUJO"/>
    <n v="20524413826"/>
    <s v="inversiones luxemsac sac"/>
    <s v="202412, 202411, 202410, 202409, 202408"/>
    <x v="16"/>
    <n v="320.76000000000005"/>
    <s v="SETIEMBRE"/>
    <n v="13"/>
  </r>
  <r>
    <s v="FLUJO"/>
    <n v="20612677639"/>
    <s v="EL REY CHICKEN GRILL S.A.C."/>
    <s v="202412"/>
    <x v="16"/>
    <n v="129.29"/>
    <s v="SETIEMBRE"/>
    <n v="13"/>
  </r>
  <r>
    <s v="PRESUNTA"/>
    <n v="20571604974"/>
    <s v="GANADERIA Y TRANSPORTE EL BUEN PASTOR SAC"/>
    <s v="202505, 202506"/>
    <x v="16"/>
    <n v="251.01"/>
    <s v="SETIEMBRE"/>
    <n v="13"/>
  </r>
  <r>
    <s v="PRESUNTA"/>
    <n v="20604720215"/>
    <s v="CENTRO COMERCIAL ECO PLAZA SAC"/>
    <s v="202407"/>
    <x v="16"/>
    <n v="1410.04"/>
    <s v="SETIEMBRE"/>
    <n v="13"/>
  </r>
  <r>
    <s v="REAL TOTAL"/>
    <n v="20609932776"/>
    <s v="PM FRUITS S.A.C."/>
    <s v="202412, 202411"/>
    <x v="16"/>
    <n v="3505.89"/>
    <s v="SETIEMBRE"/>
    <n v="13"/>
  </r>
  <r>
    <s v="REAL TOTAL"/>
    <n v="20601421586"/>
    <s v="CONSTRUCTORA E INGENIERIA Y EJECUTORES GENERALES C &amp; D S.A.C"/>
    <s v="202312, 202311"/>
    <x v="16"/>
    <n v="523.53"/>
    <s v="SETIEMBRE"/>
    <n v="13"/>
  </r>
  <r>
    <s v="FLUJO"/>
    <n v="10072414590"/>
    <s v="MERZTHAL COLLAZOS LUIS MIGUEL"/>
    <s v="202507"/>
    <x v="17"/>
    <n v="148.61000000000001"/>
    <s v="SETIEMBRE"/>
    <n v="14"/>
  </r>
  <r>
    <s v="FLUJO"/>
    <n v="10723532111"/>
    <s v="PAMELA KATHERINE URSULA LAZARTE REY"/>
    <s v="202507"/>
    <x v="17"/>
    <n v="148.61000000000001"/>
    <s v="SETIEMBRE"/>
    <n v="14"/>
  </r>
  <r>
    <s v="FLUJO"/>
    <n v="10736127364"/>
    <s v="BRAVO AMPUERO WILSON JAVIER"/>
    <s v="202507, 202506, 202505"/>
    <x v="17"/>
    <n v="942.77"/>
    <s v="SETIEMBRE"/>
    <n v="14"/>
  </r>
  <r>
    <s v="FLUJO"/>
    <n v="20480547901"/>
    <s v="COLONIA HERRERA &amp; ASOCIADOS S.A.C."/>
    <s v="202507"/>
    <x v="17"/>
    <n v="148.61000000000001"/>
    <s v="SETIEMBRE"/>
    <n v="14"/>
  </r>
  <r>
    <s v="FLUJO"/>
    <n v="20487476634"/>
    <s v="CONSORCIO EDUCATIVO MARIELS  S.R.L."/>
    <s v="202507, 202506"/>
    <x v="17"/>
    <n v="261.84000000000003"/>
    <s v="SETIEMBRE"/>
    <n v="14"/>
  </r>
  <r>
    <s v="FLUJO"/>
    <n v="20548615241"/>
    <s v="TRANSPORTE LINZOR SAC"/>
    <s v="202507, 202506"/>
    <x v="17"/>
    <n v="270.57"/>
    <s v="SETIEMBRE"/>
    <n v="14"/>
  </r>
  <r>
    <s v="FLUJO"/>
    <n v="20549591176"/>
    <s v="SOLUCIONES MEDICAS MACI EIRL"/>
    <s v="202507, 202506"/>
    <x v="17"/>
    <n v="715.44"/>
    <s v="SETIEMBRE"/>
    <n v="14"/>
  </r>
  <r>
    <s v="FLUJO"/>
    <n v="20550545170"/>
    <s v="TECNOMIN PERU S.A.C."/>
    <s v="202507"/>
    <x v="17"/>
    <n v="263.03000000000003"/>
    <s v="SETIEMBRE"/>
    <n v="14"/>
  </r>
  <r>
    <s v="FLUJO"/>
    <n v="20550636728"/>
    <s v="REFRACTARIOS SUPPLY SAC"/>
    <s v="202507"/>
    <x v="17"/>
    <n v="739.42"/>
    <s v="SETIEMBRE"/>
    <n v="14"/>
  </r>
  <r>
    <s v="FLUJO"/>
    <n v="20601245974"/>
    <s v="INVERSIONES Y SERVICIOS FORESTALES N Y M EIRL"/>
    <s v="202507, 202506, 202505"/>
    <x v="17"/>
    <n v="1086.98"/>
    <s v="SETIEMBRE"/>
    <n v="14"/>
  </r>
  <r>
    <s v="FLUJO"/>
    <n v="20602727816"/>
    <s v="RH SERVICIOS GENERALES EIRL"/>
    <s v="202507, 202506, 202505"/>
    <x v="17"/>
    <n v="247.51999999999998"/>
    <s v="SETIEMBRE"/>
    <n v="14"/>
  </r>
  <r>
    <s v="FLUJO"/>
    <n v="20605124691"/>
    <s v="F &amp; Y SAC"/>
    <s v="202507, 202506, 202505"/>
    <x v="17"/>
    <n v="651.16000000000008"/>
    <s v="SETIEMBRE"/>
    <n v="14"/>
  </r>
  <r>
    <s v="FLUJO"/>
    <n v="20608900757"/>
    <s v="PACHACAMAC SPV I LIMA E.I.R.L."/>
    <s v="202507"/>
    <x v="17"/>
    <n v="126.82000000000001"/>
    <s v="SETIEMBRE"/>
    <n v="14"/>
  </r>
  <r>
    <s v="FLUJO"/>
    <n v="20610217584"/>
    <s v="ASESORIA Y SERVICIOS EMPRESARIALES CONTRILAB E.I.R.L."/>
    <s v="202507, 202506"/>
    <x v="17"/>
    <n v="185.37"/>
    <s v="SETIEMBRE"/>
    <n v="14"/>
  </r>
  <r>
    <s v="FLUJO"/>
    <n v="20613029622"/>
    <s v="GRIFO MARANATHA SAC"/>
    <s v="202507, 202506, 202505, 202504"/>
    <x v="17"/>
    <n v="528.44000000000005"/>
    <s v="SETIEMBRE"/>
    <n v="14"/>
  </r>
  <r>
    <s v="FLUJO"/>
    <n v="20613535111"/>
    <s v="CONSORCIO SAN MARTIN DE PORRES"/>
    <s v="202507"/>
    <x v="17"/>
    <n v="935.04"/>
    <s v="SETIEMBRE"/>
    <n v="14"/>
  </r>
  <r>
    <s v="FLUJO"/>
    <n v="20603296487"/>
    <s v="FENIX TECHNOLOGY S.A.C."/>
    <s v="202506"/>
    <x v="17"/>
    <n v="256.14"/>
    <s v="SETIEMBRE"/>
    <n v="14"/>
  </r>
  <r>
    <s v="FLUJO"/>
    <n v="20606224614"/>
    <s v="SECURITY CRISS SOCIEDAD COMERCIAL DE RESPONSABILIDAD LIMITAD"/>
    <s v="202506, 202507"/>
    <x v="17"/>
    <n v="231.32000000000002"/>
    <s v="SETIEMBRE"/>
    <n v="14"/>
  </r>
  <r>
    <s v="FLUJO"/>
    <n v="20610741763"/>
    <s v="STEEL DIAMOND SAC"/>
    <s v="202506, 202505"/>
    <x v="17"/>
    <n v="264.27999999999997"/>
    <s v="SETIEMBRE"/>
    <n v="14"/>
  </r>
  <r>
    <s v="FLUJO"/>
    <n v="20510797109"/>
    <s v="CORPORACION JESHUA SAC"/>
    <s v="202504"/>
    <x v="17"/>
    <n v="94.78"/>
    <s v="SETIEMBRE"/>
    <n v="14"/>
  </r>
  <r>
    <s v="FLUJO"/>
    <n v="20609358913"/>
    <s v="CORPORACION WHU S.A.C."/>
    <s v="202503"/>
    <x v="17"/>
    <n v="270.07"/>
    <s v="SETIEMBRE"/>
    <n v="14"/>
  </r>
  <r>
    <s v="PRESUNTA"/>
    <n v="20539365551"/>
    <s v="VIRTUAL LABS SAC"/>
    <s v="202507"/>
    <x v="17"/>
    <n v="333.79"/>
    <s v="SETIEMBRE"/>
    <n v="14"/>
  </r>
  <r>
    <s v="PRESUNTA"/>
    <n v="20604729433"/>
    <s v="TRADING FOODS COMPANY PERU S.A.C."/>
    <s v="202507"/>
    <x v="17"/>
    <n v="197.26999999999998"/>
    <s v="SETIEMBRE"/>
    <n v="14"/>
  </r>
  <r>
    <s v="PRESUNTA"/>
    <n v="20608321714"/>
    <s v="VCM MEDICAL STAR LABS SAC"/>
    <s v="202507"/>
    <x v="17"/>
    <n v="143.31"/>
    <s v="SETIEMBRE"/>
    <n v="14"/>
  </r>
  <r>
    <s v="PRESUNTA"/>
    <n v="20571521254"/>
    <s v="TRANSPORTES Y SERVICIOS JOSMAR E.I.R.L."/>
    <s v="202506"/>
    <x v="17"/>
    <n v="1393.35"/>
    <s v="SETIEMBRE"/>
    <n v="14"/>
  </r>
  <r>
    <s v="REAL TOTAL"/>
    <n v="20291847049"/>
    <s v="HNOS LAY MELLY SRLTDA"/>
    <s v="200311"/>
    <x v="17"/>
    <n v="70.06"/>
    <s v="SETIEMBRE"/>
    <n v="14"/>
  </r>
  <r>
    <s v="FLUJO"/>
    <n v="10028218228"/>
    <s v="CASTILLO ROSILLO NOLE"/>
    <s v="202507, 202506, 202505, 202504, 202503, 202502"/>
    <x v="18"/>
    <n v="678.47"/>
    <s v="SETIEMBRE"/>
    <n v="15"/>
  </r>
  <r>
    <s v="FLUJO"/>
    <n v="10402950167"/>
    <s v="ANDY FRANKS CABRERA IRIGOIN"/>
    <s v="202507, 202506"/>
    <x v="18"/>
    <n v="261.97000000000003"/>
    <s v="SETIEMBRE"/>
    <n v="15"/>
  </r>
  <r>
    <s v="FLUJO"/>
    <n v="10405612165"/>
    <s v="BOBADILLA SANCHEZ MONICA DEL PILAR"/>
    <s v="202507, 202506, 202505, 202504"/>
    <x v="18"/>
    <n v="398.04"/>
    <s v="SETIEMBRE"/>
    <n v="15"/>
  </r>
  <r>
    <s v="FLUJO"/>
    <n v="10426357238"/>
    <s v="DENIS ARMANDO VARGAS ANAYA"/>
    <s v="202507"/>
    <x v="18"/>
    <n v="130.41"/>
    <s v="SETIEMBRE"/>
    <n v="15"/>
  </r>
  <r>
    <s v="FLUJO"/>
    <n v="20512827013"/>
    <s v="CONVERT GROUP SAC"/>
    <s v="202507"/>
    <x v="18"/>
    <n v="148.76"/>
    <s v="SETIEMBRE"/>
    <n v="15"/>
  </r>
  <r>
    <s v="FLUJO"/>
    <n v="20529522399"/>
    <s v="INVERSIONES CABALLERO HERMANOS SAC"/>
    <s v="202507"/>
    <x v="18"/>
    <n v="279.16999999999996"/>
    <s v="SETIEMBRE"/>
    <n v="15"/>
  </r>
  <r>
    <s v="FLUJO"/>
    <n v="20530276105"/>
    <s v="EMPRESA DE TRANSPORTES GREYBE S.A.C"/>
    <s v="202507"/>
    <x v="18"/>
    <n v="327.88"/>
    <s v="SETIEMBRE"/>
    <n v="15"/>
  </r>
  <r>
    <s v="FLUJO"/>
    <n v="20556709786"/>
    <s v="GRUPO FERCOM INDUSTRIAL SAC"/>
    <s v="202507"/>
    <x v="18"/>
    <n v="157.97"/>
    <s v="SETIEMBRE"/>
    <n v="15"/>
  </r>
  <r>
    <s v="FLUJO"/>
    <n v="20559135284"/>
    <s v="SOLUCIONES INGENIERIA CONSULTORIA SEGURIDAD Y AMBIENTE SAC"/>
    <s v="202507"/>
    <x v="18"/>
    <n v="148.76"/>
    <s v="SETIEMBRE"/>
    <n v="15"/>
  </r>
  <r>
    <s v="FLUJO"/>
    <n v="20600954131"/>
    <s v="ELEVACION Y AUTOMATIZACION S.A.C."/>
    <s v="202507"/>
    <x v="18"/>
    <n v="148.76"/>
    <s v="SETIEMBRE"/>
    <n v="15"/>
  </r>
  <r>
    <s v="FLUJO"/>
    <n v="10401291364"/>
    <s v="MAITA VIVANCO WILBER DANIEL"/>
    <s v="202506"/>
    <x v="18"/>
    <n v="199.22"/>
    <s v="SETIEMBRE"/>
    <n v="15"/>
  </r>
  <r>
    <s v="FLUJO"/>
    <n v="20515921746"/>
    <s v="BRACK IMPORT EIRL"/>
    <s v="202506, 202505, 202507"/>
    <x v="18"/>
    <n v="739.49"/>
    <s v="SETIEMBRE"/>
    <n v="15"/>
  </r>
  <r>
    <s v="FLUJO"/>
    <n v="20534397993"/>
    <s v="DISTRIBUIDORA KERAMIK F &amp; G E.I.R.L."/>
    <s v="202506"/>
    <x v="18"/>
    <n v="271.27999999999997"/>
    <s v="SETIEMBRE"/>
    <n v="15"/>
  </r>
  <r>
    <s v="FLUJO"/>
    <n v="20610026151"/>
    <s v="INVERSIONES Y SERVICIOS GRLES MILANO EIRL"/>
    <s v="202506, 202507"/>
    <x v="18"/>
    <n v="131.05000000000001"/>
    <s v="SETIEMBRE"/>
    <n v="15"/>
  </r>
  <r>
    <s v="FLUJO"/>
    <n v="20612731773"/>
    <s v="HFK COMBUSTIBLES S.A.C."/>
    <s v="202506, 202505"/>
    <x v="18"/>
    <n v="646.71"/>
    <s v="SETIEMBRE"/>
    <n v="15"/>
  </r>
  <r>
    <s v="FLUJO"/>
    <n v="20602241069"/>
    <s v="GAES REPRESENTACIONES E.I.R.L."/>
    <s v="202505, 202506, 202507"/>
    <x v="18"/>
    <n v="2808.4700000000003"/>
    <s v="SETIEMBRE"/>
    <n v="15"/>
  </r>
  <r>
    <s v="FLUJO"/>
    <n v="20605955763"/>
    <s v="CENTRO REGIONAL DE NOTICIAS S.R.L."/>
    <s v="202502, 202501"/>
    <x v="18"/>
    <n v="279.2"/>
    <s v="SETIEMBRE"/>
    <n v="15"/>
  </r>
  <r>
    <s v="PRESUNTA"/>
    <n v="10011615738"/>
    <s v="JUAN CARLOS MUÃ‘ANTE CARDENAS"/>
    <s v="202507"/>
    <x v="18"/>
    <n v="138.49"/>
    <s v="SETIEMBRE"/>
    <n v="15"/>
  </r>
  <r>
    <s v="PRESUNTA"/>
    <n v="20600598857"/>
    <s v="SHILCAYO TRANSPORTES SRL"/>
    <s v="202507"/>
    <x v="18"/>
    <n v="279.16999999999996"/>
    <s v="SETIEMBRE"/>
    <n v="15"/>
  </r>
  <r>
    <s v="PRESUNTA"/>
    <n v="20611469064"/>
    <s v="CHIFA CANTON JAEN E.I.R.L."/>
    <s v="202507, 202506"/>
    <x v="18"/>
    <n v="261.97000000000003"/>
    <s v="SETIEMBRE"/>
    <n v="15"/>
  </r>
  <r>
    <s v="REAL TOTAL"/>
    <n v="10407160881"/>
    <s v="VALDERRAMA SALAZAR HERACLIDES"/>
    <s v="201905, 201904, 201903, 201902, 201901, 201812, 201806, 201805, 201804, 201803, 201802, 201801, 201712, 201711, 201710"/>
    <x v="18"/>
    <n v="2875.6"/>
    <s v="SETIEMBRE"/>
    <n v="15"/>
  </r>
  <r>
    <s v="REAL TOTAL"/>
    <n v="20285204501"/>
    <s v="C.E.I.P. MI PEQUENO MUNDO"/>
    <s v="200608"/>
    <x v="18"/>
    <n v="14.29"/>
    <s v="SETIEMBRE"/>
    <n v="15"/>
  </r>
  <r>
    <s v="FLUJO"/>
    <n v="17149598405"/>
    <s v="GONZALES DEL VALLE LEIVA JULIO CESAR"/>
    <s v="202507"/>
    <x v="19"/>
    <n v="148.91"/>
    <s v="SETIEMBRE"/>
    <n v="15"/>
  </r>
  <r>
    <s v="FLUJO"/>
    <n v="20531455313"/>
    <s v="CONSTRUCTORA GUERRERO EIRL"/>
    <s v="202507, 202506"/>
    <x v="19"/>
    <n v="782.57999999999993"/>
    <s v="SETIEMBRE"/>
    <n v="15"/>
  </r>
  <r>
    <s v="FLUJO"/>
    <n v="20609409666"/>
    <s v="ROJMIN MAQUINARIAS PERÃš S.A.C."/>
    <s v="202507"/>
    <x v="19"/>
    <n v="173.28"/>
    <s v="SETIEMBRE"/>
    <n v="15"/>
  </r>
  <r>
    <s v="FLUJO"/>
    <n v="20611800356"/>
    <s v="ENZOS TEKNOLOGI   CONSTRUCCION E.I.R.L."/>
    <s v="202507, 202506, 202505"/>
    <x v="19"/>
    <n v="395.22"/>
    <s v="SETIEMBRE"/>
    <n v="15"/>
  </r>
  <r>
    <s v="FLUJO"/>
    <n v="20538779238"/>
    <s v="EMPRESA DE SERVICIOS GENERALES PAOLO LO  EIRL"/>
    <s v="202505, 202504, 202503"/>
    <x v="19"/>
    <n v="363"/>
    <s v="SETIEMBRE"/>
    <n v="15"/>
  </r>
  <r>
    <s v="FLUJO"/>
    <n v="20609092107"/>
    <s v="L Y L PATINES E.I.R.L."/>
    <s v="202505, 202506"/>
    <x v="19"/>
    <n v="264.67999999999995"/>
    <s v="SETIEMBRE"/>
    <n v="15"/>
  </r>
  <r>
    <s v="FLUJO"/>
    <n v="20612279455"/>
    <s v="CONSORCIO PRIMAVERA"/>
    <s v="202503"/>
    <x v="19"/>
    <n v="2208.9299999999998"/>
    <s v="SETIEMBRE"/>
    <n v="15"/>
  </r>
  <r>
    <s v="PRESUNTA"/>
    <n v="20472604423"/>
    <s v="TRANSP DE CARGA Y SERV SANTA ROSA SRL"/>
    <s v="202507"/>
    <x v="19"/>
    <n v="2474.58"/>
    <s v="SETIEMBRE"/>
    <n v="15"/>
  </r>
  <r>
    <s v="REAL TOTAL"/>
    <n v="20101414940"/>
    <s v="INDUSTRIAS EL CISNE SAC"/>
    <s v="202501"/>
    <x v="19"/>
    <n v="79392.31"/>
    <s v="SETIEMBRE"/>
    <n v="15"/>
  </r>
  <r>
    <s v="FLUJO"/>
    <n v="10086786678"/>
    <s v="ORIA CUSTODIO ROGER ZENON"/>
    <s v="202507, 202506"/>
    <x v="20"/>
    <n v="262.24"/>
    <s v="SETIEMBRE"/>
    <n v="16"/>
  </r>
  <r>
    <s v="FLUJO"/>
    <n v="10166567535"/>
    <s v="JIMENEZ CARRASCO JUAN ANTONIO"/>
    <s v="202507, 202506"/>
    <x v="20"/>
    <n v="131.10000000000002"/>
    <s v="SETIEMBRE"/>
    <n v="16"/>
  </r>
  <r>
    <s v="FLUJO"/>
    <n v="10462453251"/>
    <s v="Loayza Yupanqui France"/>
    <s v="202507, 202506, 202505"/>
    <x v="20"/>
    <n v="395.22"/>
    <s v="SETIEMBRE"/>
    <n v="16"/>
  </r>
  <r>
    <s v="FLUJO"/>
    <n v="10735756643"/>
    <s v="CRUZ POLO JAVIER WILDER"/>
    <s v="202507, 202506"/>
    <x v="20"/>
    <n v="262.24"/>
    <s v="SETIEMBRE"/>
    <n v="16"/>
  </r>
  <r>
    <s v="FLUJO"/>
    <n v="20452775001"/>
    <s v="INVERSIONES LUCIERNAGA E.I.R.L."/>
    <s v="202507"/>
    <x v="20"/>
    <n v="197.66"/>
    <s v="SETIEMBRE"/>
    <n v="16"/>
  </r>
  <r>
    <s v="FLUJO"/>
    <n v="20522086968"/>
    <s v="EGUREN SERVICIOS SOCIEDAD ANONIMA CERRADA"/>
    <s v="202507"/>
    <x v="20"/>
    <n v="163.80000000000001"/>
    <s v="SETIEMBRE"/>
    <n v="16"/>
  </r>
  <r>
    <s v="FLUJO"/>
    <n v="20551261272"/>
    <s v="M Y A TIRE SAC"/>
    <s v="202507"/>
    <x v="20"/>
    <n v="258.67"/>
    <s v="SETIEMBRE"/>
    <n v="16"/>
  </r>
  <r>
    <s v="FLUJO"/>
    <n v="20558317184"/>
    <s v="C3 Extintores SAC"/>
    <s v="202507"/>
    <x v="20"/>
    <n v="78.319999999999993"/>
    <s v="SETIEMBRE"/>
    <n v="16"/>
  </r>
  <r>
    <s v="FLUJO"/>
    <n v="20568776659"/>
    <s v="INVERSIONES MULTIPLES DORKA  JM  SAC"/>
    <s v="202507, 202506"/>
    <x v="20"/>
    <n v="786.68000000000006"/>
    <s v="SETIEMBRE"/>
    <n v="16"/>
  </r>
  <r>
    <s v="FLUJO"/>
    <n v="20604959501"/>
    <s v="AC LIMP SERVICIOS GENERALES E.I.R.L."/>
    <s v="202507, 202506, 202505, 202504"/>
    <x v="20"/>
    <n v="281"/>
    <s v="SETIEMBRE"/>
    <n v="16"/>
  </r>
  <r>
    <s v="FLUJO"/>
    <n v="20605531777"/>
    <s v="FURNINOX S.A.C"/>
    <s v="202507, 202506"/>
    <x v="20"/>
    <n v="696.19"/>
    <s v="SETIEMBRE"/>
    <n v="16"/>
  </r>
  <r>
    <s v="FLUJO"/>
    <n v="20607319309"/>
    <s v="OROBUS SOCIEDAD ANONIMA CERRADA"/>
    <s v="202507"/>
    <x v="20"/>
    <n v="130.54"/>
    <s v="SETIEMBRE"/>
    <n v="16"/>
  </r>
  <r>
    <s v="FLUJO"/>
    <n v="20610564845"/>
    <s v="B E MULTISERVICIOS INTEGRALES S.A.C."/>
    <s v="202507"/>
    <x v="20"/>
    <n v="148.91"/>
    <s v="SETIEMBRE"/>
    <n v="16"/>
  </r>
  <r>
    <s v="FLUJO"/>
    <n v="20611348461"/>
    <s v="ASTRA ELECTRIC PERU E.I.R.L"/>
    <s v="202507"/>
    <x v="20"/>
    <n v="224.62"/>
    <s v="SETIEMBRE"/>
    <n v="16"/>
  </r>
  <r>
    <s v="FLUJO"/>
    <n v="10404531609"/>
    <s v="RODRIGUEZ BOCANEGRA CHRISTIAN JESUS"/>
    <s v="202506, 202505"/>
    <x v="20"/>
    <n v="566.59"/>
    <s v="SETIEMBRE"/>
    <n v="16"/>
  </r>
  <r>
    <s v="FLUJO"/>
    <n v="20608880683"/>
    <s v="POLICLINICO GREEN SOCIEDAD ANONIMA CERRADA"/>
    <s v="202505, 202504, 202503, 202502"/>
    <x v="20"/>
    <n v="715.11"/>
    <s v="SETIEMBRE"/>
    <n v="16"/>
  </r>
  <r>
    <s v="FLUJO"/>
    <n v="20602157327"/>
    <s v="GRUPO MATIC S.A.C."/>
    <s v="202503, 202502"/>
    <x v="20"/>
    <n v="1488.1799999999998"/>
    <s v="SETIEMBRE"/>
    <n v="16"/>
  </r>
  <r>
    <s v="PRESUNTA"/>
    <n v="20561384801"/>
    <s v="DROGUERIA CORPORACION CENTRALFARMA EIRL"/>
    <s v="202507, 202506"/>
    <x v="20"/>
    <n v="21.76"/>
    <s v="SETIEMBRE"/>
    <n v="16"/>
  </r>
  <r>
    <s v="REAL TOTAL"/>
    <n v="20425853431"/>
    <s v="AYNE PERU TRINITARIAS SOLIDARIDAD Y DESARROLLO"/>
    <s v="200812"/>
    <x v="20"/>
    <n v="41.92"/>
    <s v="SETIEMBRE"/>
    <n v="16"/>
  </r>
  <r>
    <s v="REAL TOTAL"/>
    <n v="20385104015"/>
    <s v="JOSE URQUIZO OLAECHEA ABOGADOS SAC"/>
    <s v="200601"/>
    <x v="20"/>
    <n v="383.64000000000004"/>
    <s v="SETIEMBRE"/>
    <n v="16"/>
  </r>
  <r>
    <s v="REAL TOTAL"/>
    <n v="20101097286"/>
    <s v="PANEZ ISHIDA FAESA"/>
    <s v="200001"/>
    <x v="20"/>
    <n v="29715.95"/>
    <s v="SETIEMBRE"/>
    <n v="16"/>
  </r>
  <r>
    <s v="FLUJO"/>
    <n v="10400503481"/>
    <s v="ABARCA CARRION MARIBEL"/>
    <s v="202507, 202506"/>
    <x v="21"/>
    <n v="262.36"/>
    <s v="SETIEMBRE"/>
    <n v="17"/>
  </r>
  <r>
    <s v="FLUJO"/>
    <n v="10432767782"/>
    <s v="ZEVALLOS ADRIANO CLAUDIA GUADALUPE"/>
    <s v="202507, 202506"/>
    <x v="21"/>
    <n v="288.59000000000003"/>
    <s v="SETIEMBRE"/>
    <n v="17"/>
  </r>
  <r>
    <s v="FLUJO"/>
    <n v="10468388303"/>
    <s v="OBREGON HUAMAN LIZ KATERIN"/>
    <s v="202507"/>
    <x v="21"/>
    <n v="394.24"/>
    <s v="SETIEMBRE"/>
    <n v="17"/>
  </r>
  <r>
    <s v="FLUJO"/>
    <n v="20454859350"/>
    <s v="TRANSPORTES MIGUEL EIRL"/>
    <s v="202507"/>
    <x v="21"/>
    <n v="148.91"/>
    <s v="SETIEMBRE"/>
    <n v="17"/>
  </r>
  <r>
    <s v="FLUJO"/>
    <n v="20509066800"/>
    <s v="Boas Inversiones SAC"/>
    <s v="202507"/>
    <x v="21"/>
    <n v="212.56"/>
    <s v="SETIEMBRE"/>
    <n v="17"/>
  </r>
  <r>
    <s v="FLUJO"/>
    <n v="20513839406"/>
    <s v="RAMIREZ Y ESCURRA DECORACIONES SAC"/>
    <s v="202507"/>
    <x v="21"/>
    <n v="279.45"/>
    <s v="SETIEMBRE"/>
    <n v="17"/>
  </r>
  <r>
    <s v="FLUJO"/>
    <n v="20602746934"/>
    <s v="M Y A GLOBAL E.I.R.L."/>
    <s v="202507"/>
    <x v="21"/>
    <n v="500.72"/>
    <s v="SETIEMBRE"/>
    <n v="17"/>
  </r>
  <r>
    <s v="FLUJO"/>
    <n v="20603394080"/>
    <s v="M Y M SERVICIOS DENTALES SAC"/>
    <s v="202507, 202506"/>
    <x v="21"/>
    <n v="157.41"/>
    <s v="SETIEMBRE"/>
    <n v="17"/>
  </r>
  <r>
    <s v="FLUJO"/>
    <n v="20604411247"/>
    <s v="JEAL SERVICIOS GENERALES E.I.R.L."/>
    <s v="202507"/>
    <x v="21"/>
    <n v="148.91"/>
    <s v="SETIEMBRE"/>
    <n v="17"/>
  </r>
  <r>
    <s v="FLUJO"/>
    <n v="20605397213"/>
    <s v="AESA GROUP BUSINESS SAC"/>
    <s v="202507"/>
    <x v="21"/>
    <n v="148.91"/>
    <s v="SETIEMBRE"/>
    <n v="17"/>
  </r>
  <r>
    <s v="FLUJO"/>
    <n v="20605558853"/>
    <s v="FUTURA INVERSION DANA S.A.C."/>
    <s v="202507, 202506, 202505"/>
    <x v="21"/>
    <n v="347.71"/>
    <s v="SETIEMBRE"/>
    <n v="17"/>
  </r>
  <r>
    <s v="FLUJO"/>
    <n v="20609537486"/>
    <s v="BIENESTAR Y SALUD UNIVERSAL EIRL"/>
    <s v="202507, 202506, 202505"/>
    <x v="21"/>
    <n v="419.83000000000004"/>
    <s v="SETIEMBRE"/>
    <n v="17"/>
  </r>
  <r>
    <s v="FLUJO"/>
    <n v="10095822245"/>
    <s v="COPARA LLANOS JANET VIOLETA"/>
    <s v="202506"/>
    <x v="21"/>
    <n v="527.28"/>
    <s v="SETIEMBRE"/>
    <n v="17"/>
  </r>
  <r>
    <s v="FLUJO"/>
    <n v="20553517835"/>
    <s v="SEXAVE PERU EIRL"/>
    <s v="202506, 202505, 202504, 202507"/>
    <x v="21"/>
    <n v="3750.2799999999997"/>
    <s v="SETIEMBRE"/>
    <n v="17"/>
  </r>
  <r>
    <s v="FLUJO"/>
    <n v="20602820271"/>
    <s v="LUGUAL SAC"/>
    <s v="202506, 202505"/>
    <x v="21"/>
    <n v="264.79999999999995"/>
    <s v="SETIEMBRE"/>
    <n v="17"/>
  </r>
  <r>
    <s v="FLUJO"/>
    <n v="20524433185"/>
    <s v="TEJICROCH SAC"/>
    <s v="202505, 202507, 202506"/>
    <x v="21"/>
    <n v="395.34"/>
    <s v="SETIEMBRE"/>
    <n v="17"/>
  </r>
  <r>
    <s v="FLUJO"/>
    <n v="10097684818"/>
    <s v="MENDOZA RAFAEL DAVID"/>
    <s v="202503, 202502"/>
    <x v="21"/>
    <n v="271.74"/>
    <s v="SETIEMBRE"/>
    <n v="17"/>
  </r>
  <r>
    <s v="PRESUNTA"/>
    <n v="20481214549"/>
    <s v="INGENIERIA EN MANTENIMIENTO Y SANITIZACION SA"/>
    <s v="202507"/>
    <x v="21"/>
    <n v="130.54"/>
    <s v="SETIEMBRE"/>
    <n v="17"/>
  </r>
  <r>
    <s v="PRESUNTA"/>
    <n v="20555208953"/>
    <s v="HYDRO PUMPS IMPORT SA"/>
    <s v="202412, 202411, 202410, 202409, 202408, 202407, 202406, 202405, 202404, 202403, 202402, 202401, 202312"/>
    <x v="21"/>
    <n v="7564.2599999999993"/>
    <s v="SETIEMBRE"/>
    <n v="17"/>
  </r>
  <r>
    <s v="REAL TOTAL"/>
    <n v="20510027419"/>
    <s v="RCR CONSORCIO EDUCATIVO SOCIEDAD ANONIMA"/>
    <s v="202505, 202504, 202503"/>
    <x v="21"/>
    <n v="8090.4400000000005"/>
    <s v="SETIEMBRE"/>
    <n v="17"/>
  </r>
  <r>
    <s v="REAL TOTAL"/>
    <n v="20267366412"/>
    <s v="K Y K TRADING EIRL"/>
    <s v="200206, 200106"/>
    <x v="21"/>
    <n v="5233.1299999999992"/>
    <s v="SETIEMBRE"/>
    <n v="17"/>
  </r>
  <r>
    <s v="FLUJO"/>
    <n v="10078194966"/>
    <s v="MOEBIUS SINGER MANFRED"/>
    <s v="202507"/>
    <x v="22"/>
    <n v="148.91"/>
    <s v="SETIEMBRE"/>
    <n v="18"/>
  </r>
  <r>
    <s v="FLUJO"/>
    <n v="20498416986"/>
    <s v="EMPRESA COMERCIAL ELE EIRL"/>
    <s v="202507"/>
    <x v="22"/>
    <n v="654.64"/>
    <s v="SETIEMBRE"/>
    <n v="18"/>
  </r>
  <r>
    <s v="FLUJO"/>
    <n v="20514805033"/>
    <s v="SOLOIMAGEN EIRL"/>
    <s v="202507"/>
    <x v="22"/>
    <n v="197.66"/>
    <s v="SETIEMBRE"/>
    <n v="18"/>
  </r>
  <r>
    <s v="FLUJO"/>
    <n v="20524422817"/>
    <s v="DV CONTRATISTA  TECNICOS CONSTRUCTORES SAC"/>
    <s v="202507"/>
    <x v="22"/>
    <n v="192.57"/>
    <s v="SETIEMBRE"/>
    <n v="18"/>
  </r>
  <r>
    <s v="FLUJO"/>
    <n v="20538270807"/>
    <s v="SGS SERVICIOS GENERALES S.A.C."/>
    <s v="202507"/>
    <x v="22"/>
    <n v="130.54"/>
    <s v="SETIEMBRE"/>
    <n v="18"/>
  </r>
  <r>
    <s v="FLUJO"/>
    <n v="20602016880"/>
    <s v="YARELY DISTRIBUCIONES DEL SUR EIRL"/>
    <s v="202507, 202506, 202505, 202504"/>
    <x v="22"/>
    <n v="603.48"/>
    <s v="SETIEMBRE"/>
    <n v="18"/>
  </r>
  <r>
    <s v="FLUJO"/>
    <n v="20603074697"/>
    <s v="VASPER MEDEX SOCIEDAD COMERCIAL DE RESPONSABILIDAD LIMITADA"/>
    <s v="202507"/>
    <x v="22"/>
    <n v="148.91"/>
    <s v="SETIEMBRE"/>
    <n v="18"/>
  </r>
  <r>
    <s v="FLUJO"/>
    <n v="20603112645"/>
    <s v="BANANOS ORGANICOS SOL DE ORO SAC"/>
    <s v="202507, 202506"/>
    <x v="22"/>
    <n v="696.53"/>
    <s v="SETIEMBRE"/>
    <n v="18"/>
  </r>
  <r>
    <s v="FLUJO"/>
    <n v="20605320041"/>
    <s v="CAUTIVO INMOBILIARIA y CONSTRUCTORA PIURA SOCIEDAD ANONIMA C"/>
    <s v="202507, 202506, 202505, 202504, 202503"/>
    <x v="22"/>
    <n v="1329.51"/>
    <s v="SETIEMBRE"/>
    <n v="18"/>
  </r>
  <r>
    <s v="FLUJO"/>
    <n v="20605734261"/>
    <s v="OLAS DEL PACIFICO E.I.R.L."/>
    <s v="202507, 202506, 202505"/>
    <x v="22"/>
    <n v="670.65000000000009"/>
    <s v="SETIEMBRE"/>
    <n v="18"/>
  </r>
  <r>
    <s v="FLUJO"/>
    <n v="20609905507"/>
    <s v="SERVICIOS LOGISTICOS TJEL S.A.C."/>
    <s v="202507"/>
    <x v="22"/>
    <n v="279.44"/>
    <s v="SETIEMBRE"/>
    <n v="18"/>
  </r>
  <r>
    <s v="FLUJO"/>
    <n v="20610214186"/>
    <s v="INSTITUCION EDUCATIVA JHON F. KENNEDY S.A.C."/>
    <s v="202505, 202506"/>
    <x v="22"/>
    <n v="264.79999999999995"/>
    <s v="SETIEMBRE"/>
    <n v="18"/>
  </r>
  <r>
    <s v="FLUJO"/>
    <n v="20613274864"/>
    <s v="RAW BAR SAC"/>
    <s v="202505"/>
    <x v="22"/>
    <n v="848.86"/>
    <s v="SETIEMBRE"/>
    <n v="18"/>
  </r>
  <r>
    <s v="FLUJO"/>
    <n v="10028996611"/>
    <s v="CORDOVA RIOS PEDRO ALEX"/>
    <s v="202504, 202503"/>
    <x v="22"/>
    <n v="468.03"/>
    <s v="SETIEMBRE"/>
    <n v="18"/>
  </r>
  <r>
    <s v="FLUJO"/>
    <n v="20613017187"/>
    <s v="SERVICIOS INFORMATICOS CONTABLES ECOCONT S.R.L."/>
    <s v="202504"/>
    <x v="22"/>
    <n v="134.13"/>
    <s v="SETIEMBRE"/>
    <n v="18"/>
  </r>
  <r>
    <s v="FLUJO"/>
    <n v="20606586982"/>
    <s v="New Life International E.I.R.L."/>
    <s v="202412, 202411, 202410"/>
    <x v="22"/>
    <n v="391.94"/>
    <s v="SETIEMBRE"/>
    <n v="18"/>
  </r>
  <r>
    <s v="FLUJO"/>
    <n v="20613884743"/>
    <s v="COOPERATIVA AGRARIA DE PRODUCTORES RAIZ Y VIDA JIBITO"/>
    <s v="202507, 202506, 202505"/>
    <x v="22"/>
    <n v="480.25"/>
    <s v="SETIEMBRE"/>
    <n v="18"/>
  </r>
  <r>
    <s v="PRESUNTA"/>
    <n v="20606858893"/>
    <s v="GASES Y MANUFACTURAS ROMERO DEL NORTE SRL"/>
    <s v="202507, 202506"/>
    <x v="22"/>
    <n v="262.36"/>
    <s v="SETIEMBRE"/>
    <n v="18"/>
  </r>
  <r>
    <s v="PRESUNTA"/>
    <n v="20609742918"/>
    <s v="OKAY IMPORT S.A.C."/>
    <s v="202507, 202506"/>
    <x v="22"/>
    <n v="348.26"/>
    <s v="SETIEMBRE"/>
    <n v="18"/>
  </r>
  <r>
    <s v="REAL TOTAL"/>
    <n v="20612393347"/>
    <s v="INVERSIONES JUNDOCA SAC."/>
    <s v="202502"/>
    <x v="22"/>
    <n v="194.77"/>
    <s v="SETIEMBRE"/>
    <n v="18"/>
  </r>
  <r>
    <s v="REAL TOTAL"/>
    <n v="20506252572"/>
    <s v="DISTRIBUIDORA HORTEGA S.R.L."/>
    <s v="202202, 202201"/>
    <x v="22"/>
    <n v="340.34000000000003"/>
    <s v="SETIEMBRE"/>
    <n v="18"/>
  </r>
  <r>
    <s v="FLUJO"/>
    <n v="10258474151"/>
    <s v="RODAS CARRION CRISTIAN RULLY"/>
    <s v="202507, 202506, 202505"/>
    <x v="23"/>
    <n v="225.57"/>
    <s v="SETIEMBRE"/>
    <n v="19"/>
  </r>
  <r>
    <s v="FLUJO"/>
    <n v="20504277659"/>
    <s v="DIGASCOM EIRL"/>
    <s v="202507, 202506"/>
    <x v="23"/>
    <n v="285.72000000000003"/>
    <s v="SETIEMBRE"/>
    <n v="19"/>
  </r>
  <r>
    <s v="FLUJO"/>
    <n v="20603393857"/>
    <s v="DERMACUORE E.I.R.L."/>
    <s v="202507"/>
    <x v="23"/>
    <n v="149.05000000000001"/>
    <s v="SETIEMBRE"/>
    <n v="19"/>
  </r>
  <r>
    <s v="FLUJO"/>
    <n v="20606681756"/>
    <s v="CONSTRUCTORA ARA ATLANTIC S.A.C."/>
    <s v="202507, 202506, 202505, 202504, 202503"/>
    <x v="23"/>
    <n v="664.88"/>
    <s v="SETIEMBRE"/>
    <n v="19"/>
  </r>
  <r>
    <s v="FLUJO"/>
    <n v="20610639420"/>
    <s v="Global Iplus E.I.R.L-"/>
    <s v="202507"/>
    <x v="23"/>
    <n v="149.05000000000001"/>
    <s v="SETIEMBRE"/>
    <n v="19"/>
  </r>
  <r>
    <s v="FLUJO"/>
    <n v="20567258905"/>
    <s v="COMSERMALU EIRL"/>
    <s v="202506"/>
    <x v="23"/>
    <n v="266.14"/>
    <s v="SETIEMBRE"/>
    <n v="19"/>
  </r>
  <r>
    <s v="FLUJO"/>
    <n v="20604194271"/>
    <s v="WISA TEC EIRL"/>
    <s v="202503, 202502"/>
    <x v="23"/>
    <n v="271.87"/>
    <s v="SETIEMBRE"/>
    <n v="19"/>
  </r>
  <r>
    <s v="FLUJO"/>
    <n v="20610776923"/>
    <s v="KMC COMPAÃ‘IA DE ALIMENTOS S.A.C."/>
    <s v="202502"/>
    <x v="23"/>
    <n v="171.38"/>
    <s v="SETIEMBRE"/>
    <n v="19"/>
  </r>
  <r>
    <s v="FLUJO"/>
    <n v="20535667668"/>
    <s v="NET LOOKING E.I.R.L."/>
    <s v="202507"/>
    <x v="23"/>
    <n v="373.49"/>
    <s v="SETIEMBRE"/>
    <n v="19"/>
  </r>
  <r>
    <s v="FLUJO"/>
    <n v="10094895150"/>
    <s v="NANCY LAMAN RIVERA"/>
    <s v="202507"/>
    <x v="24"/>
    <n v="197.86"/>
    <s v="SETIEMBRE"/>
    <n v="20"/>
  </r>
  <r>
    <s v="FLUJO"/>
    <n v="20600646827"/>
    <s v="CREZCO JUGANDO E.I.R.L."/>
    <s v="202507, 202506, 202505"/>
    <x v="24"/>
    <n v="395.59000000000003"/>
    <s v="SETIEMBRE"/>
    <n v="20"/>
  </r>
  <r>
    <s v="FLUJO"/>
    <n v="20603881517"/>
    <s v="INVERSIONES MACCLA SA"/>
    <s v="202507, 202506, 202505, 202504"/>
    <x v="24"/>
    <n v="529.72"/>
    <s v="SETIEMBRE"/>
    <n v="20"/>
  </r>
  <r>
    <s v="FLUJO"/>
    <n v="20605704213"/>
    <s v="ASESORES DE SEGURIDAD Y SALUD OCUPACIONAL ASOCIADOS SAC"/>
    <s v="202507, 202506"/>
    <x v="24"/>
    <n v="262.48"/>
    <s v="SETIEMBRE"/>
    <n v="20"/>
  </r>
  <r>
    <s v="FLUJO"/>
    <n v="20609480867"/>
    <s v="C y R EQUIPOS SOLUCIONES TECNOLOGICAS S.A.C."/>
    <s v="202507"/>
    <x v="24"/>
    <n v="328.52000000000004"/>
    <s v="SETIEMBRE"/>
    <n v="20"/>
  </r>
  <r>
    <s v="FLUJO"/>
    <n v="20612927635"/>
    <s v="AGROSERVICIOS CONVET E.I.R.L"/>
    <s v="202507, 202506, 202505"/>
    <x v="24"/>
    <n v="395.59000000000003"/>
    <s v="SETIEMBRE"/>
    <n v="20"/>
  </r>
  <r>
    <s v="FLUJO"/>
    <n v="10727852625"/>
    <s v="LÃ“PEZ FLOR WALTER ALEJANDRO"/>
    <s v="202506"/>
    <x v="24"/>
    <n v="67.08"/>
    <s v="SETIEMBRE"/>
    <n v="20"/>
  </r>
  <r>
    <s v="FLUJO"/>
    <n v="20602451250"/>
    <s v="D SABORES AQP EIRL"/>
    <s v="202506, 202503, 202507, 202505, 202504, 202502"/>
    <x v="24"/>
    <n v="1064.8499999999999"/>
    <s v="SETIEMBRE"/>
    <n v="20"/>
  </r>
  <r>
    <s v="FLUJO"/>
    <n v="20603228236"/>
    <s v="INVERSIONES Y NEGOCIOS CALLUPE S.A.C"/>
    <s v="202506, 202505, 202504"/>
    <x v="24"/>
    <n v="1387.84"/>
    <s v="SETIEMBRE"/>
    <n v="20"/>
  </r>
  <r>
    <s v="PRESUNTA"/>
    <n v="20608448005"/>
    <s v="CEMENTERA PERUANA S.A.C."/>
    <s v="202507, 202506, 202505, 202504, 202503, 202502, 202501, 202412, 202411, 202410, 202409, 202408"/>
    <x v="24"/>
    <n v="30213.58"/>
    <s v="SETIEMBRE"/>
    <n v="20"/>
  </r>
  <r>
    <s v="PRESUNTA"/>
    <n v="20565641795"/>
    <s v="MATIGLAS EIRL"/>
    <s v="202212, 202211, 202210, 202209, 202208"/>
    <x v="24"/>
    <n v="1514.13"/>
    <s v="SETIEMBRE"/>
    <n v="20"/>
  </r>
  <r>
    <s v="REAL TOTAL"/>
    <n v="20608909258"/>
    <s v="DIGITAL PROCESS S.A.C."/>
    <s v="202411"/>
    <x v="24"/>
    <n v="130.73000000000002"/>
    <s v="SETIEMBRE"/>
    <n v="20"/>
  </r>
  <r>
    <s v="REAL TOTAL"/>
    <n v="20460446733"/>
    <s v="INFO EXPERT SAC"/>
    <s v="200812, 200612"/>
    <x v="24"/>
    <n v="622.04999999999995"/>
    <s v="SETIEMBRE"/>
    <n v="20"/>
  </r>
  <r>
    <s v="REAL TOTAL"/>
    <n v="20255139755"/>
    <s v="COMERCIAL CASA DEL CARPINTERO SAC"/>
    <s v="200603, 200602"/>
    <x v="24"/>
    <n v="242.07999999999998"/>
    <s v="SETIEMBRE"/>
    <n v="20"/>
  </r>
  <r>
    <s v="FLUJO"/>
    <n v="20222114129"/>
    <s v="CEGNE SAN SEBASTIAN"/>
    <s v="202508, 202507"/>
    <x v="24"/>
    <n v="649.1099999999999"/>
    <s v="SETIEMBRE"/>
    <n v="20"/>
  </r>
  <r>
    <s v="FLUJO"/>
    <n v="20608413261"/>
    <s v="SUPERDIAG GROUP S.A.C."/>
    <s v="202508, 202507, 202506"/>
    <x v="24"/>
    <n v="431.19"/>
    <s v="SETIEMBRE"/>
    <n v="20"/>
  </r>
  <r>
    <s v="REAL TOTAL"/>
    <n v="20460446733"/>
    <s v="INFO EXPERT SAC"/>
    <s v="200812, 200612"/>
    <x v="24"/>
    <n v="622.04999999999995"/>
    <s v="SETIEMBRE"/>
    <n v="20"/>
  </r>
  <r>
    <s v="REAL TOTAL"/>
    <n v="20255139755"/>
    <s v="COMERCIAL CASA DEL CARPINTERO SAC"/>
    <s v="200603, 200602"/>
    <x v="24"/>
    <n v="242.07999999999998"/>
    <s v="SETIEMBRE"/>
    <n v="20"/>
  </r>
  <r>
    <s v="FLUJO"/>
    <n v="20601323843"/>
    <s v="MAC CONSTRUCTORA SAC"/>
    <s v="202507, 202506"/>
    <x v="25"/>
    <n v="34.07"/>
    <s v="SETIEMBRE"/>
    <n v="20"/>
  </r>
  <r>
    <s v="FLUJO"/>
    <n v="20607986330"/>
    <s v="INVERSIONES LAVZUR S.A.C."/>
    <s v="202507"/>
    <x v="25"/>
    <n v="149.19"/>
    <s v="SETIEMBRE"/>
    <n v="20"/>
  </r>
  <r>
    <s v="FLUJO"/>
    <n v="20603124007"/>
    <s v="TRANSPORTES ESTRELLA DE DAVID CARS S.A.C."/>
    <s v="202506"/>
    <x v="25"/>
    <n v="124.85000000000001"/>
    <s v="SETIEMBRE"/>
    <n v="20"/>
  </r>
  <r>
    <s v="FLUJO"/>
    <n v="20602804837"/>
    <s v="NUTRICION ES ESCENCIAL S.A.C."/>
    <s v="202504, 202503"/>
    <x v="25"/>
    <n v="269.82000000000005"/>
    <s v="SETIEMBRE"/>
    <n v="20"/>
  </r>
  <r>
    <s v="FLUJO"/>
    <n v="20606276673"/>
    <s v="SAN JOSE INGENIERIA Y PROYECTOS S.A.C."/>
    <s v="202503, 202502"/>
    <x v="25"/>
    <n v="397.99"/>
    <s v="SETIEMBRE"/>
    <n v="20"/>
  </r>
  <r>
    <s v="REAL TOTAL"/>
    <n v="20527749345"/>
    <s v="ETNIKAS TRAVEL Y CRAFTS SCRLtda."/>
    <s v="200901"/>
    <x v="25"/>
    <n v="185.18"/>
    <s v="SETIEMBRE"/>
    <n v="20"/>
  </r>
  <r>
    <s v="FLUJO"/>
    <n v="20613206664"/>
    <s v="CORPORACION SEPTIEMBRE S.A.C."/>
    <s v="202508"/>
    <x v="25"/>
    <n v="267.31"/>
    <s v="SETIEMBRE"/>
    <n v="20"/>
  </r>
  <r>
    <s v="FLUJO"/>
    <n v="20601459630"/>
    <s v="TUNKY SOLUCIONES AMBIENTALES S.A.C."/>
    <s v="202508, 202507, 202506"/>
    <x v="25"/>
    <n v="1387.5900000000001"/>
    <s v="SETIEMBRE"/>
    <n v="20"/>
  </r>
  <r>
    <s v="FLUJO"/>
    <n v="20611520019"/>
    <s v="ELOHIM SERVICE E.I.R.L."/>
    <s v="202508"/>
    <x v="25"/>
    <n v="469.1"/>
    <s v="SETIEMBRE"/>
    <n v="20"/>
  </r>
  <r>
    <s v="REAL TOTAL"/>
    <n v="20527749345"/>
    <s v="ETNIKAS TRAVEL Y CRAFTS SCRLtda."/>
    <s v="200901"/>
    <x v="25"/>
    <n v="185.18"/>
    <s v="SETIEMBRE"/>
    <n v="20"/>
  </r>
  <r>
    <s v="FLUJO"/>
    <n v="20610003096"/>
    <s v="GRUPO DE MERCADEO 360 S.A."/>
    <s v="202508"/>
    <x v="26"/>
    <n v="229.45000000000002"/>
    <s v="SETIEMBRE"/>
    <n v="20"/>
  </r>
  <r>
    <s v="PRESUNTA"/>
    <n v="20602804055"/>
    <s v="WG HOLZ S.A.C."/>
    <s v="202104, 202103, 202102, 202101, 202012, 202011, 202010, 202009, 202008, 202007, 202006, 202005, 201910, 201909, 201908, 201907, 201906, 201905, 201904, 201903, 201902, 201901, 201812, 201811"/>
    <x v="27"/>
    <n v="1172.78"/>
    <s v="OCTUBRE"/>
    <n v="1"/>
  </r>
  <r>
    <s v="FLUJO"/>
    <n v="10106862228"/>
    <s v="JOSE TENORIO GOMEZ"/>
    <s v="202508, 202507, 202506, 202505, 202504, 202503"/>
    <x v="27"/>
    <n v="1165.54"/>
    <s v="OCTUBRE"/>
    <n v="1"/>
  </r>
  <r>
    <s v="FLUJO"/>
    <n v="10156862903"/>
    <s v="MAXIMILIANO RAFAEL ALEJO MONTES"/>
    <s v="202508"/>
    <x v="27"/>
    <n v="259.27"/>
    <s v="OCTUBRE"/>
    <n v="1"/>
  </r>
  <r>
    <s v="FLUJO"/>
    <n v="10255794383"/>
    <s v="ANA MARIA VALENCIA JIMENEZ"/>
    <s v="202508"/>
    <x v="27"/>
    <n v="216.72"/>
    <s v="OCTUBRE"/>
    <n v="1"/>
  </r>
  <r>
    <s v="FLUJO"/>
    <n v="20524658349"/>
    <s v="CIA Z DE MOVILIDAD Y MENSAJERIA SRL"/>
    <s v="202508"/>
    <x v="27"/>
    <n v="403.35"/>
    <s v="OCTUBRE"/>
    <n v="1"/>
  </r>
  <r>
    <s v="FLUJO"/>
    <n v="20537337274"/>
    <s v="PIZZAS SANTA CLARA E.I.R.L."/>
    <s v="202508, 202507, 202505, 202506"/>
    <x v="27"/>
    <n v="530.17999999999995"/>
    <s v="OCTUBRE"/>
    <n v="1"/>
  </r>
  <r>
    <s v="FLUJO"/>
    <n v="20559536351"/>
    <s v="TRANSPORTES LAMT EIRL"/>
    <s v="202508, 202507"/>
    <x v="27"/>
    <n v="520.8599999999999"/>
    <s v="OCTUBRE"/>
    <n v="1"/>
  </r>
  <r>
    <s v="FLUJO"/>
    <n v="20559738655"/>
    <s v="J Y M 1531 S.A.C."/>
    <s v="202508, 201812"/>
    <x v="27"/>
    <n v="2389.6999999999998"/>
    <s v="OCTUBRE"/>
    <n v="1"/>
  </r>
  <r>
    <s v="FLUJO"/>
    <n v="20602218652"/>
    <s v="GRUPO CASIR SAC"/>
    <s v="202508, 202507"/>
    <x v="27"/>
    <n v="260.95"/>
    <s v="OCTUBRE"/>
    <n v="1"/>
  </r>
  <r>
    <s v="FLUJO"/>
    <n v="20603816952"/>
    <s v="INSTITUTO DE CIENCIA Y TECNOLOGIA ICIT E.I.R.L."/>
    <s v="202508"/>
    <x v="27"/>
    <n v="455.39"/>
    <s v="OCTUBRE"/>
    <n v="1"/>
  </r>
  <r>
    <s v="FLUJO"/>
    <n v="20607457388"/>
    <s v="INVERSIONES IKER JOSE M Y M S.A.C."/>
    <s v="202508"/>
    <x v="27"/>
    <n v="573.62"/>
    <s v="OCTUBRE"/>
    <n v="1"/>
  </r>
  <r>
    <s v="FLUJO"/>
    <n v="20607855294"/>
    <s v="MG INDUSTRIA Y COMERCIO S.A.C"/>
    <s v="202508"/>
    <x v="27"/>
    <n v="232.98999999999998"/>
    <s v="OCTUBRE"/>
    <n v="1"/>
  </r>
  <r>
    <s v="FLUJO"/>
    <n v="20608476688"/>
    <s v="GRUPO CASUVE S.A.C."/>
    <s v="202508"/>
    <x v="27"/>
    <n v="482.75"/>
    <s v="OCTUBRE"/>
    <n v="1"/>
  </r>
  <r>
    <s v="FLUJO"/>
    <n v="20610019740"/>
    <s v="INGENIEROS ELECTRICOS DEL NORTE SAC"/>
    <s v="202508"/>
    <x v="27"/>
    <n v="259.27"/>
    <s v="OCTUBRE"/>
    <n v="1"/>
  </r>
  <r>
    <s v="FLUJO"/>
    <n v="20610922911"/>
    <s v="CERRITO NORTEÃ‘O FAMILIAR E.I.R.L."/>
    <s v="202508, 202507"/>
    <x v="27"/>
    <n v="260.42999999999995"/>
    <s v="OCTUBRE"/>
    <n v="1"/>
  </r>
  <r>
    <s v="FLUJO"/>
    <n v="20612852619"/>
    <s v="MULTITIENDAS DON DURO EIRL"/>
    <s v="202508, 202507, 202506"/>
    <x v="27"/>
    <n v="392.37999999999994"/>
    <s v="OCTUBRE"/>
    <n v="1"/>
  </r>
  <r>
    <s v="FLUJO"/>
    <n v="20612868108"/>
    <s v="AGROSUR LA JOYA S.A.C."/>
    <s v="202508"/>
    <x v="27"/>
    <n v="286.81"/>
    <s v="OCTUBRE"/>
    <n v="1"/>
  </r>
  <r>
    <s v="FLUJO"/>
    <n v="20613811835"/>
    <s v="MULTIMARKET PARACAS S.A.C."/>
    <s v="202508"/>
    <x v="27"/>
    <n v="259.27"/>
    <s v="OCTUBRE"/>
    <n v="1"/>
  </r>
  <r>
    <s v="FLUJO"/>
    <n v="20448083749"/>
    <s v="MAQUINRENT EIRL"/>
    <s v="202507, 202506, 202505, 202504, 202508"/>
    <x v="27"/>
    <n v="2253.6000000000004"/>
    <s v="OCTUBRE"/>
    <n v="1"/>
  </r>
  <r>
    <s v="FLUJO"/>
    <n v="20601821312"/>
    <s v="SERVICIOS Y REPUESTOS GENERALES N &amp; N E.I.R.L."/>
    <s v="202507, 202506"/>
    <x v="27"/>
    <n v="525.49"/>
    <s v="OCTUBRE"/>
    <n v="1"/>
  </r>
  <r>
    <s v="FLUJO"/>
    <n v="20602473865"/>
    <s v="TAPPOYO FINTECH SAC"/>
    <s v="202507, 202508"/>
    <x v="27"/>
    <n v="294.13"/>
    <s v="OCTUBRE"/>
    <n v="1"/>
  </r>
  <r>
    <s v="FLUJO"/>
    <n v="20612093521"/>
    <s v="INVERSIONES ELI MM SAC"/>
    <s v="202507"/>
    <x v="27"/>
    <n v="231.49"/>
    <s v="OCTUBRE"/>
    <n v="1"/>
  </r>
  <r>
    <s v="FLUJO"/>
    <n v="20613088874"/>
    <s v="MAREA97 S.A.C."/>
    <s v="202507, 202506"/>
    <x v="27"/>
    <n v="262.74"/>
    <s v="OCTUBRE"/>
    <n v="1"/>
  </r>
  <r>
    <s v="FLUJO"/>
    <n v="20454820658"/>
    <s v="TOP LINE TRANSPORTES EIRL"/>
    <s v="202503, 202502, 202504"/>
    <x v="27"/>
    <n v="1016.3400000000001"/>
    <s v="OCTUBRE"/>
    <n v="1"/>
  </r>
  <r>
    <s v="PRESUNTA"/>
    <n v="20101362885"/>
    <s v="ABUGATTAS INGENIEROS S.A."/>
    <s v="202507"/>
    <x v="28"/>
    <n v="236.92"/>
    <s v="OCTUBRE"/>
    <n v="2"/>
  </r>
  <r>
    <s v="PRESUNTA"/>
    <n v="20536087878"/>
    <s v="FRANCISCO &amp; CRISTOBAL ASOCIADOS SAC"/>
    <s v="202507"/>
    <x v="28"/>
    <n v="392.38"/>
    <s v="OCTUBRE"/>
    <n v="2"/>
  </r>
  <r>
    <s v="PRESUNTA"/>
    <n v="20217254125"/>
    <s v="MUNICIPALIDAD DISTRITAL DE SAN ANTONIO"/>
    <s v="202503, 202502, 202505, 202504"/>
    <x v="28"/>
    <n v="12183.31"/>
    <s v="OCTUBRE"/>
    <n v="2"/>
  </r>
  <r>
    <s v="PRESUNTA"/>
    <n v="20551703712"/>
    <s v="NM TELECOM SAC"/>
    <s v="202207, 202206"/>
    <x v="28"/>
    <n v="721.43000000000006"/>
    <s v="OCTUBRE"/>
    <n v="2"/>
  </r>
  <r>
    <s v="PRESUNTA"/>
    <n v="20604877491"/>
    <s v="TAIPAWER S.A.C."/>
    <s v="202003, 202002, 202001, 201912, 201911, 201910, 201909"/>
    <x v="28"/>
    <n v="1338.98"/>
    <s v="OCTUBRE"/>
    <n v="2"/>
  </r>
  <r>
    <s v="REAL TOTAL"/>
    <n v="20604411409"/>
    <s v="JFG CORPORATION SAC"/>
    <s v="202405, 202404"/>
    <x v="28"/>
    <n v="2766.29"/>
    <s v="OCTUBRE"/>
    <n v="2"/>
  </r>
  <r>
    <s v="REAL TOTAL"/>
    <n v="20100170681"/>
    <s v="PRODUCTOS QUIMICOS INDUSTRIALES SA"/>
    <s v="200705"/>
    <x v="28"/>
    <n v="60.11"/>
    <s v="OCTUBRE"/>
    <n v="2"/>
  </r>
  <r>
    <s v="FLUJO"/>
    <n v="20477767169"/>
    <s v="Professional Quality SRL"/>
    <s v="202508"/>
    <x v="28"/>
    <n v="401.93"/>
    <s v="OCTUBRE"/>
    <n v="2"/>
  </r>
  <r>
    <s v="FLUJO"/>
    <n v="20482298916"/>
    <s v="INVERSIONES MELDAR SAC"/>
    <s v="202508"/>
    <x v="28"/>
    <n v="887.24"/>
    <s v="OCTUBRE"/>
    <n v="2"/>
  </r>
  <r>
    <s v="FLUJO"/>
    <n v="20505875843"/>
    <s v="XTREME  PLAZA SAC"/>
    <s v="202508"/>
    <x v="28"/>
    <n v="444.5"/>
    <s v="OCTUBRE"/>
    <n v="2"/>
  </r>
  <r>
    <s v="FLUJO"/>
    <n v="20524196469"/>
    <s v="ARKHES CONTRATISTAS GENERALES SAC"/>
    <s v="202508, 202507, 202506, 202505, 202504, 202503"/>
    <x v="28"/>
    <n v="1640.9100000000003"/>
    <s v="OCTUBRE"/>
    <n v="2"/>
  </r>
  <r>
    <s v="FLUJO"/>
    <n v="20546918310"/>
    <s v="W ANGELES SERVICIOS GENERALES"/>
    <s v="202508"/>
    <x v="28"/>
    <n v="263.39"/>
    <s v="OCTUBRE"/>
    <n v="2"/>
  </r>
  <r>
    <s v="FLUJO"/>
    <n v="20547907168"/>
    <s v="EPQ S.A.C."/>
    <s v="202508, 202507, 202506, 202505"/>
    <x v="28"/>
    <n v="851.63"/>
    <s v="OCTUBRE"/>
    <n v="2"/>
  </r>
  <r>
    <s v="FLUJO"/>
    <n v="20566225868"/>
    <s v="GRUSEG JIMENEZ S.A.C."/>
    <s v="202508"/>
    <x v="28"/>
    <n v="379.62"/>
    <s v="OCTUBRE"/>
    <n v="2"/>
  </r>
  <r>
    <s v="FLUJO"/>
    <n v="20600316851"/>
    <s v="SOLUCIONES INTEGRALES DE FITNESS SAC"/>
    <s v="202508"/>
    <x v="28"/>
    <n v="333.26"/>
    <s v="OCTUBRE"/>
    <n v="2"/>
  </r>
  <r>
    <s v="FLUJO"/>
    <n v="20601832781"/>
    <s v="CENTRO NEFROLOGICO ALBERTO SAC"/>
    <s v="202508, 202507"/>
    <x v="28"/>
    <n v="484.03999999999996"/>
    <s v="OCTUBRE"/>
    <n v="2"/>
  </r>
  <r>
    <s v="FLUJO"/>
    <n v="20602869564"/>
    <s v="TRANSPORTE Y CONSECIONARIO DE ALIMENTOS EL MANA SAC"/>
    <s v="202508"/>
    <x v="28"/>
    <n v="458.64"/>
    <s v="OCTUBRE"/>
    <n v="2"/>
  </r>
  <r>
    <s v="FLUJO"/>
    <n v="20603472242"/>
    <s v="EMBOTELLADORA CAMPO VERDE S.A.C."/>
    <s v="202508, 202507"/>
    <x v="28"/>
    <n v="260.54999999999995"/>
    <s v="OCTUBRE"/>
    <n v="2"/>
  </r>
  <r>
    <s v="FLUJO"/>
    <n v="20603513712"/>
    <s v="ENFIVAL TRANSPORTE GENERALES EIRL"/>
    <s v="202508, 202507"/>
    <x v="28"/>
    <n v="260.54999999999995"/>
    <s v="OCTUBRE"/>
    <n v="2"/>
  </r>
  <r>
    <s v="FLUJO"/>
    <n v="20604096031"/>
    <s v="VERIM SERVICIOS DE INGENIERIA E.I.R.L."/>
    <s v="202508, 202507, 202506"/>
    <x v="28"/>
    <n v="392.61999999999995"/>
    <s v="OCTUBRE"/>
    <n v="2"/>
  </r>
  <r>
    <s v="FLUJO"/>
    <n v="20604118779"/>
    <s v="ENDEAVOR E.I.R.L."/>
    <s v="202508"/>
    <x v="28"/>
    <n v="407.56"/>
    <s v="OCTUBRE"/>
    <n v="2"/>
  </r>
  <r>
    <s v="FLUJO"/>
    <n v="20606076895"/>
    <s v="SUMAQ YACHAYWASI CARRION SCRL"/>
    <s v="202508"/>
    <x v="28"/>
    <n v="259.52999999999997"/>
    <s v="OCTUBRE"/>
    <n v="2"/>
  </r>
  <r>
    <s v="FLUJO"/>
    <n v="20607936812"/>
    <s v="LIVING GREEN INTERNATIONAL S.A.C."/>
    <s v="202508"/>
    <x v="28"/>
    <n v="503.49"/>
    <s v="OCTUBRE"/>
    <n v="2"/>
  </r>
  <r>
    <s v="FLUJO"/>
    <n v="20609313626"/>
    <s v="CS-3 INGENIEROS E.I.R.L."/>
    <s v="202508, 202507, 202506, 202505"/>
    <x v="28"/>
    <n v="525.84999999999991"/>
    <s v="OCTUBRE"/>
    <n v="2"/>
  </r>
  <r>
    <s v="FLUJO"/>
    <n v="20609572770"/>
    <s v="IMPORTADORA Y DISTRIBUIDORA ARIANA EIRL"/>
    <s v="202508, 202507"/>
    <x v="28"/>
    <n v="287.32"/>
    <s v="OCTUBRE"/>
    <n v="2"/>
  </r>
  <r>
    <s v="FLUJO"/>
    <n v="20610173358"/>
    <s v="ANGELICA S y P E.I.R.L."/>
    <s v="202508"/>
    <x v="28"/>
    <n v="429.45"/>
    <s v="OCTUBRE"/>
    <n v="2"/>
  </r>
  <r>
    <s v="FLUJO"/>
    <n v="20611019476"/>
    <s v="TRANSPORTES Y SERVICIOS MELLIZOS S.A.C."/>
    <s v="202508, 202507, 202506, 202505"/>
    <x v="28"/>
    <n v="525.84999999999991"/>
    <s v="OCTUBRE"/>
    <n v="2"/>
  </r>
  <r>
    <s v="FLUJO"/>
    <n v="20611513489"/>
    <s v="GEP COMUNICACIONES SAC"/>
    <s v="202508"/>
    <x v="28"/>
    <n v="746.44"/>
    <s v="OCTUBRE"/>
    <n v="2"/>
  </r>
  <r>
    <s v="FLUJO"/>
    <n v="20612001775"/>
    <s v="CONECTING RED SACS"/>
    <s v="202508"/>
    <x v="28"/>
    <n v="336.47"/>
    <s v="OCTUBRE"/>
    <n v="2"/>
  </r>
  <r>
    <s v="FLUJO"/>
    <n v="20612470562"/>
    <s v="AGRO DISTRIBUIDORA AMARAL PIURA SAC"/>
    <s v="202508"/>
    <x v="28"/>
    <n v="549.96"/>
    <s v="OCTUBRE"/>
    <n v="2"/>
  </r>
  <r>
    <s v="FLUJO"/>
    <n v="20612937789"/>
    <s v="AMERICAN LOGISTICS GROUP Y ASSOCIATES SAC"/>
    <s v="202508"/>
    <x v="28"/>
    <n v="277.78999999999996"/>
    <s v="OCTUBRE"/>
    <n v="2"/>
  </r>
  <r>
    <s v="FLUJO"/>
    <n v="20613942468"/>
    <s v="INVERSIONES PISCA S.A.C."/>
    <s v="202508"/>
    <x v="28"/>
    <n v="545.36"/>
    <s v="OCTUBRE"/>
    <n v="2"/>
  </r>
  <r>
    <s v="FLUJO"/>
    <n v="20614000610"/>
    <s v="CORPORACION OROPEL S.A.C."/>
    <s v="202508"/>
    <x v="28"/>
    <n v="459.35"/>
    <s v="OCTUBRE"/>
    <n v="2"/>
  </r>
  <r>
    <s v="FLUJO"/>
    <n v="10055803311"/>
    <s v="ANGULO VDA.DE IDROGO ENITH"/>
    <s v="202507"/>
    <x v="28"/>
    <n v="138.9"/>
    <s v="OCTUBRE"/>
    <n v="2"/>
  </r>
  <r>
    <s v="FLUJO"/>
    <n v="10435256711"/>
    <s v="TORRES USCAMAYTA RENE"/>
    <s v="202507, 202508"/>
    <x v="28"/>
    <n v="499.71"/>
    <s v="OCTUBRE"/>
    <n v="2"/>
  </r>
  <r>
    <s v="FLUJO"/>
    <n v="20612889989"/>
    <s v="SH ODONTOZ HEALTH S.A.C."/>
    <s v="202507, 202508"/>
    <x v="28"/>
    <n v="260.42999999999995"/>
    <s v="OCTUBRE"/>
    <n v="2"/>
  </r>
  <r>
    <s v="FLUJO"/>
    <n v="20602188567"/>
    <s v="CENTRAL SYSTEM S.A.C"/>
    <s v="202506, 202508, 202507"/>
    <x v="28"/>
    <n v="655.49"/>
    <s v="OCTUBRE"/>
    <n v="2"/>
  </r>
  <r>
    <s v="FLUJO"/>
    <n v="20607969877"/>
    <s v="SAMIRIA JUNGLE HOTEL EIRL"/>
    <s v="202506, 202505"/>
    <x v="28"/>
    <n v="969.79"/>
    <s v="OCTUBRE"/>
    <n v="2"/>
  </r>
  <r>
    <s v="FLUJO"/>
    <n v="20612859435"/>
    <s v="OKANE PERUVIAN AND CHINESE FOOD EIRL"/>
    <s v="202506"/>
    <x v="28"/>
    <n v="342.46"/>
    <s v="OCTUBRE"/>
    <n v="2"/>
  </r>
  <r>
    <s v="FLUJO"/>
    <n v="10752224434"/>
    <s v="BACA GOMEZ MARIA SEGUNDA"/>
    <s v="202505, 202508, 202507, 202506"/>
    <x v="28"/>
    <n v="526.64"/>
    <s v="OCTUBRE"/>
    <n v="2"/>
  </r>
  <r>
    <s v="FLUJO"/>
    <n v="20600426673"/>
    <s v="UNION GASTRO SAC"/>
    <s v="202505, 202506, 202507"/>
    <x v="28"/>
    <n v="696.25"/>
    <s v="OCTUBRE"/>
    <n v="2"/>
  </r>
  <r>
    <s v="FLUJO"/>
    <n v="20610965777"/>
    <s v="J. BUILDING E.I.R.L."/>
    <s v="202504"/>
    <x v="28"/>
    <n v="142.72"/>
    <s v="OCTUBRE"/>
    <n v="2"/>
  </r>
  <r>
    <s v="PRESUNTA"/>
    <n v="20551703712"/>
    <s v="NM TELECOM SAC"/>
    <s v="202207, 202206"/>
    <x v="28"/>
    <n v="721.43000000000006"/>
    <s v="OCTUBRE"/>
    <n v="2"/>
  </r>
  <r>
    <s v="REAL TOTAL"/>
    <n v="20100170681"/>
    <s v="PRODUCTOS QUIMICOS INDUSTRIALES SA"/>
    <s v="200705"/>
    <x v="28"/>
    <n v="60.11"/>
    <s v="OCTUBRE"/>
    <n v="2"/>
  </r>
  <r>
    <s v="FLUJO"/>
    <n v="10076223403"/>
    <s v="OLASCUAGA QUESADA DE AYALA MARIA"/>
    <s v="202508, 202507, 202506, 202505, 202504"/>
    <x v="29"/>
    <n v="1311.24"/>
    <s v="OCTUBRE"/>
    <n v="3"/>
  </r>
  <r>
    <s v="FLUJO"/>
    <n v="10422904056"/>
    <s v="ROLANDO CHOQUE ITO"/>
    <s v="202508"/>
    <x v="29"/>
    <n v="287.09000000000003"/>
    <s v="OCTUBRE"/>
    <n v="3"/>
  </r>
  <r>
    <s v="FLUJO"/>
    <n v="20567292241"/>
    <s v="N.J.E. CONTRATISTAS SOCIEDAD ANONIMA CERRADA"/>
    <s v="202508, 202507, 202506, 202505"/>
    <x v="29"/>
    <n v="526.11"/>
    <s v="OCTUBRE"/>
    <n v="3"/>
  </r>
  <r>
    <s v="FLUJO"/>
    <n v="20568877099"/>
    <s v="YAHVE MINERIA Y CONSTRUCCION EIRL"/>
    <s v="202508"/>
    <x v="29"/>
    <n v="442.82"/>
    <s v="OCTUBRE"/>
    <n v="3"/>
  </r>
  <r>
    <s v="FLUJO"/>
    <n v="20612072907"/>
    <s v="SABOR A PERU S.A.C."/>
    <s v="202508"/>
    <x v="29"/>
    <n v="532.04999999999995"/>
    <s v="OCTUBRE"/>
    <n v="3"/>
  </r>
  <r>
    <s v="FLUJO"/>
    <n v="20481024171"/>
    <s v="DUBAI S.A.C"/>
    <s v="202505, 202504, 202507, 202506, 202508"/>
    <x v="29"/>
    <n v="883.54"/>
    <s v="OCTUBRE"/>
    <n v="3"/>
  </r>
  <r>
    <s v="FLUJO"/>
    <n v="20604444234"/>
    <s v="JS CONSULTORIA &amp; CONSTRUCCION EIRL"/>
    <s v="202503, 202502"/>
    <x v="29"/>
    <n v="2738.58"/>
    <s v="OCTUBRE"/>
    <n v="3"/>
  </r>
  <r>
    <s v="PRESUNTA"/>
    <n v="10413443771"/>
    <s v="JIMENEZ LOAYZA LUIS JAVIER"/>
    <s v="202003, 202002, 202001, 201912, 201911, 201910, 201909, 201908, 201907"/>
    <x v="30"/>
    <n v="1604.3799999999999"/>
    <s v="OCTUBRE"/>
    <n v="4"/>
  </r>
  <r>
    <s v="FLUJO"/>
    <n v="10091153136"/>
    <s v="EUSEBIO ZAPATA ARAPA"/>
    <s v="202508"/>
    <x v="30"/>
    <n v="334.52"/>
    <s v="OCTUBRE"/>
    <n v="4"/>
  </r>
  <r>
    <s v="FLUJO"/>
    <n v="10470198651"/>
    <s v="JOSE LUIS HERNANDEZ CRUZ"/>
    <s v="202508, 202507, 202505, 202504, 202506"/>
    <x v="30"/>
    <n v="660.7600000000001"/>
    <s v="OCTUBRE"/>
    <n v="4"/>
  </r>
  <r>
    <s v="FLUJO"/>
    <n v="20477677682"/>
    <s v="MUEBLERIA Y DECORACIONES MAYO E HIJOS EIRL"/>
    <s v="202508"/>
    <x v="30"/>
    <n v="229.67000000000002"/>
    <s v="OCTUBRE"/>
    <n v="4"/>
  </r>
  <r>
    <s v="FLUJO"/>
    <n v="20501610306"/>
    <s v="LABORATORIOS NUTRASURE S.A.C."/>
    <s v="202508"/>
    <x v="30"/>
    <n v="259.52999999999997"/>
    <s v="OCTUBRE"/>
    <n v="4"/>
  </r>
  <r>
    <s v="FLUJO"/>
    <n v="20506731209"/>
    <s v="COPMEC E.I.R.L."/>
    <s v="202508"/>
    <x v="30"/>
    <n v="218.19"/>
    <s v="OCTUBRE"/>
    <n v="4"/>
  </r>
  <r>
    <s v="FLUJO"/>
    <n v="20513644222"/>
    <s v="INTEXJHK S.A.C"/>
    <s v="202508, 202507, 202506"/>
    <x v="30"/>
    <n v="2789.93"/>
    <s v="OCTUBRE"/>
    <n v="4"/>
  </r>
  <r>
    <s v="FLUJO"/>
    <n v="20547326513"/>
    <s v="PERUVIAN BUSINESS CONSULTING SAC"/>
    <s v="202508"/>
    <x v="30"/>
    <n v="229.67000000000002"/>
    <s v="OCTUBRE"/>
    <n v="4"/>
  </r>
  <r>
    <s v="FLUJO"/>
    <n v="20550330483"/>
    <s v="EDICIONES TECNOLOGICAS Y CIENTIFICAS S.A.C."/>
    <s v="202508"/>
    <x v="30"/>
    <n v="287.09000000000003"/>
    <s v="OCTUBRE"/>
    <n v="4"/>
  </r>
  <r>
    <s v="FLUJO"/>
    <n v="20600739540"/>
    <s v="MINERA EL GRAN AMANECER SAC"/>
    <s v="202508"/>
    <x v="30"/>
    <n v="344.51"/>
    <s v="OCTUBRE"/>
    <n v="4"/>
  </r>
  <r>
    <s v="FLUJO"/>
    <n v="20601508657"/>
    <s v="MAYADIRI E.I.R.L."/>
    <s v="202508"/>
    <x v="30"/>
    <n v="248.39000000000001"/>
    <s v="OCTUBRE"/>
    <n v="4"/>
  </r>
  <r>
    <s v="FLUJO"/>
    <n v="20601952450"/>
    <s v="GRUPO CARTRANSAVILL SAC"/>
    <s v="202508, 202507"/>
    <x v="30"/>
    <n v="260.68"/>
    <s v="OCTUBRE"/>
    <n v="4"/>
  </r>
  <r>
    <s v="FLUJO"/>
    <n v="20602428568"/>
    <s v="GRUPO DETECTTO SAC"/>
    <s v="202508"/>
    <x v="30"/>
    <n v="287.09000000000003"/>
    <s v="OCTUBRE"/>
    <n v="4"/>
  </r>
  <r>
    <s v="FLUJO"/>
    <n v="20602433138"/>
    <s v="OBRAS Y PROYECTOS J Y M S.A.C."/>
    <s v="202508, 202507"/>
    <x v="30"/>
    <n v="1108.44"/>
    <s v="OCTUBRE"/>
    <n v="4"/>
  </r>
  <r>
    <s v="FLUJO"/>
    <n v="20604243263"/>
    <s v="NIMASUR AUTOMOTRIZ S.A.C."/>
    <s v="202508"/>
    <x v="30"/>
    <n v="359.27000000000004"/>
    <s v="OCTUBRE"/>
    <n v="4"/>
  </r>
  <r>
    <s v="FLUJO"/>
    <n v="20607390909"/>
    <s v="SERVICIO Y DISTRIBUCION VALENTINA S.A.C."/>
    <s v="202508"/>
    <x v="30"/>
    <n v="259.52999999999997"/>
    <s v="OCTUBRE"/>
    <n v="4"/>
  </r>
  <r>
    <s v="FLUJO"/>
    <n v="20608844415"/>
    <s v="DISTRIBUIDORA FERREMA S.A.C."/>
    <s v="202508"/>
    <x v="30"/>
    <n v="242.65"/>
    <s v="OCTUBRE"/>
    <n v="4"/>
  </r>
  <r>
    <s v="FLUJO"/>
    <n v="20608946200"/>
    <s v="CONSULTORIA Y SERVICIOS GENERALES R Y V EIRL"/>
    <s v="202508"/>
    <x v="30"/>
    <n v="689.02"/>
    <s v="OCTUBRE"/>
    <n v="4"/>
  </r>
  <r>
    <s v="FLUJO"/>
    <n v="20609541203"/>
    <s v="GyM ENERGY SAC"/>
    <s v="202508"/>
    <x v="30"/>
    <n v="676.62"/>
    <s v="OCTUBRE"/>
    <n v="4"/>
  </r>
  <r>
    <s v="FLUJO"/>
    <n v="20609694905"/>
    <s v="BARRA FUTURA SAC"/>
    <s v="202508"/>
    <x v="30"/>
    <n v="342.25"/>
    <s v="OCTUBRE"/>
    <n v="4"/>
  </r>
  <r>
    <s v="FLUJO"/>
    <n v="20610990747"/>
    <s v="CORPORACION AGRANZA SAC"/>
    <s v="202508"/>
    <x v="30"/>
    <n v="272.51"/>
    <s v="OCTUBRE"/>
    <n v="4"/>
  </r>
  <r>
    <s v="FLUJO"/>
    <n v="20611143274"/>
    <s v="TEXTIPLAST SUPPLY S.A.C."/>
    <s v="202508"/>
    <x v="30"/>
    <n v="219.68"/>
    <s v="OCTUBRE"/>
    <n v="4"/>
  </r>
  <r>
    <s v="FLUJO"/>
    <n v="20612058572"/>
    <s v="ESTRUCTURAS METALICAS TECD S.A.C."/>
    <s v="202508"/>
    <x v="30"/>
    <n v="229.67000000000002"/>
    <s v="OCTUBRE"/>
    <n v="4"/>
  </r>
  <r>
    <s v="FLUJO"/>
    <n v="20613293419"/>
    <s v="LOGISTICA ANDES DEL NORTE SAC"/>
    <s v="202508"/>
    <x v="30"/>
    <n v="518.29"/>
    <s v="OCTUBRE"/>
    <n v="4"/>
  </r>
  <r>
    <s v="FLUJO"/>
    <n v="20613624032"/>
    <s v="CONSORCIO HOZEGA"/>
    <s v="202508"/>
    <x v="30"/>
    <n v="1097.3499999999999"/>
    <s v="OCTUBRE"/>
    <n v="4"/>
  </r>
  <r>
    <s v="FLUJO"/>
    <n v="20613896288"/>
    <s v="A Y M04 S.A.C."/>
    <s v="202508"/>
    <x v="30"/>
    <n v="259.52999999999997"/>
    <s v="OCTUBRE"/>
    <n v="4"/>
  </r>
  <r>
    <s v="FLUJO"/>
    <n v="20605464689"/>
    <s v="CLINT PERU EIRL"/>
    <s v="202507, 202508"/>
    <x v="30"/>
    <n v="260.81"/>
    <s v="OCTUBRE"/>
    <n v="4"/>
  </r>
  <r>
    <s v="FLUJO"/>
    <n v="20606376627"/>
    <s v="CONSORCIO VIAL KUELAP"/>
    <s v="202507, 202508"/>
    <x v="30"/>
    <n v="3062.7400000000002"/>
    <s v="OCTUBRE"/>
    <n v="4"/>
  </r>
  <r>
    <s v="FLUJO"/>
    <n v="20607525839"/>
    <s v="Wayra transporte de carga sociedad anÃ³nima cerrada"/>
    <s v="202507, 202508"/>
    <x v="30"/>
    <n v="462.30000000000007"/>
    <s v="OCTUBRE"/>
    <n v="4"/>
  </r>
  <r>
    <s v="FLUJO"/>
    <n v="20613455893"/>
    <s v="CONSORCIO NINABAMBA"/>
    <s v="202507, 202508"/>
    <x v="30"/>
    <n v="480.06999999999994"/>
    <s v="OCTUBRE"/>
    <n v="4"/>
  </r>
  <r>
    <s v="FLUJO"/>
    <n v="20480174951"/>
    <s v="PUBLICACIONES PACIFICO SAC"/>
    <s v="202506"/>
    <x v="30"/>
    <n v="134.4"/>
    <s v="OCTUBRE"/>
    <n v="4"/>
  </r>
  <r>
    <s v="FLUJO"/>
    <n v="20493233361"/>
    <s v="CONSORCIO OPTIMUS S.R.L."/>
    <s v="202506, 202508, 202507"/>
    <x v="30"/>
    <n v="1302.01"/>
    <s v="OCTUBRE"/>
    <n v="4"/>
  </r>
  <r>
    <s v="FLUJO"/>
    <n v="20565571134"/>
    <s v="CMD CORPORACION AUTOMOTRIZ E.I.R.L."/>
    <s v="202505"/>
    <x v="30"/>
    <n v="336.36"/>
    <s v="OCTUBRE"/>
    <n v="4"/>
  </r>
  <r>
    <s v="FLUJO"/>
    <n v="20611460521"/>
    <s v="FRAGGA SERVICES EIRL"/>
    <s v="202505, 202508, 202507, 202506"/>
    <x v="30"/>
    <n v="527.54999999999995"/>
    <s v="OCTUBRE"/>
    <n v="4"/>
  </r>
  <r>
    <s v="PRESUNTA"/>
    <n v="20527818762"/>
    <s v="MUNDO DENTAL EIRL"/>
    <s v="202508"/>
    <x v="30"/>
    <n v="77.86"/>
    <s v="OCTUBRE"/>
    <n v="4"/>
  </r>
  <r>
    <s v="REAL TOTAL"/>
    <n v="20554078789"/>
    <s v="HEXYTOSA EIRL"/>
    <s v="201904, 201903, 201902, 201901, 201812"/>
    <x v="30"/>
    <n v="950.32999999999993"/>
    <s v="OCTUBRE"/>
    <n v="4"/>
  </r>
  <r>
    <s v="FLUJO"/>
    <n v="10001106878"/>
    <s v="FERNANDO GRANDEZ ZARATE"/>
    <s v="202508"/>
    <x v="31"/>
    <n v="259.79000000000002"/>
    <s v="OCTUBRE"/>
    <n v="5"/>
  </r>
  <r>
    <s v="FLUJO"/>
    <n v="10181316336"/>
    <s v="MAQUI RUIZ BETTY MILAGROS"/>
    <s v="202508"/>
    <x v="31"/>
    <n v="237.95"/>
    <s v="OCTUBRE"/>
    <n v="5"/>
  </r>
  <r>
    <s v="FLUJO"/>
    <n v="10306754535"/>
    <s v="PETRONILA JENNY PARI SOTO"/>
    <s v="202508, 202507, 202506, 202505"/>
    <x v="31"/>
    <n v="526.38"/>
    <s v="OCTUBRE"/>
    <n v="5"/>
  </r>
  <r>
    <s v="FLUJO"/>
    <n v="10401937094"/>
    <s v="ALCANTARA TINCO OTILIA"/>
    <s v="202508, 202507, 202506, 202505, 202504"/>
    <x v="31"/>
    <n v="1805.42"/>
    <s v="OCTUBRE"/>
    <n v="5"/>
  </r>
  <r>
    <s v="FLUJO"/>
    <n v="10780196594"/>
    <s v="ESCALANTE ROSALES CINTHYA NATALI ENMA"/>
    <s v="202508, 202507, 202506, 202504, 202503"/>
    <x v="31"/>
    <n v="663.22"/>
    <s v="OCTUBRE"/>
    <n v="5"/>
  </r>
  <r>
    <s v="FLUJO"/>
    <n v="20103809445"/>
    <s v="AKENPEC TRANSPORTES Y OPERACIONES LOGISTICAS S.A.C"/>
    <s v="202508"/>
    <x v="31"/>
    <n v="339.07000000000005"/>
    <s v="OCTUBRE"/>
    <n v="5"/>
  </r>
  <r>
    <s v="FLUJO"/>
    <n v="20448202004"/>
    <s v="COOPERATIVA MINERA SANTA ROSA DE ANANEA LTDA"/>
    <s v="202508"/>
    <x v="31"/>
    <n v="344.85"/>
    <s v="OCTUBRE"/>
    <n v="5"/>
  </r>
  <r>
    <s v="FLUJO"/>
    <n v="20509113069"/>
    <s v="TAHUA POTTERY SAC"/>
    <s v="202508"/>
    <x v="31"/>
    <n v="210.75"/>
    <s v="OCTUBRE"/>
    <n v="5"/>
  </r>
  <r>
    <s v="FLUJO"/>
    <n v="20513477148"/>
    <s v="Impresos Graficos Comerciales EIRL"/>
    <s v="202508, 202507, 202506, 202505"/>
    <x v="31"/>
    <n v="1022.34"/>
    <s v="OCTUBRE"/>
    <n v="5"/>
  </r>
  <r>
    <s v="FLUJO"/>
    <n v="20520834517"/>
    <s v="REMAN CONSTRUCCIONES E INMOBILIARIA SAC"/>
    <s v="202508"/>
    <x v="31"/>
    <n v="1079.96"/>
    <s v="OCTUBRE"/>
    <n v="5"/>
  </r>
  <r>
    <s v="FLUJO"/>
    <n v="20530009832"/>
    <s v="CENTRO DE SALUD RENAL SAN MATIAS S.A.C."/>
    <s v="202508, 202507"/>
    <x v="31"/>
    <n v="642.81999999999994"/>
    <s v="OCTUBRE"/>
    <n v="5"/>
  </r>
  <r>
    <s v="FLUJO"/>
    <n v="20554095012"/>
    <s v="J Y N GROUP INSTALL WORLD S.A.C. - INSTALL WORLD S.A.C."/>
    <s v="202508, 202507, 202506"/>
    <x v="31"/>
    <n v="393.02"/>
    <s v="OCTUBRE"/>
    <n v="5"/>
  </r>
  <r>
    <s v="FLUJO"/>
    <n v="20554557679"/>
    <s v="IEP NUESTRA SENORA DEL ROSARIO SOCIEDAD COMERCIAL DE RESPON"/>
    <s v="202508"/>
    <x v="31"/>
    <n v="1357.4499999999998"/>
    <s v="OCTUBRE"/>
    <n v="5"/>
  </r>
  <r>
    <s v="FLUJO"/>
    <n v="20556106496"/>
    <s v="TRANSPORTES OMAR DAGA VALDIVIESO S.A.C."/>
    <s v="202508"/>
    <x v="31"/>
    <n v="415.65999999999997"/>
    <s v="OCTUBRE"/>
    <n v="5"/>
  </r>
  <r>
    <s v="FLUJO"/>
    <n v="20558148641"/>
    <s v="GRUPO GOLDEN SERVICE EIRL"/>
    <s v="202508, 202507, 202506"/>
    <x v="31"/>
    <n v="393.02"/>
    <s v="OCTUBRE"/>
    <n v="5"/>
  </r>
  <r>
    <s v="FLUJO"/>
    <n v="20558353814"/>
    <s v="TACONSER E.I.R.L."/>
    <s v="202508"/>
    <x v="31"/>
    <n v="279.33"/>
    <s v="OCTUBRE"/>
    <n v="5"/>
  </r>
  <r>
    <s v="FLUJO"/>
    <n v="20561130966"/>
    <s v="DAISMOL CONTRATISTAS GENERALES S.A.C."/>
    <s v="202508"/>
    <x v="31"/>
    <n v="717.64"/>
    <s v="OCTUBRE"/>
    <n v="5"/>
  </r>
  <r>
    <s v="FLUJO"/>
    <n v="20600042611"/>
    <s v="ARCES SOLUTIONS E.I.R.L."/>
    <s v="202508, 202507, 202506, 202505, 202504, 202503, 202502, 202501"/>
    <x v="31"/>
    <n v="1071.4099999999999"/>
    <s v="OCTUBRE"/>
    <n v="5"/>
  </r>
  <r>
    <s v="FLUJO"/>
    <n v="20600234715"/>
    <s v="COMERCIALIZADORA GUIROM SRL"/>
    <s v="202508"/>
    <x v="31"/>
    <n v="285.76"/>
    <s v="OCTUBRE"/>
    <n v="5"/>
  </r>
  <r>
    <s v="FLUJO"/>
    <n v="20600493150"/>
    <s v="ANTARES MANTENIMIENTO INDUSTRIAL SAC"/>
    <s v="202508"/>
    <x v="31"/>
    <n v="298.52999999999997"/>
    <s v="OCTUBRE"/>
    <n v="5"/>
  </r>
  <r>
    <s v="FLUJO"/>
    <n v="20601404061"/>
    <s v="JHONSON SOLUTIONS S.A.C."/>
    <s v="202508"/>
    <x v="31"/>
    <n v="287.38"/>
    <s v="OCTUBRE"/>
    <n v="5"/>
  </r>
  <r>
    <s v="FLUJO"/>
    <n v="20603731507"/>
    <s v="A Y M CONSTRUCTORA SOCIEDAD ANONIMA CERRADA"/>
    <s v="202508, 202507, 202506"/>
    <x v="31"/>
    <n v="393.02"/>
    <s v="OCTUBRE"/>
    <n v="5"/>
  </r>
  <r>
    <s v="FLUJO"/>
    <n v="20603981040"/>
    <s v="DISTRIBUIDORA E IMPORTACIONES REYNA S.A.C."/>
    <s v="202508"/>
    <x v="31"/>
    <n v="242.89000000000001"/>
    <s v="OCTUBRE"/>
    <n v="5"/>
  </r>
  <r>
    <s v="FLUJO"/>
    <n v="20604662398"/>
    <s v="LPF FRANCHISING S.A.C"/>
    <s v="202508"/>
    <x v="31"/>
    <n v="221.48"/>
    <s v="OCTUBRE"/>
    <n v="5"/>
  </r>
  <r>
    <s v="FLUJO"/>
    <n v="20605825061"/>
    <s v="UROGARDI S.A.C."/>
    <s v="202508"/>
    <x v="31"/>
    <n v="208.39999999999998"/>
    <s v="OCTUBRE"/>
    <n v="5"/>
  </r>
  <r>
    <s v="FLUJO"/>
    <n v="20608458281"/>
    <s v="INVERSIONES CORAZON PURO PERU E.I.R.L."/>
    <s v="202508"/>
    <x v="31"/>
    <n v="246.8"/>
    <s v="OCTUBRE"/>
    <n v="5"/>
  </r>
  <r>
    <s v="FLUJO"/>
    <n v="20608909576"/>
    <s v="CONSTRUCTORA E INMOBILIARIA CHIRA VERDE S.A.C."/>
    <s v="202508, 202507"/>
    <x v="31"/>
    <n v="260.81"/>
    <s v="OCTUBRE"/>
    <n v="5"/>
  </r>
  <r>
    <s v="FLUJO"/>
    <n v="20611247886"/>
    <s v="PETGO AGENCIA DE VIAJES DE ANIMALES DE COMPAÃ‘IA E.I.R.L."/>
    <s v="202508"/>
    <x v="31"/>
    <n v="620.73"/>
    <s v="OCTUBRE"/>
    <n v="5"/>
  </r>
  <r>
    <s v="FLUJO"/>
    <n v="20613474057"/>
    <s v="SALUD MI AMOR S.A.C."/>
    <s v="202508"/>
    <x v="31"/>
    <n v="295.38"/>
    <s v="OCTUBRE"/>
    <n v="5"/>
  </r>
  <r>
    <s v="FLUJO"/>
    <n v="20613925849"/>
    <s v="RODRIGO PLASTICS E.I.R.L."/>
    <s v="202508"/>
    <x v="31"/>
    <n v="355.08000000000004"/>
    <s v="OCTUBRE"/>
    <n v="5"/>
  </r>
  <r>
    <s v="FLUJO"/>
    <n v="20613979779"/>
    <s v="TDD INVERSIONES SAC"/>
    <s v="202508, 202507"/>
    <x v="31"/>
    <n v="260.81"/>
    <s v="OCTUBRE"/>
    <n v="5"/>
  </r>
  <r>
    <s v="FLUJO"/>
    <n v="20613988492"/>
    <s v="GRUPO BENICK LATAMSERVICE S.A.C"/>
    <s v="202508, 202507"/>
    <x v="31"/>
    <n v="598.97"/>
    <s v="OCTUBRE"/>
    <n v="5"/>
  </r>
  <r>
    <s v="FLUJO"/>
    <n v="10316732009"/>
    <s v="ALEGRE TORRES DIANA YESSICA"/>
    <s v="202507"/>
    <x v="31"/>
    <n v="246.06"/>
    <s v="OCTUBRE"/>
    <n v="5"/>
  </r>
  <r>
    <s v="FLUJO"/>
    <n v="20601417937"/>
    <s v="AGROPECUARIA DUMAN S.A.C."/>
    <s v="202507"/>
    <x v="31"/>
    <n v="210.26999999999998"/>
    <s v="OCTUBRE"/>
    <n v="5"/>
  </r>
  <r>
    <s v="FLUJO"/>
    <n v="20610764691"/>
    <s v="STUDIO 27 CREATING BEAUTY S.A.C."/>
    <s v="202507, 202506, 202505"/>
    <x v="31"/>
    <n v="396.49"/>
    <s v="OCTUBRE"/>
    <n v="5"/>
  </r>
  <r>
    <s v="FLUJO"/>
    <n v="20545240212"/>
    <s v="HEPAS MAQUINARIAS EIRL"/>
    <s v="202404, 202403, 202402"/>
    <x v="31"/>
    <n v="1145.6200000000001"/>
    <s v="OCTUBRE"/>
    <n v="5"/>
  </r>
  <r>
    <s v="PRESUNTA"/>
    <n v="20545781485"/>
    <s v="GRUPO BAX SAC"/>
    <s v="202305, 202304"/>
    <x v="31"/>
    <n v="161.44"/>
    <s v="OCTUBRE"/>
    <n v="5"/>
  </r>
  <r>
    <s v="PRESUNTA"/>
    <n v="20607496430"/>
    <s v="JYM BRUDER S.A.C."/>
    <s v="202205"/>
    <x v="31"/>
    <n v="302.85000000000002"/>
    <s v="OCTUBRE"/>
    <n v="5"/>
  </r>
  <r>
    <s v="PRESUNTA"/>
    <n v="20602804055"/>
    <s v="WG HOLZ S.A.C."/>
    <s v="202202, 202201, 202112, 202111, 202110, 202109, 202108, 202107, 202106, 202105, 202004, 202003, 202002, 202001, 201912, 201911, 202212, 202211, 202210, 202209, 202208, 202207, 202206, 202205, 202204, 202203, 202402, 202401, 202312, 202311, 202310, 202309, 202308, 202307, 202306, 202305, 202304, 202303, 202302, 202301, 202501, 202412, 202411, 202410, 202409, 202408, 202407, 202406, 202405, 202404, 202403, 202508, 202507, 202506, 202505, 202504, 202503, 202502"/>
    <x v="31"/>
    <n v="10808.81"/>
    <s v="OCTUBRE"/>
    <n v="5"/>
  </r>
  <r>
    <s v="REAL TOTAL"/>
    <n v="20605242937"/>
    <s v="TRANSPÃ“RTES NUEVO HORIZONTE Y.M. EIRL"/>
    <s v="202503"/>
    <x v="31"/>
    <n v="682.32999999999993"/>
    <s v="OCTUBRE"/>
    <n v="5"/>
  </r>
  <r>
    <s v="REAL TOTAL"/>
    <n v="10079417616"/>
    <s v="CRUZ MORANTE JOHANNA"/>
    <s v="201101"/>
    <x v="31"/>
    <n v="47.129999999999995"/>
    <s v="OCTUBRE"/>
    <n v="5"/>
  </r>
  <r>
    <s v="REDIRECCIONAMIENTO"/>
    <n v="20456334971"/>
    <s v="DISTRIBUIDORA MADEX SOCIEDAD ANONIMA CERRADA"/>
    <s v="201406"/>
    <x v="31"/>
    <n v="479.98"/>
    <s v="OCTUBRE"/>
    <n v="5"/>
  </r>
  <r>
    <s v="REDIRECCIONAMIENTO"/>
    <n v="20565246144"/>
    <s v="CORPORACION ELECTRO SVM E.I.R.L."/>
    <s v="201411, 201412, 201501, 201502"/>
    <x v="31"/>
    <n v="878.62999999999988"/>
    <s v="OCTUBRE"/>
    <n v="5"/>
  </r>
  <r>
    <s v="REDIRECCIONAMIENTO"/>
    <n v="20503986419"/>
    <s v="LANGUAGE TRAINING CENTER PERU SA"/>
    <s v="200807, 200808, 200809, 200810, 200811, 200812, 200902, 200903, 200904, 201008, 201012"/>
    <x v="31"/>
    <n v="11269.519999999999"/>
    <s v="OCTUBRE"/>
    <n v="5"/>
  </r>
  <r>
    <s v="REDIRECCIONAMIENTO"/>
    <n v="20514740152"/>
    <s v="SERVICIOS TECNICOS DE INGENIERIA INDUSTRIAL METALICA SOCIEDAD COMERCIAL DE RESPONSABILIDAD LIMITADA"/>
    <s v="200801, 200802, 200803, 200804"/>
    <x v="31"/>
    <n v="13122.090000000002"/>
    <s v="OCTUBRE"/>
    <n v="5"/>
  </r>
  <r>
    <s v="FLUJO"/>
    <n v="10067565148"/>
    <s v="LLERENA CANO DOBERT GUIDO"/>
    <s v="202508"/>
    <x v="32"/>
    <n v="283.07"/>
    <s v="OCTUBRE"/>
    <n v="5"/>
  </r>
  <r>
    <s v="FLUJO"/>
    <n v="10105351173"/>
    <s v="VALLADOLID RODRIGUEZ MILAGRITOS PRISVETT"/>
    <s v="202508"/>
    <x v="32"/>
    <n v="432.21999999999997"/>
    <s v="OCTUBRE"/>
    <n v="5"/>
  </r>
  <r>
    <s v="FLUJO"/>
    <n v="10413861468"/>
    <s v="Karin Rosario Ticona Barbaran"/>
    <s v="202508"/>
    <x v="32"/>
    <n v="236.8"/>
    <s v="OCTUBRE"/>
    <n v="5"/>
  </r>
  <r>
    <s v="FLUJO"/>
    <n v="10455500261"/>
    <s v="ALEJANDRA JAKELINA VENTURA ABAD"/>
    <s v="202508"/>
    <x v="32"/>
    <n v="259.79000000000002"/>
    <s v="OCTUBRE"/>
    <n v="5"/>
  </r>
  <r>
    <s v="FLUJO"/>
    <n v="20445722147"/>
    <s v="EMPRESA DE INGENIERIA Y MONTAJE S.A.C."/>
    <s v="202508, 202507"/>
    <x v="32"/>
    <n v="208.52999999999997"/>
    <s v="OCTUBRE"/>
    <n v="5"/>
  </r>
  <r>
    <s v="FLUJO"/>
    <n v="20527831432"/>
    <s v="LADRILLOS MURALLA S.C.RLTDA"/>
    <s v="202508, 202507"/>
    <x v="32"/>
    <n v="287.04999999999995"/>
    <s v="OCTUBRE"/>
    <n v="5"/>
  </r>
  <r>
    <s v="FLUJO"/>
    <n v="20542410621"/>
    <s v="ALMANZA Y ROJAS CONTRATISTAS EIRL"/>
    <s v="202508, 202507"/>
    <x v="32"/>
    <n v="260.94"/>
    <s v="OCTUBRE"/>
    <n v="5"/>
  </r>
  <r>
    <s v="FLUJO"/>
    <n v="20557208195"/>
    <s v="C Y R EDUCA SAC"/>
    <s v="202508"/>
    <x v="32"/>
    <n v="229.89999999999998"/>
    <s v="OCTUBRE"/>
    <n v="5"/>
  </r>
  <r>
    <s v="FLUJO"/>
    <n v="20601372933"/>
    <s v="DISTRIBUIDORA NIGXA S.A.C."/>
    <s v="202508"/>
    <x v="32"/>
    <n v="574.75"/>
    <s v="OCTUBRE"/>
    <n v="5"/>
  </r>
  <r>
    <s v="FLUJO"/>
    <n v="20603086776"/>
    <s v="grupo gyd sac"/>
    <s v="202508, 202507"/>
    <x v="32"/>
    <n v="260.94"/>
    <s v="OCTUBRE"/>
    <n v="5"/>
  </r>
  <r>
    <s v="FLUJO"/>
    <n v="20604251401"/>
    <s v="H L H CONTRATISTA GENERALES SAC"/>
    <s v="202508"/>
    <x v="32"/>
    <n v="402.33000000000004"/>
    <s v="OCTUBRE"/>
    <n v="5"/>
  </r>
  <r>
    <s v="FLUJO"/>
    <n v="20608422022"/>
    <s v="AGRONEGOCIOS SOGASIM S.A.C."/>
    <s v="202508"/>
    <x v="32"/>
    <n v="229.89999999999998"/>
    <s v="OCTUBRE"/>
    <n v="5"/>
  </r>
  <r>
    <s v="FLUJO"/>
    <n v="20610437916"/>
    <s v="AYLA MEDIC S.A.C."/>
    <s v="202508"/>
    <x v="32"/>
    <n v="574.75"/>
    <s v="OCTUBRE"/>
    <n v="5"/>
  </r>
  <r>
    <s v="FLUJO"/>
    <n v="20612047708"/>
    <s v="M Y M RESOLVE SOLUTIONS SAC"/>
    <s v="202508"/>
    <x v="32"/>
    <n v="450.5"/>
    <s v="OCTUBRE"/>
    <n v="5"/>
  </r>
  <r>
    <s v="FLUJO"/>
    <n v="20612237183"/>
    <s v="MULTISERVIS CGA S.A.C."/>
    <s v="202508"/>
    <x v="32"/>
    <n v="287.38"/>
    <s v="OCTUBRE"/>
    <n v="5"/>
  </r>
  <r>
    <s v="FLUJO"/>
    <n v="20600491211"/>
    <s v="TRANSPORTES Y LIMPIEZA OCCO S.A.C."/>
    <s v="202507, 202506, 202505, 202504"/>
    <x v="32"/>
    <n v="940.30000000000007"/>
    <s v="OCTUBRE"/>
    <n v="5"/>
  </r>
  <r>
    <s v="REAL TOTAL"/>
    <n v="20533620443"/>
    <s v="EMPRESA DE TRANSPORTE Y SERVICIOS MULTIPLES  JVG SRL"/>
    <s v="202503"/>
    <x v="32"/>
    <n v="27.400000000000002"/>
    <s v="OCTUBRE"/>
    <n v="5"/>
  </r>
  <r>
    <s v="REAL TOTAL"/>
    <n v="20605647856"/>
    <s v="JLP CONTRATISTAS GENERALES S.A.C."/>
    <s v="202503"/>
    <x v="32"/>
    <n v="149.38999999999999"/>
    <s v="OCTUBRE"/>
    <n v="5"/>
  </r>
  <r>
    <s v="REAL TOTAL"/>
    <n v="20603840250"/>
    <s v="JRJ PORTATIL PERÃš S.A.C."/>
    <s v="202202, 202201, 202112"/>
    <x v="32"/>
    <n v="466.78999999999996"/>
    <s v="OCTUBRE"/>
    <n v="5"/>
  </r>
  <r>
    <s v="FLUJO"/>
    <n v="20506436461"/>
    <s v="CEP CHRISTIAN BARNARD SAC"/>
    <s v="202508"/>
    <x v="33"/>
    <n v="278.07"/>
    <s v="OCTUBRE"/>
    <n v="5"/>
  </r>
  <r>
    <s v="FLUJO"/>
    <n v="20607713368"/>
    <s v="INACONS INGENIERIA Y CONSTRUCCION SOCIEDAD ANONIMA CERRADA"/>
    <s v="202508"/>
    <x v="33"/>
    <n v="630.1"/>
    <s v="OCTUBRE"/>
    <n v="5"/>
  </r>
  <r>
    <s v="FLUJO"/>
    <n v="20545529123"/>
    <s v="INVERSIONES Y SERVICIOS TARMA SAC"/>
    <s v="202503, 202505, 202504, 202507, 202506"/>
    <x v="33"/>
    <n v="1774.76"/>
    <s v="OCTUBRE"/>
    <n v="5"/>
  </r>
  <r>
    <s v="FLUJO"/>
    <n v="10430842094"/>
    <s v="CORONEL NEIRA VANESSA JACQUELINE"/>
    <s v="202508"/>
    <x v="34"/>
    <n v="390.61"/>
    <s v="OCTUBRE"/>
    <n v="6"/>
  </r>
  <r>
    <s v="FLUJO"/>
    <n v="20438509039"/>
    <s v="COMPURED SAC"/>
    <s v="202508"/>
    <x v="34"/>
    <n v="242.89000000000001"/>
    <s v="OCTUBRE"/>
    <n v="6"/>
  </r>
  <r>
    <s v="FLUJO"/>
    <n v="20449356943"/>
    <s v="CORPORACION TOMMY SAC"/>
    <s v="202508, 202507, 202506, 202505, 202504, 202503"/>
    <x v="34"/>
    <n v="1410.56"/>
    <s v="OCTUBRE"/>
    <n v="6"/>
  </r>
  <r>
    <s v="FLUJO"/>
    <n v="20474382924"/>
    <s v="CENTRO DE SERVICIOS PRODUCCION Y ORIENTACION FAMILIAR"/>
    <s v="202508"/>
    <x v="34"/>
    <n v="262.42"/>
    <s v="OCTUBRE"/>
    <n v="6"/>
  </r>
  <r>
    <s v="FLUJO"/>
    <n v="20481110760"/>
    <s v="CONSORCIO SALUD EDUCATIVA COBBA SRL"/>
    <s v="202508"/>
    <x v="34"/>
    <n v="407.33000000000004"/>
    <s v="OCTUBRE"/>
    <n v="6"/>
  </r>
  <r>
    <s v="FLUJO"/>
    <n v="20488249356"/>
    <s v="EMPRESA DE SERVICIOS MULTIPLES RAMON CASTILLA S.A."/>
    <s v="202508, 202507"/>
    <x v="34"/>
    <n v="828.43000000000006"/>
    <s v="OCTUBRE"/>
    <n v="6"/>
  </r>
  <r>
    <s v="FLUJO"/>
    <n v="20521850923"/>
    <s v="GLOBAL SKY SAC"/>
    <s v="202508"/>
    <x v="34"/>
    <n v="407.96000000000004"/>
    <s v="OCTUBRE"/>
    <n v="6"/>
  </r>
  <r>
    <s v="FLUJO"/>
    <n v="20555337419"/>
    <s v="NEGOCIACIONES FERRYCENTER SAC"/>
    <s v="202508"/>
    <x v="34"/>
    <n v="344.85"/>
    <s v="OCTUBRE"/>
    <n v="6"/>
  </r>
  <r>
    <s v="FLUJO"/>
    <n v="20559743225"/>
    <s v="MOLINOS MAIZAR PERU SAC"/>
    <s v="202508, 202507, 202506, 202505, 202504"/>
    <x v="34"/>
    <n v="718.15"/>
    <s v="OCTUBRE"/>
    <n v="6"/>
  </r>
  <r>
    <s v="FLUJO"/>
    <n v="20601232660"/>
    <s v="CONTRATISTAS Y SERVICIOS HEMA S.R.L."/>
    <s v="202508"/>
    <x v="34"/>
    <n v="365.21999999999997"/>
    <s v="OCTUBRE"/>
    <n v="6"/>
  </r>
  <r>
    <s v="FLUJO"/>
    <n v="20603361904"/>
    <s v="EMPRESA DE TRANSPORTE A.G. PERU S.A.C."/>
    <s v="202508"/>
    <x v="34"/>
    <n v="459.79999999999995"/>
    <s v="OCTUBRE"/>
    <n v="6"/>
  </r>
  <r>
    <s v="FLUJO"/>
    <n v="20608562720"/>
    <s v="AGROINDUSTRIAL AGK TRADING SOCIEDAD ANONIMA CERRADA"/>
    <s v="202508, 202507, 202506, 202505, 202504, 202503, 202502"/>
    <x v="34"/>
    <n v="1737.66"/>
    <s v="OCTUBRE"/>
    <n v="6"/>
  </r>
  <r>
    <s v="FLUJO"/>
    <n v="20610289887"/>
    <s v="ACTION MEDIC S.A.C."/>
    <s v="202508"/>
    <x v="34"/>
    <n v="402.66999999999996"/>
    <s v="OCTUBRE"/>
    <n v="6"/>
  </r>
  <r>
    <s v="FLUJO"/>
    <n v="20611941375"/>
    <s v="ADVICE Y  MANAGEMENT IN CONSULTANCY E.I.R.L."/>
    <s v="202508, 202507, 202506, 202505, 202504, 202503"/>
    <x v="34"/>
    <n v="796.96"/>
    <s v="OCTUBRE"/>
    <n v="6"/>
  </r>
  <r>
    <s v="FLUJO"/>
    <n v="20613337955"/>
    <s v="infinity co Beauty salon sac"/>
    <s v="202508"/>
    <x v="34"/>
    <n v="287.38"/>
    <s v="OCTUBRE"/>
    <n v="6"/>
  </r>
  <r>
    <s v="FLUJO"/>
    <n v="20614312166"/>
    <s v="CONSORCIO PAVIMENTADOR DEL NORTE"/>
    <s v="202508"/>
    <x v="34"/>
    <n v="584.52"/>
    <s v="OCTUBRE"/>
    <n v="6"/>
  </r>
  <r>
    <s v="FLUJO"/>
    <n v="20603316119"/>
    <s v="MSM GENERACION DE DEMANDA S.A.C."/>
    <s v="202507, 202508"/>
    <x v="34"/>
    <n v="1306.6599999999999"/>
    <s v="OCTUBRE"/>
    <n v="6"/>
  </r>
  <r>
    <s v="FLUJO"/>
    <n v="20556100617"/>
    <s v="EMPRESA DE TRANSPORTE MULTISERVICIOS J.P. RACING S.A.C."/>
    <s v="202506, 202507"/>
    <x v="34"/>
    <n v="606.90000000000009"/>
    <s v="OCTUBRE"/>
    <n v="6"/>
  </r>
  <r>
    <s v="FLUJO"/>
    <n v="20612208892"/>
    <s v="CORPORACION AMBIOR E.I.R.L."/>
    <s v="202506, 202508"/>
    <x v="34"/>
    <n v="464.8"/>
    <s v="OCTUBRE"/>
    <n v="6"/>
  </r>
  <r>
    <s v="REAL TOTAL"/>
    <n v="20462256940"/>
    <s v="ASYM INDUSTRIAL S.A.C."/>
    <s v="202503, 202502"/>
    <x v="34"/>
    <n v="2368"/>
    <s v="OCTUBRE"/>
    <n v="6"/>
  </r>
  <r>
    <s v="REAL TOTAL"/>
    <n v="20609241820"/>
    <s v="W VIAL SRL"/>
    <s v="202404"/>
    <x v="34"/>
    <n v="416.28"/>
    <s v="OCTUBRE"/>
    <n v="6"/>
  </r>
  <r>
    <s v="REAL TOTAL"/>
    <n v="20107494848"/>
    <s v="ADMINISTRACION DE SERVICIOS MEDICOS SA"/>
    <s v="200812"/>
    <x v="34"/>
    <n v="80.569999999999993"/>
    <s v="OCTUBRE"/>
    <n v="6"/>
  </r>
  <r>
    <s v="REDIRECCIONAMIENTO"/>
    <n v="20519499780"/>
    <s v=" COPY FAST TECH S.A.C."/>
    <s v="200908, 200909, 200911, 200912, 201001, 201002, 201003, 201005, 201006, 201007, 201008, 201009, 201011, 201012"/>
    <x v="34"/>
    <n v="4455.71"/>
    <s v="OCTUBRE"/>
    <n v="6"/>
  </r>
  <r>
    <s v="FLUJO"/>
    <n v="10104266067"/>
    <s v="HUGO DAVID CALDAS VIA"/>
    <s v="202508, 202507, 202506, 202505, 202504, 202503, 202502"/>
    <x v="35"/>
    <n v="1685.08"/>
    <s v="OCTUBRE"/>
    <n v="7"/>
  </r>
  <r>
    <s v="FLUJO"/>
    <n v="10306553297"/>
    <s v="MAGNOLIA ROSARIO SERRANO ABARCA"/>
    <s v="202508, 202507, 202506, 202505, 202504, 202503"/>
    <x v="35"/>
    <n v="797.34000000000015"/>
    <s v="OCTUBRE"/>
    <n v="7"/>
  </r>
  <r>
    <s v="FLUJO"/>
    <n v="10417328357"/>
    <s v="PAUCAR YALAN JANETH VIRGINIA"/>
    <s v="202508, 202507"/>
    <x v="35"/>
    <n v="366.41"/>
    <s v="OCTUBRE"/>
    <n v="7"/>
  </r>
  <r>
    <s v="FLUJO"/>
    <n v="20498014594"/>
    <s v="HARDWARE AND BUSINESS"/>
    <s v="202508"/>
    <x v="35"/>
    <n v="345.19000000000005"/>
    <s v="OCTUBRE"/>
    <n v="7"/>
  </r>
  <r>
    <s v="FLUJO"/>
    <n v="20510017880"/>
    <s v="EMPRESA DE TRANSPORTES PICKMAN SRL"/>
    <s v="202508, 202507"/>
    <x v="35"/>
    <n v="415.87"/>
    <s v="OCTUBRE"/>
    <n v="7"/>
  </r>
  <r>
    <s v="FLUJO"/>
    <n v="20522270629"/>
    <s v="MAIDO PERU S.A.C."/>
    <s v="202508, 202507, 202506, 202505"/>
    <x v="35"/>
    <n v="526.90000000000009"/>
    <s v="OCTUBRE"/>
    <n v="7"/>
  </r>
  <r>
    <s v="FLUJO"/>
    <n v="20557295730"/>
    <s v="VIGIZA CARGO S A C"/>
    <s v="202508"/>
    <x v="35"/>
    <n v="260.04000000000002"/>
    <s v="OCTUBRE"/>
    <n v="7"/>
  </r>
  <r>
    <s v="FLUJO"/>
    <n v="20602260179"/>
    <s v="LABORATORIO CLINICO RSC SAC."/>
    <s v="202508"/>
    <x v="35"/>
    <n v="244.38"/>
    <s v="OCTUBRE"/>
    <n v="7"/>
  </r>
  <r>
    <s v="FLUJO"/>
    <n v="20602360670"/>
    <s v="HEALTHY CHOCOLATE S.A.C."/>
    <s v="202508, 202507"/>
    <x v="35"/>
    <n v="261.08000000000004"/>
    <s v="OCTUBRE"/>
    <n v="7"/>
  </r>
  <r>
    <s v="FLUJO"/>
    <n v="20605042652"/>
    <s v="CHILIA REPRESENTACIONES ESPINOZA E.I.R.L."/>
    <s v="202508, 202507, 202506"/>
    <x v="35"/>
    <n v="665"/>
    <s v="OCTUBRE"/>
    <n v="7"/>
  </r>
  <r>
    <s v="FLUJO"/>
    <n v="20606523778"/>
    <s v="COLEGIO PRIVADO PABLO NERUDA EIRL"/>
    <s v="202508, 202507"/>
    <x v="35"/>
    <n v="261.08000000000004"/>
    <s v="OCTUBRE"/>
    <n v="7"/>
  </r>
  <r>
    <s v="FLUJO"/>
    <n v="20607411027"/>
    <s v="LAUSTIN S.A.C."/>
    <s v="202508"/>
    <x v="35"/>
    <n v="460.26"/>
    <s v="OCTUBRE"/>
    <n v="7"/>
  </r>
  <r>
    <s v="FLUJO"/>
    <n v="20607589195"/>
    <s v="ESENCIAL ARQUITECTO S.A.C"/>
    <s v="202508"/>
    <x v="35"/>
    <n v="329.43"/>
    <s v="OCTUBRE"/>
    <n v="7"/>
  </r>
  <r>
    <s v="FLUJO"/>
    <n v="20609346907"/>
    <s v="MILAGROS TE ASESORA E.I.R.L."/>
    <s v="202508"/>
    <x v="35"/>
    <n v="230.52"/>
    <s v="OCTUBRE"/>
    <n v="7"/>
  </r>
  <r>
    <s v="FLUJO"/>
    <n v="20611814446"/>
    <s v="COMPAÃ‘IA DE ALIMENTOS JIMENEZ E.I.R.L"/>
    <s v="202508, 202507, 202506"/>
    <x v="35"/>
    <n v="786.81000000000017"/>
    <s v="OCTUBRE"/>
    <n v="7"/>
  </r>
  <r>
    <s v="FLUJO"/>
    <n v="20613483358"/>
    <s v="CONSTRUCMARC EIRL"/>
    <s v="202508"/>
    <x v="35"/>
    <n v="232.84"/>
    <s v="OCTUBRE"/>
    <n v="7"/>
  </r>
  <r>
    <s v="FLUJO"/>
    <n v="20608786342"/>
    <s v="YSELMIX S.A.C."/>
    <s v="202507, 202508, 202506"/>
    <x v="35"/>
    <n v="3226.45"/>
    <s v="OCTUBRE"/>
    <n v="7"/>
  </r>
  <r>
    <s v="FLUJO"/>
    <n v="20606480513"/>
    <s v="MERCELAB FARMA S.A.C."/>
    <s v="202506, 202505"/>
    <x v="35"/>
    <n v="282.28999999999996"/>
    <s v="OCTUBRE"/>
    <n v="7"/>
  </r>
  <r>
    <s v="FLUJO"/>
    <n v="20609540754"/>
    <s v="TIPROC TECNOLOGIA Y PROCESOS E.I.R.L."/>
    <s v="202506"/>
    <x v="35"/>
    <n v="264.67"/>
    <s v="OCTUBRE"/>
    <n v="7"/>
  </r>
  <r>
    <s v="PRESUNTA"/>
    <n v="20481285306"/>
    <s v="GLOBAL TRANS SAC"/>
    <s v="202508"/>
    <x v="35"/>
    <n v="393.77000000000004"/>
    <s v="OCTUBRE"/>
    <n v="7"/>
  </r>
  <r>
    <s v="REAL TOTAL"/>
    <n v="20601071232"/>
    <s v="NANOTECHNOLOGY SAC"/>
    <s v="202412, 202411, 202410, 202212"/>
    <x v="35"/>
    <n v="1220.1100000000001"/>
    <s v="OCTUBRE"/>
    <n v="7"/>
  </r>
  <r>
    <s v="REAL TOTAL"/>
    <n v="10724820226"/>
    <s v="FAYA ASCENCIO MARIA EUGENIA"/>
    <s v="202003"/>
    <x v="35"/>
    <n v="9.32"/>
    <s v="OCTUBRE"/>
    <n v="7"/>
  </r>
  <r>
    <s v="REAL TOTAL"/>
    <n v="20267366412"/>
    <s v="K Y K TRADING EIRL"/>
    <s v="200201, 200111, 200110, 200109, 200108, 200106"/>
    <x v="35"/>
    <n v="576.91000000000008"/>
    <s v="OCTUBRE"/>
    <n v="7"/>
  </r>
  <r>
    <s v="REDIRECCIONAMIENTO"/>
    <n v="20544273443"/>
    <s v="CORPORACION EBRO ANDES DE INVERSION S.A.C"/>
    <s v="201410, 201411, 201412, 201502, 201503, 201504, 201505, 201506, 201508, 201509, 201510, 201511, 201512"/>
    <x v="35"/>
    <n v="2843.47"/>
    <s v="OCTUBRE"/>
    <n v="7"/>
  </r>
  <r>
    <s v="REDIRECCIONAMIENTO"/>
    <n v="20555887672"/>
    <s v="EL AUTENTICO SABOR TRUJILLANO S.A.C."/>
    <s v="201403, 201404, 201405, 201406, 201407, 201409, 201410, 201411, 201412, 201501, 201503, 201504, 201505, 201506, 201507, 201509, 201510, 201511, 201512, 201601"/>
    <x v="35"/>
    <n v="4015.7500000000009"/>
    <s v="OCTUBRE"/>
    <n v="7"/>
  </r>
  <r>
    <s v="REDIRECCIONAMIENTO"/>
    <n v="20527601356"/>
    <s v="BELEN DISTRIBUCIONES EMPRESA INDIVIDUAL DE RESPONSABILIDAD LIMITADA"/>
    <s v="201010, 201011, 201101, 201102, 201103, 201104, 201105, 201107, 201108, 201109, 201110, 201111, 201201, 201202, 201203, 201204"/>
    <x v="35"/>
    <n v="4709.9699999999993"/>
    <s v="OCTUBRE"/>
    <n v="7"/>
  </r>
  <r>
    <s v="FLUJO"/>
    <n v="10094187597"/>
    <s v="PEPE PAULINO CARPIO ALE"/>
    <s v="202508"/>
    <x v="36"/>
    <n v="278.05"/>
    <s v="OCTUBRE"/>
    <n v="8"/>
  </r>
  <r>
    <s v="FLUJO"/>
    <n v="10295907024"/>
    <s v="Augusto Sebastian Quiroz Loza"/>
    <s v="202508"/>
    <x v="36"/>
    <n v="316.39"/>
    <s v="OCTUBRE"/>
    <n v="8"/>
  </r>
  <r>
    <s v="FLUJO"/>
    <n v="10478151344"/>
    <s v="VELASQUEZ LORENZO JESUS ABEL"/>
    <s v="202508, 202507"/>
    <x v="36"/>
    <n v="300.35000000000002"/>
    <s v="OCTUBRE"/>
    <n v="8"/>
  </r>
  <r>
    <s v="FLUJO"/>
    <n v="20440328726"/>
    <s v="VIMAPE SAC"/>
    <s v="202508"/>
    <x v="36"/>
    <n v="260.04000000000002"/>
    <s v="OCTUBRE"/>
    <n v="8"/>
  </r>
  <r>
    <s v="FLUJO"/>
    <n v="20518875061"/>
    <s v="LUSATEX E.I.R.L."/>
    <s v="202508"/>
    <x v="36"/>
    <n v="390.07"/>
    <s v="OCTUBRE"/>
    <n v="8"/>
  </r>
  <r>
    <s v="FLUJO"/>
    <n v="20536670158"/>
    <s v="LA ESTRELLA TRADING Y LOGISTICA SAC"/>
    <s v="202508"/>
    <x v="36"/>
    <n v="488.21999999999997"/>
    <s v="OCTUBRE"/>
    <n v="8"/>
  </r>
  <r>
    <s v="FLUJO"/>
    <n v="20563643740"/>
    <s v="JUUNTA DE PROPIETARIOS EDIFICIO RESIDENCIAL BONAVISTA"/>
    <s v="202508, 202507"/>
    <x v="36"/>
    <n v="1021.0999999999999"/>
    <s v="OCTUBRE"/>
    <n v="8"/>
  </r>
  <r>
    <s v="FLUJO"/>
    <n v="20565971744"/>
    <s v="PROYECTOS Y DISEÃ‘OS EN INGENIERIA PERU S.A.C."/>
    <s v="202508, 202507, 202506, 202505, 202504, 202503, 202502, 202501, 202412"/>
    <x v="36"/>
    <n v="3160.29"/>
    <s v="OCTUBRE"/>
    <n v="8"/>
  </r>
  <r>
    <s v="FLUJO"/>
    <n v="20600535171"/>
    <s v="MULTISERVICIOS DENTAL MEDIC S.R.L"/>
    <s v="202508, 202507, 202506"/>
    <x v="36"/>
    <n v="522.23"/>
    <s v="OCTUBRE"/>
    <n v="8"/>
  </r>
  <r>
    <s v="FLUJO"/>
    <n v="20601439051"/>
    <s v="LINGYANG SAC"/>
    <s v="202508"/>
    <x v="36"/>
    <n v="260.04000000000002"/>
    <s v="OCTUBRE"/>
    <n v="8"/>
  </r>
  <r>
    <s v="FLUJO"/>
    <n v="20601497060"/>
    <s v="TRANSPORTES MINEROS ANDINOS S.A.C"/>
    <s v="202508, 202507"/>
    <x v="36"/>
    <n v="261.08000000000004"/>
    <s v="OCTUBRE"/>
    <n v="8"/>
  </r>
  <r>
    <s v="FLUJO"/>
    <n v="20602121501"/>
    <s v="SERVIMAX Y PETROLEOS E.I.R.L."/>
    <s v="202508"/>
    <x v="36"/>
    <n v="345.19000000000005"/>
    <s v="OCTUBRE"/>
    <n v="8"/>
  </r>
  <r>
    <s v="FLUJO"/>
    <n v="20602460712"/>
    <s v="COBERTURAS DEL NORTE SRL"/>
    <s v="202508"/>
    <x v="36"/>
    <n v="366.32"/>
    <s v="OCTUBRE"/>
    <n v="8"/>
  </r>
  <r>
    <s v="FLUJO"/>
    <n v="20602550291"/>
    <s v="VITAL ALIMENTACION SAC"/>
    <s v="202508"/>
    <x v="36"/>
    <n v="672.48"/>
    <s v="OCTUBRE"/>
    <n v="8"/>
  </r>
  <r>
    <s v="FLUJO"/>
    <n v="20603995938"/>
    <s v="RCA CONSULTORES Y ASESORES EMPRESARIALES SAC"/>
    <s v="202508, 202507"/>
    <x v="36"/>
    <n v="261.08000000000004"/>
    <s v="OCTUBRE"/>
    <n v="8"/>
  </r>
  <r>
    <s v="FLUJO"/>
    <n v="20604512442"/>
    <s v="PROCESADORA TUEROS S.A.C"/>
    <s v="202508, 202507"/>
    <x v="36"/>
    <n v="261.08000000000004"/>
    <s v="OCTUBRE"/>
    <n v="8"/>
  </r>
  <r>
    <s v="FLUJO"/>
    <n v="20605398228"/>
    <s v="MAREAL CORPORACION SOCIEDAD ANONIMA CERRADA"/>
    <s v="202508"/>
    <x v="36"/>
    <n v="629.98"/>
    <s v="OCTUBRE"/>
    <n v="8"/>
  </r>
  <r>
    <s v="FLUJO"/>
    <n v="20609429497"/>
    <s v="PROCESADORA CENTRAL DE CHOCOLATES DEL PERU SAC"/>
    <s v="202508"/>
    <x v="36"/>
    <n v="242.48"/>
    <s v="OCTUBRE"/>
    <n v="8"/>
  </r>
  <r>
    <s v="FLUJO"/>
    <n v="20612069787"/>
    <s v="HUAROCHIRI MEDIC E.I.R.L."/>
    <s v="202508, 202507, 202506"/>
    <x v="36"/>
    <n v="840.09999999999991"/>
    <s v="OCTUBRE"/>
    <n v="8"/>
  </r>
  <r>
    <s v="FLUJO"/>
    <n v="20613086430"/>
    <s v="CONSORCIO NUEVA JERUSALEN 24"/>
    <s v="202508"/>
    <x v="36"/>
    <n v="227.54000000000002"/>
    <s v="OCTUBRE"/>
    <n v="8"/>
  </r>
  <r>
    <s v="FLUJO"/>
    <n v="20613429302"/>
    <s v="MARSA MOTORS SAC"/>
    <s v="202508"/>
    <x v="36"/>
    <n v="207.12"/>
    <s v="OCTUBRE"/>
    <n v="8"/>
  </r>
  <r>
    <s v="FLUJO"/>
    <n v="20613732897"/>
    <s v="SMART KIDS GLOBAL E.I.R.L."/>
    <s v="202508, 202507, 202506, 202505"/>
    <x v="36"/>
    <n v="553.02"/>
    <s v="OCTUBRE"/>
    <n v="8"/>
  </r>
  <r>
    <s v="FLUJO"/>
    <n v="20512535748"/>
    <s v="CORPORACION PERUANA GLOBAL SAC"/>
    <s v="202507"/>
    <x v="36"/>
    <n v="533.48"/>
    <s v="OCTUBRE"/>
    <n v="8"/>
  </r>
  <r>
    <s v="FLUJO"/>
    <n v="20539886283"/>
    <s v="INVERSIONES Y NEGOCIOS BRICK S.A.C."/>
    <s v="202507"/>
    <x v="36"/>
    <n v="1264.3499999999999"/>
    <s v="OCTUBRE"/>
    <n v="8"/>
  </r>
  <r>
    <s v="FLUJO"/>
    <n v="20607643416"/>
    <s v="CONSTRUCTORA  INMOBILIARIA NAVARRO E.I.R.L."/>
    <s v="202507"/>
    <x v="36"/>
    <n v="231.95"/>
    <s v="OCTUBRE"/>
    <n v="8"/>
  </r>
  <r>
    <s v="FLUJO"/>
    <n v="20614016974"/>
    <s v="SERVICIOS GENERALES DE REFRIGERACIÃ“N INDUSTRIAL SAC"/>
    <s v="202507"/>
    <x v="36"/>
    <n v="514.63"/>
    <s v="OCTUBRE"/>
    <n v="8"/>
  </r>
  <r>
    <s v="FLUJO"/>
    <n v="20608853830"/>
    <s v="ELECSERTING S.R.L."/>
    <s v="202505, 202504, 202503, 202508, 202507, 202506"/>
    <x v="36"/>
    <n v="797.47000000000014"/>
    <s v="OCTUBRE"/>
    <n v="8"/>
  </r>
  <r>
    <s v="FLUJO"/>
    <n v="20611476559"/>
    <s v="PANTERA FITNESS GROUP S.A.C."/>
    <s v="202505, 202506, 202507, 202508"/>
    <x v="36"/>
    <n v="1039.29"/>
    <s v="OCTUBRE"/>
    <n v="8"/>
  </r>
  <r>
    <s v="PRESUNTA"/>
    <n v="20516378876"/>
    <s v="ALGARROBOS ORGANICOS DEL PERU SAC"/>
    <s v="202508"/>
    <x v="36"/>
    <n v="3477.41"/>
    <s v="OCTUBRE"/>
    <n v="8"/>
  </r>
  <r>
    <s v="PRESUNTA"/>
    <n v="20604712310"/>
    <s v="SOLUCIONES DENTO GENERALES S.A.C."/>
    <s v="202508"/>
    <x v="36"/>
    <n v="170.42000000000002"/>
    <s v="OCTUBRE"/>
    <n v="8"/>
  </r>
  <r>
    <s v="PRESUNTA"/>
    <n v="20606861801"/>
    <s v="FLORERIAS FLORES Y DETALLES S.A.C."/>
    <s v="202504"/>
    <x v="36"/>
    <n v="134.63999999999999"/>
    <s v="OCTUBRE"/>
    <n v="8"/>
  </r>
  <r>
    <s v="REAL TOTAL"/>
    <n v="20613645897"/>
    <s v="CONSORCIO VIAL BRM"/>
    <s v="202503"/>
    <x v="36"/>
    <n v="1120.7"/>
    <s v="OCTUBRE"/>
    <n v="8"/>
  </r>
  <r>
    <s v="REAL TOTAL"/>
    <n v="20601789087"/>
    <s v="REPRESENTACIONES QBAS LU S.A.C."/>
    <s v="202104, 202103, 202102, 202101, 202012"/>
    <x v="36"/>
    <n v="829.07999999999993"/>
    <s v="OCTUBRE"/>
    <n v="8"/>
  </r>
  <r>
    <s v="REAL TOTAL"/>
    <n v="20455594911"/>
    <s v="segurinport srl"/>
    <s v="202003, 202002"/>
    <x v="36"/>
    <n v="347.86"/>
    <s v="OCTUBRE"/>
    <n v="8"/>
  </r>
  <r>
    <s v="REAL TOTAL"/>
    <n v="10211417779"/>
    <s v="DELFA AMALIA VALERA DAZA"/>
    <s v="201903"/>
    <x v="36"/>
    <n v="209.46"/>
    <s v="OCTUBRE"/>
    <n v="8"/>
  </r>
  <r>
    <s v="REAL TOTAL"/>
    <n v="20100574773"/>
    <s v="America International Tours SA"/>
    <s v="201807, 201806, 201805"/>
    <x v="36"/>
    <n v="860.64"/>
    <s v="OCTUBRE"/>
    <n v="8"/>
  </r>
  <r>
    <s v="REAL TOTAL"/>
    <n v="20481171807"/>
    <s v="INMOBILIARIA CASAS Y CONSTRUCCIONES SAC"/>
    <s v="201206"/>
    <x v="36"/>
    <n v="846.1"/>
    <s v="OCTUBRE"/>
    <n v="8"/>
  </r>
  <r>
    <s v="REAL TOTAL"/>
    <n v="20493824563"/>
    <s v="MyL DISTRIBUIDORA EIRL"/>
    <s v="201008"/>
    <x v="36"/>
    <n v="48.97"/>
    <s v="OCTUBRE"/>
    <n v="8"/>
  </r>
  <r>
    <s v="REAL TOTAL"/>
    <n v="20505434804"/>
    <s v="CEVA SALUD ANIMAL SAC"/>
    <s v="200912"/>
    <x v="36"/>
    <n v="233.22"/>
    <s v="OCTUBRE"/>
    <n v="8"/>
  </r>
  <r>
    <s v="REDIRECCIONAMIENTO"/>
    <n v="20534144602"/>
    <s v="RSC MULTISERVICIOS S.A.C."/>
    <s v="201408, 201409, 201407"/>
    <x v="36"/>
    <n v="1987.99"/>
    <s v="OCTUBRE"/>
    <n v="8"/>
  </r>
  <r>
    <s v="FLUJO"/>
    <n v="10107087881"/>
    <s v="GONZALES DIAZ CAROLA BEATRIZ"/>
    <s v="202508, 202507"/>
    <x v="37"/>
    <n v="261.21000000000004"/>
    <s v="OCTUBRE"/>
    <n v="9"/>
  </r>
  <r>
    <s v="FLUJO"/>
    <n v="10475062197"/>
    <s v="CRISTHIAN DAVID LEYVA ZULOETA"/>
    <s v="202508, 202507, 202506, 202505, 202504, 202503, 202502"/>
    <x v="37"/>
    <n v="934.82"/>
    <s v="OCTUBRE"/>
    <n v="9"/>
  </r>
  <r>
    <s v="FLUJO"/>
    <n v="20450604381"/>
    <s v="CORPORACION LUOSEM CONSULTORES Y EJECUTORES S.R.L."/>
    <s v="202508, 202507, 202506, 202505"/>
    <x v="37"/>
    <n v="480.5"/>
    <s v="OCTUBRE"/>
    <n v="9"/>
  </r>
  <r>
    <s v="FLUJO"/>
    <n v="20503405629"/>
    <s v="INVERSIONES AMPSOES SA"/>
    <s v="202508, 202507, 202506"/>
    <x v="37"/>
    <n v="557.41"/>
    <s v="OCTUBRE"/>
    <n v="9"/>
  </r>
  <r>
    <s v="FLUJO"/>
    <n v="20539134150"/>
    <s v="ENVASES SAN NICOLAS SAC"/>
    <s v="202508"/>
    <x v="37"/>
    <n v="401.87"/>
    <s v="OCTUBRE"/>
    <n v="9"/>
  </r>
  <r>
    <s v="FLUJO"/>
    <n v="20542850940"/>
    <s v="M &amp; Y SERVICONT SCRL"/>
    <s v="202508, 202507, 202506"/>
    <x v="37"/>
    <n v="658.51"/>
    <s v="OCTUBRE"/>
    <n v="9"/>
  </r>
  <r>
    <s v="FLUJO"/>
    <n v="20600495331"/>
    <s v="M Y M MEDICAL SAC"/>
    <s v="202508, 202507, 202506, 202505, 202504"/>
    <x v="37"/>
    <n v="756.12"/>
    <s v="OCTUBRE"/>
    <n v="9"/>
  </r>
  <r>
    <s v="FLUJO"/>
    <n v="20601176646"/>
    <s v="GRUPO SQI CONSTRUCTORA E INMOBILIARIA SAC"/>
    <s v="202508"/>
    <x v="37"/>
    <n v="530.03"/>
    <s v="OCTUBRE"/>
    <n v="9"/>
  </r>
  <r>
    <s v="FLUJO"/>
    <n v="20601640156"/>
    <s v="ACABADOS GRANIRUMI S.A.C."/>
    <s v="202508, 202507"/>
    <x v="37"/>
    <n v="261.21000000000004"/>
    <s v="OCTUBRE"/>
    <n v="9"/>
  </r>
  <r>
    <s v="FLUJO"/>
    <n v="20601820049"/>
    <s v="COPELSUR SAC"/>
    <s v="202508, 202507, 202506, 202505, 202504, 202503"/>
    <x v="37"/>
    <n v="2235.02"/>
    <s v="OCTUBRE"/>
    <n v="9"/>
  </r>
  <r>
    <s v="FLUJO"/>
    <n v="20602241069"/>
    <s v="GAES REPRESENTACIONES E.I.R.L."/>
    <s v="202508"/>
    <x v="37"/>
    <n v="923.69"/>
    <s v="OCTUBRE"/>
    <n v="9"/>
  </r>
  <r>
    <s v="FLUJO"/>
    <n v="20602411070"/>
    <s v="FIBER BUSINESS SAC"/>
    <s v="202508"/>
    <x v="37"/>
    <n v="287.65999999999997"/>
    <s v="OCTUBRE"/>
    <n v="9"/>
  </r>
  <r>
    <s v="FLUJO"/>
    <n v="20602780890"/>
    <s v="MERCALIZ CORPORATION SAC"/>
    <s v="202508, 202507, 202506, 202505"/>
    <x v="37"/>
    <n v="2332.56"/>
    <s v="OCTUBRE"/>
    <n v="9"/>
  </r>
  <r>
    <s v="FLUJO"/>
    <n v="20606092050"/>
    <s v="FUJI ELEVATOR TECHNOLOGY E.I.R.L."/>
    <s v="202508"/>
    <x v="37"/>
    <n v="289.15999999999997"/>
    <s v="OCTUBRE"/>
    <n v="9"/>
  </r>
  <r>
    <s v="FLUJO"/>
    <n v="20606134577"/>
    <s v="CORPORACION EOSUR E.I.R.L."/>
    <s v="202508, 202507"/>
    <x v="37"/>
    <n v="693.45"/>
    <s v="OCTUBRE"/>
    <n v="9"/>
  </r>
  <r>
    <s v="FLUJO"/>
    <n v="20610213091"/>
    <s v="MERCALIZ INVERSIONES S.A.C"/>
    <s v="202508, 202507, 202506, 202505"/>
    <x v="37"/>
    <n v="2332.56"/>
    <s v="OCTUBRE"/>
    <n v="9"/>
  </r>
  <r>
    <s v="FLUJO"/>
    <n v="20613275747"/>
    <s v="ALTARIA INFRAESTRUCTURA S.A.C."/>
    <s v="202508"/>
    <x v="37"/>
    <n v="417.69"/>
    <s v="OCTUBRE"/>
    <n v="9"/>
  </r>
  <r>
    <s v="FLUJO"/>
    <n v="20613618733"/>
    <s v="CONSORCIO PUENTE MIRAFLORES"/>
    <s v="202508, 202507, 202506"/>
    <x v="37"/>
    <n v="694.43999999999994"/>
    <s v="OCTUBRE"/>
    <n v="9"/>
  </r>
  <r>
    <s v="FLUJO"/>
    <n v="20614396173"/>
    <s v="LOGISTICA Y TRANSPORTE MV E.I.R.L."/>
    <s v="202508"/>
    <x v="37"/>
    <n v="316.43"/>
    <s v="OCTUBRE"/>
    <n v="9"/>
  </r>
  <r>
    <s v="FLUJO"/>
    <n v="20544680677"/>
    <s v="PLANET CONSULTORES EIRL"/>
    <s v="202507"/>
    <x v="37"/>
    <n v="479.44"/>
    <s v="OCTUBRE"/>
    <n v="9"/>
  </r>
  <r>
    <s v="FLUJO"/>
    <n v="20606552191"/>
    <s v="DISTRIBUIDORA DEL PACIFICO DEL PERU SAC"/>
    <s v="202507, 202506, 202505, 202508"/>
    <x v="37"/>
    <n v="639.43000000000006"/>
    <s v="OCTUBRE"/>
    <n v="9"/>
  </r>
  <r>
    <s v="FLUJO"/>
    <n v="20607453757"/>
    <s v="CONSTRUCTORA  CONSULTORIA CUEVA S.A.C."/>
    <s v="202507, 202508"/>
    <x v="37"/>
    <n v="462.76"/>
    <s v="OCTUBRE"/>
    <n v="9"/>
  </r>
  <r>
    <s v="FLUJO"/>
    <n v="20608066315"/>
    <s v="ACC Y TECNOLOGIA S.A.C"/>
    <s v="202507, 202504, 202503, 202502, 202501, 202412, 202410, 202409, 202408, 202407, 202406, 202405, 202404, 202403"/>
    <x v="37"/>
    <n v="6216.8599999999988"/>
    <s v="OCTUBRE"/>
    <n v="9"/>
  </r>
  <r>
    <s v="FLUJO"/>
    <n v="20481599742"/>
    <s v="CONSTRUCCIONES Y NEGOCIOS DEL NORTE S.A.C."/>
    <s v="202506"/>
    <x v="37"/>
    <n v="169.82"/>
    <s v="OCTUBRE"/>
    <n v="9"/>
  </r>
  <r>
    <s v="FLUJO"/>
    <n v="20606424125"/>
    <s v="LMT INVERSIONES S.A.C."/>
    <s v="202506, 202505, 202504, 202508, 202507"/>
    <x v="37"/>
    <n v="662.18000000000006"/>
    <s v="OCTUBRE"/>
    <n v="9"/>
  </r>
  <r>
    <s v="FLUJO"/>
    <n v="20601628687"/>
    <s v="EXPORTABLES SAC"/>
    <s v="202505, 202504, 202503"/>
    <x v="37"/>
    <n v="1999.4099999999999"/>
    <s v="OCTUBRE"/>
    <n v="9"/>
  </r>
  <r>
    <s v="FLUJO"/>
    <n v="10731080441"/>
    <s v="jean carlo brian dominguez del castillo"/>
    <s v="202405"/>
    <x v="37"/>
    <n v="137.68"/>
    <s v="OCTUBRE"/>
    <n v="9"/>
  </r>
  <r>
    <s v="PRESUNTA"/>
    <n v="20481851182"/>
    <s v="transportes de agregados romero srl"/>
    <s v="202508, 202507"/>
    <x v="37"/>
    <n v="369.84000000000003"/>
    <s v="OCTUBRE"/>
    <n v="9"/>
  </r>
  <r>
    <s v="PRESUNTA"/>
    <n v="20611468823"/>
    <s v="OPERCOM LOGISTICA GLOBAL E.I.R.L."/>
    <s v="202508, 202507, 202506"/>
    <x v="37"/>
    <n v="393.54000000000008"/>
    <s v="OCTUBRE"/>
    <n v="9"/>
  </r>
  <r>
    <s v="PRESUNTA"/>
    <n v="20601965756"/>
    <s v="CORPORACION FREDERICK W TAYLOR SAC"/>
    <s v="202505, 202504"/>
    <x v="37"/>
    <n v="574.28"/>
    <s v="OCTUBRE"/>
    <n v="9"/>
  </r>
  <r>
    <s v="REAL TOTAL"/>
    <n v="20601293430"/>
    <s v="NEGOCIOS WILLY LLANOS SAC"/>
    <s v="202503"/>
    <x v="37"/>
    <n v="164.67"/>
    <s v="OCTUBRE"/>
    <n v="9"/>
  </r>
  <r>
    <s v="REAL TOTAL"/>
    <n v="10092345594"/>
    <s v="ERIQUE GUTIERREZ CARLOS JULIO"/>
    <s v="202412, 202304"/>
    <x v="37"/>
    <n v="284"/>
    <s v="OCTUBRE"/>
    <n v="9"/>
  </r>
  <r>
    <s v="REAL TOTAL"/>
    <n v="20491191270"/>
    <s v="TRANSPORTES AMAYCCASA EIRL"/>
    <s v="202007"/>
    <x v="37"/>
    <n v="363.43"/>
    <s v="OCTUBRE"/>
    <n v="9"/>
  </r>
  <r>
    <s v="REDIRECCIONAMIENTO"/>
    <n v="20477349243"/>
    <s v="FORESTALES DAXSA S.A.C."/>
    <s v="201201, 201202, 201203, 201204, 201206, 201207, 201208, 201209, 201210, 201212, 201301, 201302, 201303, 201304, 201305"/>
    <x v="37"/>
    <n v="19529.679999999993"/>
    <s v="OCTUBRE"/>
    <n v="9"/>
  </r>
  <r>
    <s v="REDIRECCIONAMIENTO"/>
    <n v="20477349243"/>
    <s v="FORESTALES DAXSA E.I.R.L."/>
    <m/>
    <x v="37"/>
    <n v="438.40499999999997"/>
    <s v="NOVIEMBRE"/>
    <n v="9"/>
  </r>
  <r>
    <s v="REDIRECCIONAMIENTO"/>
    <n v="20477349243"/>
    <s v="FORESTALES DAXSA E.I.R.L."/>
    <m/>
    <x v="37"/>
    <n v="438.40499999999997"/>
    <s v="NOVIEMBRE"/>
    <n v="9"/>
  </r>
  <r>
    <s v="REDIRECCIONAMIENTO"/>
    <n v="20477349243"/>
    <s v="FORESTALES DAXSA E.I.R.L."/>
    <m/>
    <x v="37"/>
    <n v="432.27499999999998"/>
    <s v="NOVIEMBRE"/>
    <n v="9"/>
  </r>
  <r>
    <s v="REDIRECCIONAMIENTO"/>
    <n v="20477349243"/>
    <s v="FORESTALES DAXSA E.I.R.L."/>
    <m/>
    <x v="37"/>
    <n v="432.27499999999998"/>
    <s v="NOVIEMBRE"/>
    <n v="9"/>
  </r>
  <r>
    <s v="REDIRECCIONAMIENTO"/>
    <n v="20477349243"/>
    <s v="FORESTALES DAXSA E.I.R.L."/>
    <m/>
    <x v="37"/>
    <n v="425.88499999999999"/>
    <s v="NOVIEMBRE"/>
    <n v="9"/>
  </r>
  <r>
    <s v="REDIRECCIONAMIENTO"/>
    <n v="20477349243"/>
    <s v="FORESTALES DAXSA E.I.R.L."/>
    <m/>
    <x v="37"/>
    <n v="425.88499999999999"/>
    <s v="NOVIEMBRE"/>
    <n v="9"/>
  </r>
  <r>
    <s v="REDIRECCIONAMIENTO"/>
    <n v="20477349243"/>
    <s v="FORESTALES DAXSA E.I.R.L."/>
    <m/>
    <x v="37"/>
    <n v="419.89"/>
    <s v="NOVIEMBRE"/>
    <n v="9"/>
  </r>
  <r>
    <s v="REDIRECCIONAMIENTO"/>
    <n v="20477349243"/>
    <s v="FORESTALES DAXSA E.I.R.L."/>
    <m/>
    <x v="37"/>
    <n v="419.89"/>
    <s v="NOVIEMBRE"/>
    <n v="9"/>
  </r>
  <r>
    <s v="REDIRECCIONAMIENTO"/>
    <n v="20477349243"/>
    <s v="FORESTALES DAXSA E.I.R.L."/>
    <m/>
    <x v="37"/>
    <n v="407.76"/>
    <s v="NOVIEMBRE"/>
    <n v="9"/>
  </r>
  <r>
    <s v="REDIRECCIONAMIENTO"/>
    <n v="20477349243"/>
    <s v="FORESTALES DAXSA E.I.R.L."/>
    <m/>
    <x v="37"/>
    <n v="401.76"/>
    <s v="NOVIEMBRE"/>
    <n v="9"/>
  </r>
  <r>
    <s v="REDIRECCIONAMIENTO"/>
    <n v="20477349243"/>
    <s v="FORESTALES DAXSA E.I.R.L."/>
    <m/>
    <x v="37"/>
    <n v="401.76"/>
    <s v="NOVIEMBRE"/>
    <n v="9"/>
  </r>
  <r>
    <s v="REDIRECCIONAMIENTO"/>
    <n v="20477349243"/>
    <s v="FORESTALES DAXSA E.I.R.L."/>
    <m/>
    <x v="37"/>
    <n v="395.76499999999999"/>
    <s v="NOVIEMBRE"/>
    <n v="9"/>
  </r>
  <r>
    <s v="REDIRECCIONAMIENTO"/>
    <n v="20477349243"/>
    <s v="FORESTALES DAXSA E.I.R.L."/>
    <m/>
    <x v="37"/>
    <n v="395.76499999999999"/>
    <s v="NOVIEMBRE"/>
    <n v="9"/>
  </r>
  <r>
    <s v="REDIRECCIONAMIENTO"/>
    <n v="20477349243"/>
    <s v="FORESTALES DAXSA E.I.R.L."/>
    <m/>
    <x v="37"/>
    <n v="390.15499999999997"/>
    <s v="NOVIEMBRE"/>
    <n v="9"/>
  </r>
  <r>
    <s v="REDIRECCIONAMIENTO"/>
    <n v="20477349243"/>
    <s v="FORESTALES DAXSA E.I.R.L."/>
    <m/>
    <x v="37"/>
    <n v="390.15499999999997"/>
    <s v="NOVIEMBRE"/>
    <n v="9"/>
  </r>
  <r>
    <s v="REDIRECCIONAMIENTO"/>
    <n v="20477349243"/>
    <s v="FORESTALES DAXSA E.I.R.L."/>
    <m/>
    <x v="37"/>
    <n v="379.995"/>
    <s v="NOVIEMBRE"/>
    <n v="9"/>
  </r>
  <r>
    <s v="REDIRECCIONAMIENTO"/>
    <n v="20477349243"/>
    <s v="FORESTALES DAXSA E.I.R.L."/>
    <m/>
    <x v="37"/>
    <n v="379.995"/>
    <s v="NOVIEMBRE"/>
    <n v="9"/>
  </r>
  <r>
    <s v="REDIRECCIONAMIENTO"/>
    <n v="20477349243"/>
    <s v="FORESTALES DAXSA E.I.R.L."/>
    <m/>
    <x v="37"/>
    <n v="738.08"/>
    <s v="NOVIEMBRE"/>
    <n v="9"/>
  </r>
  <r>
    <s v="REDIRECCIONAMIENTO"/>
    <n v="20477349243"/>
    <s v="FORESTALES DAXSA E.I.R.L."/>
    <m/>
    <x v="37"/>
    <n v="363.78"/>
    <s v="NOVIEMBRE"/>
    <n v="9"/>
  </r>
  <r>
    <s v="REDIRECCIONAMIENTO"/>
    <n v="20477349243"/>
    <s v="FORESTALES DAXSA E.I.R.L."/>
    <m/>
    <x v="37"/>
    <n v="363.78"/>
    <s v="NOVIEMBRE"/>
    <n v="9"/>
  </r>
  <r>
    <s v="REDIRECCIONAMIENTO"/>
    <n v="20477349243"/>
    <s v="FORESTALES DAXSA E.I.R.L."/>
    <m/>
    <x v="37"/>
    <n v="359.005"/>
    <s v="NOVIEMBRE"/>
    <n v="9"/>
  </r>
  <r>
    <s v="REDIRECCIONAMIENTO"/>
    <n v="20477349243"/>
    <s v="FORESTALES DAXSA E.I.R.L."/>
    <m/>
    <x v="37"/>
    <n v="359.005"/>
    <s v="NOVIEMBRE"/>
    <n v="9"/>
  </r>
  <r>
    <s v="REDIRECCIONAMIENTO"/>
    <n v="20477349243"/>
    <s v="FORESTALES DAXSA E.I.R.L."/>
    <m/>
    <x v="37"/>
    <n v="353.72"/>
    <s v="NOVIEMBRE"/>
    <n v="9"/>
  </r>
  <r>
    <s v="REDIRECCIONAMIENTO"/>
    <n v="20477349243"/>
    <s v="FORESTALES DAXSA E.I.R.L."/>
    <m/>
    <x v="37"/>
    <n v="353.72"/>
    <s v="NOVIEMBRE"/>
    <n v="9"/>
  </r>
  <r>
    <s v="REDIRECCIONAMIENTO"/>
    <n v="20477349243"/>
    <s v="FORESTALES DAXSA E.I.R.L."/>
    <m/>
    <x v="37"/>
    <n v="348.56"/>
    <s v="NOVIEMBRE"/>
    <n v="9"/>
  </r>
  <r>
    <s v="REDIRECCIONAMIENTO"/>
    <n v="20477349243"/>
    <s v="FORESTALES DAXSA E.I.R.L."/>
    <m/>
    <x v="37"/>
    <n v="348.56"/>
    <s v="NOVIEMBRE"/>
    <n v="9"/>
  </r>
  <r>
    <s v="REDIRECCIONAMIENTO"/>
    <n v="20477349243"/>
    <s v="FORESTALES DAXSA E.I.R.L."/>
    <m/>
    <x v="37"/>
    <n v="343.53"/>
    <s v="NOVIEMBRE"/>
    <n v="9"/>
  </r>
  <r>
    <s v="FLUJO"/>
    <n v="10257347392"/>
    <s v="JACINTO PURIZACA MARTHA CRUZ"/>
    <s v="202508, 202507"/>
    <x v="38"/>
    <n v="287.47000000000003"/>
    <s v="OCTUBRE"/>
    <n v="10"/>
  </r>
  <r>
    <s v="FLUJO"/>
    <n v="10433841391"/>
    <s v="MARIN DUEÃ‘AS MARIA ANGELICA"/>
    <s v="202508, 202507"/>
    <x v="38"/>
    <n v="229.84"/>
    <s v="OCTUBRE"/>
    <n v="10"/>
  </r>
  <r>
    <s v="FLUJO"/>
    <n v="20456170502"/>
    <s v="EMPRESA CONSTRUCTORA CAMILA E.I.R.L."/>
    <s v="202508, 202507"/>
    <x v="38"/>
    <n v="261.33000000000004"/>
    <s v="OCTUBRE"/>
    <n v="10"/>
  </r>
  <r>
    <s v="FLUJO"/>
    <n v="20495680968"/>
    <s v="CASTAÃ‘EDA Y CASTAÃ‘EDA EIRL"/>
    <s v="202508, 202507, 202506, 202505, 202504, 202503"/>
    <x v="38"/>
    <n v="1631.6100000000001"/>
    <s v="OCTUBRE"/>
    <n v="10"/>
  </r>
  <r>
    <s v="FLUJO"/>
    <n v="20512458735"/>
    <s v="SERVICIOS ELECTROMEC INDUSTRIALES Y PROYECTOS EN GRAL EIRL"/>
    <s v="202508"/>
    <x v="38"/>
    <n v="230.35999999999999"/>
    <s v="OCTUBRE"/>
    <n v="10"/>
  </r>
  <r>
    <s v="FLUJO"/>
    <n v="20522531368"/>
    <s v="IMPORTACIONES TAIZ SAC"/>
    <s v="202508"/>
    <x v="38"/>
    <n v="300.96999999999997"/>
    <s v="OCTUBRE"/>
    <n v="10"/>
  </r>
  <r>
    <s v="FLUJO"/>
    <n v="20526339585"/>
    <s v="CONSTRUCTORA JDITH SAC"/>
    <s v="202508"/>
    <x v="38"/>
    <n v="669.53"/>
    <s v="OCTUBRE"/>
    <n v="10"/>
  </r>
  <r>
    <s v="FLUJO"/>
    <n v="20532384673"/>
    <s v="MAS MOVIL SAC"/>
    <s v="202508, 202507"/>
    <x v="38"/>
    <n v="1618.8600000000001"/>
    <s v="OCTUBRE"/>
    <n v="10"/>
  </r>
  <r>
    <s v="FLUJO"/>
    <n v="20550705550"/>
    <s v="PROVEEDORES Y SERVICIOS MINEROS PREMIUM EIRL"/>
    <s v="202508, 202507"/>
    <x v="38"/>
    <n v="323.77"/>
    <s v="OCTUBRE"/>
    <n v="10"/>
  </r>
  <r>
    <s v="FLUJO"/>
    <n v="20552726546"/>
    <s v="ARQUIDENT PERU SAC"/>
    <s v="202508"/>
    <x v="38"/>
    <n v="610.43999999999994"/>
    <s v="OCTUBRE"/>
    <n v="10"/>
  </r>
  <r>
    <s v="FLUJO"/>
    <n v="20601030102"/>
    <s v="PLASTIC LIFE  EIRL"/>
    <s v="202508, 202507, 202506"/>
    <x v="38"/>
    <n v="393.79000000000008"/>
    <s v="OCTUBRE"/>
    <n v="10"/>
  </r>
  <r>
    <s v="FLUJO"/>
    <n v="20606060999"/>
    <s v="URCOPE LURIN SAC"/>
    <s v="202508, 202507, 202506"/>
    <x v="38"/>
    <n v="696.99"/>
    <s v="OCTUBRE"/>
    <n v="10"/>
  </r>
  <r>
    <s v="FLUJO"/>
    <n v="20608882058"/>
    <s v="SERVICIOS JM CARGO E.I.R.L."/>
    <s v="202508"/>
    <x v="38"/>
    <n v="345.53"/>
    <s v="OCTUBRE"/>
    <n v="10"/>
  </r>
  <r>
    <s v="FLUJO"/>
    <n v="20609235099"/>
    <s v="AIRES NUEVOS DEL PERU S.A.C."/>
    <s v="202508, 202507, 202506, 202505, 202504, 202503, 202502"/>
    <x v="38"/>
    <n v="1655.26"/>
    <s v="OCTUBRE"/>
    <n v="10"/>
  </r>
  <r>
    <s v="FLUJO"/>
    <n v="20610273336"/>
    <s v="ECCA GROUP S.A.C."/>
    <s v="202508, 202507"/>
    <x v="38"/>
    <n v="261.33000000000004"/>
    <s v="OCTUBRE"/>
    <n v="10"/>
  </r>
  <r>
    <s v="FLUJO"/>
    <n v="20611520221"/>
    <s v="PRIMEINDUSTRIES S.A.C."/>
    <s v="202508"/>
    <x v="38"/>
    <n v="225.82000000000002"/>
    <s v="OCTUBRE"/>
    <n v="10"/>
  </r>
  <r>
    <s v="FLUJO"/>
    <n v="10410184384"/>
    <s v="MORALES ALAYO SANDRA INGRID"/>
    <s v="202507"/>
    <x v="38"/>
    <n v="131.18"/>
    <s v="OCTUBRE"/>
    <n v="10"/>
  </r>
  <r>
    <s v="FLUJO"/>
    <n v="20450783294"/>
    <s v="PERU AMAZING QUILLAS TOURS SAC"/>
    <s v="202507"/>
    <x v="38"/>
    <n v="325.05"/>
    <s v="OCTUBRE"/>
    <n v="10"/>
  </r>
  <r>
    <s v="FLUJO"/>
    <n v="20481314098"/>
    <s v="INDUSTRIA PANIFICADORA FAST PAN SRL"/>
    <s v="202507"/>
    <x v="38"/>
    <n v="174.13"/>
    <s v="OCTUBRE"/>
    <n v="10"/>
  </r>
  <r>
    <s v="FLUJO"/>
    <n v="20603128169"/>
    <s v="SERVICIOS Y ALQUILERES EL SAUCE EIRL"/>
    <s v="202507, 202506"/>
    <x v="38"/>
    <n v="263.64"/>
    <s v="OCTUBRE"/>
    <n v="10"/>
  </r>
  <r>
    <s v="FLUJO"/>
    <n v="20600927028"/>
    <s v="BRACATO EIRL"/>
    <s v="202506"/>
    <x v="38"/>
    <n v="132.46"/>
    <s v="OCTUBRE"/>
    <n v="10"/>
  </r>
  <r>
    <s v="FLUJO"/>
    <n v="20603560273"/>
    <s v="CONSTRUCTORA Y CONSULTORA EB Y JB SAC"/>
    <s v="202504"/>
    <x v="38"/>
    <n v="148.25"/>
    <s v="OCTUBRE"/>
    <n v="10"/>
  </r>
  <r>
    <s v="PRESUNTA"/>
    <n v="20608192264"/>
    <s v="PHYSICA PERU SAC"/>
    <s v="202508"/>
    <x v="38"/>
    <n v="172.76999999999998"/>
    <s v="OCTUBRE"/>
    <n v="10"/>
  </r>
  <r>
    <s v="PRESUNTA"/>
    <n v="20611473908"/>
    <s v="PC NUEVO MUNDO S.A.C."/>
    <s v="202508"/>
    <x v="38"/>
    <n v="130.15"/>
    <s v="OCTUBRE"/>
    <n v="10"/>
  </r>
  <r>
    <s v="PRESUNTA"/>
    <n v="10028197239"/>
    <s v="RAMOS BOUILLON  PEDRO JOSE"/>
    <s v="202506, 202505, 202504"/>
    <x v="38"/>
    <n v="363.61"/>
    <s v="OCTUBRE"/>
    <n v="10"/>
  </r>
  <r>
    <s v="REAL TOTAL"/>
    <n v="20609932776"/>
    <s v="PM FRUITS S.A.C."/>
    <s v="202501"/>
    <x v="38"/>
    <n v="1539.05"/>
    <s v="OCTUBRE"/>
    <n v="10"/>
  </r>
  <r>
    <s v="REDIRECCIONAMIENTO"/>
    <n v="20509470848"/>
    <s v="GINOR EMPRESA INDIVIDUAL DE RESPONSABILIDAD LIMITA"/>
    <s v="200709, 200711, 200712, 200801, 200802, 200803, 200805, 200806, 200807, 200808, 200809, 200811, 200812"/>
    <x v="38"/>
    <n v="6598.68"/>
    <s v="OCTUBRE"/>
    <n v="10"/>
  </r>
  <r>
    <s v="FLUJO"/>
    <n v="10448547634"/>
    <s v="CASTRO NAYRA MIRTHA"/>
    <s v="202508, 202507, 202506, 202505, 202504"/>
    <x v="39"/>
    <n v="662.83"/>
    <s v="OCTUBRE"/>
    <n v="10"/>
  </r>
  <r>
    <s v="FLUJO"/>
    <n v="20524176603"/>
    <s v="TRANSPORTES CCITAR SAC"/>
    <s v="202508, 202507"/>
    <x v="39"/>
    <n v="315.52"/>
    <s v="OCTUBRE"/>
    <n v="10"/>
  </r>
  <r>
    <s v="FLUJO"/>
    <n v="20601506743"/>
    <s v="CENTRO DE DIÃLISIS GRAN CHIMU SAC CEDIGRAN"/>
    <s v="202508"/>
    <x v="39"/>
    <n v="418.51"/>
    <s v="OCTUBRE"/>
    <n v="10"/>
  </r>
  <r>
    <s v="FLUJO"/>
    <n v="20602200354"/>
    <s v="GEOGREEN TEC S.A.C"/>
    <s v="202508"/>
    <x v="39"/>
    <n v="293.21999999999997"/>
    <s v="OCTUBRE"/>
    <n v="10"/>
  </r>
  <r>
    <s v="FLUJO"/>
    <n v="20602537031"/>
    <s v="ADM COMPANY S.A.C."/>
    <s v="202508, 202507"/>
    <x v="39"/>
    <n v="261.59000000000003"/>
    <s v="OCTUBRE"/>
    <n v="10"/>
  </r>
  <r>
    <s v="FLUJO"/>
    <n v="20604419531"/>
    <s v="RJ CARGO EIRL"/>
    <s v="202508"/>
    <x v="39"/>
    <n v="273.59000000000003"/>
    <s v="OCTUBRE"/>
    <n v="10"/>
  </r>
  <r>
    <s v="FLUJO"/>
    <n v="20612237141"/>
    <s v="JR SOLUCIONES PERUANAS S.A.C."/>
    <s v="202508, 202507, 202506, 202505, 202504, 202503"/>
    <x v="39"/>
    <n v="2182.54"/>
    <s v="OCTUBRE"/>
    <n v="10"/>
  </r>
  <r>
    <s v="FLUJO"/>
    <n v="20613813528"/>
    <s v="GRUPO IMPORT AB SAC"/>
    <s v="202508, 202507, 202506, 202505, 202504"/>
    <x v="39"/>
    <n v="935.61"/>
    <s v="OCTUBRE"/>
    <n v="10"/>
  </r>
  <r>
    <s v="FLUJO"/>
    <n v="20614128365"/>
    <s v="CONSORCIO NORIEGA"/>
    <s v="202507"/>
    <x v="39"/>
    <n v="524.04"/>
    <s v="OCTUBRE"/>
    <n v="10"/>
  </r>
  <r>
    <s v="PRESUNTA"/>
    <n v="20603349696"/>
    <s v="MINERA ALTAGRACIA E.I.R.L."/>
    <s v="202508, 202507, 202506, 202505"/>
    <x v="39"/>
    <n v="2504.8199999999997"/>
    <s v="OCTUBRE"/>
    <n v="10"/>
  </r>
  <r>
    <s v="REAL TOTAL"/>
    <n v="20513932368"/>
    <s v="COMERCIALIZACIONES AGRO CONTRERAS SAC"/>
    <s v="202410, 202409"/>
    <x v="39"/>
    <n v="721.9"/>
    <s v="OCTUBRE"/>
    <n v="10"/>
  </r>
  <r>
    <s v="REAL TOTAL"/>
    <n v="20551973850"/>
    <s v="TRANSPORTES YHOMARVI S.A.C."/>
    <s v="202003"/>
    <x v="39"/>
    <n v="0.18"/>
    <s v="OCTUBRE"/>
    <n v="10"/>
  </r>
  <r>
    <s v="FLUJO"/>
    <n v="20573102780"/>
    <s v="HOUSE STUDENT EIRL"/>
    <s v="202508, 202507"/>
    <x v="40"/>
    <n v="235.53"/>
    <s v="OCTUBRE"/>
    <n v="10"/>
  </r>
  <r>
    <s v="FLUJO"/>
    <n v="20601611253"/>
    <s v="servicios equinos del norte eirl"/>
    <s v="202508, 202507"/>
    <x v="40"/>
    <n v="287.74"/>
    <s v="OCTUBRE"/>
    <n v="10"/>
  </r>
  <r>
    <s v="FLUJO"/>
    <n v="10442805011"/>
    <s v="NELLY MAIZ AQUINO"/>
    <s v="202508, 202507, 202506"/>
    <x v="41"/>
    <n v="394.19000000000005"/>
    <s v="OCTUBRE"/>
    <n v="11"/>
  </r>
  <r>
    <s v="FLUJO"/>
    <n v="20491213931"/>
    <s v="EMPRESA CONSTRUCTORA HARAMI SOCIEDAD ANONIMA CERRADA"/>
    <s v="202508"/>
    <x v="41"/>
    <n v="288.23"/>
    <s v="OCTUBRE"/>
    <n v="11"/>
  </r>
  <r>
    <s v="FLUJO"/>
    <n v="20491907275"/>
    <s v="ATENCIONES RAPIDAS COMERCIALES E.I.R.L."/>
    <s v="202508, 202507"/>
    <x v="41"/>
    <n v="261.59000000000003"/>
    <s v="OCTUBRE"/>
    <n v="11"/>
  </r>
  <r>
    <s v="FLUJO"/>
    <n v="20502197399"/>
    <s v="organizacion de transportes equipos y maquinarias sac"/>
    <s v="202508"/>
    <x v="41"/>
    <n v="691.75"/>
    <s v="OCTUBRE"/>
    <n v="11"/>
  </r>
  <r>
    <s v="FLUJO"/>
    <n v="20508136227"/>
    <s v="HACIENDA EL MONASTERIO SAC"/>
    <s v="202508, 202507, 202506, 202505, 202504, 202503"/>
    <x v="41"/>
    <n v="3794.4800000000005"/>
    <s v="OCTUBRE"/>
    <n v="11"/>
  </r>
  <r>
    <s v="FLUJO"/>
    <n v="20509838209"/>
    <s v="GAP IMPRESIONES EIRL"/>
    <s v="202508, 202507"/>
    <x v="41"/>
    <n v="287.74"/>
    <s v="OCTUBRE"/>
    <n v="11"/>
  </r>
  <r>
    <s v="FLUJO"/>
    <n v="20565808592"/>
    <s v="ALIHCOM BUILD SAC"/>
    <s v="202508"/>
    <x v="41"/>
    <n v="379.19"/>
    <s v="OCTUBRE"/>
    <n v="11"/>
  </r>
  <r>
    <s v="FLUJO"/>
    <n v="20600547012"/>
    <s v="MONGROUP EIRL"/>
    <s v="202508"/>
    <x v="41"/>
    <n v="634.1"/>
    <s v="OCTUBRE"/>
    <n v="11"/>
  </r>
  <r>
    <s v="FLUJO"/>
    <n v="20602360734"/>
    <s v="INSUMOS Y ALIMENTOS DEL ANDE EIRL"/>
    <s v="202508, 202507"/>
    <x v="41"/>
    <n v="430.57"/>
    <s v="OCTUBRE"/>
    <n v="11"/>
  </r>
  <r>
    <s v="FLUJO"/>
    <n v="20604720690"/>
    <s v="AUTOMOTRIZ RASO SAC"/>
    <s v="202508"/>
    <x v="41"/>
    <n v="1072.21"/>
    <s v="OCTUBRE"/>
    <n v="11"/>
  </r>
  <r>
    <s v="FLUJO"/>
    <n v="20605810315"/>
    <s v="CIENTIFICA CONSULTORES SAC"/>
    <s v="202508, 202507"/>
    <x v="41"/>
    <n v="565.82000000000005"/>
    <s v="OCTUBRE"/>
    <n v="11"/>
  </r>
  <r>
    <s v="FLUJO"/>
    <n v="20606334258"/>
    <s v="TPT DEL PERU S.A.C."/>
    <s v="202508, 202507"/>
    <x v="41"/>
    <n v="261.59000000000003"/>
    <s v="OCTUBRE"/>
    <n v="11"/>
  </r>
  <r>
    <s v="FLUJO"/>
    <n v="20609010411"/>
    <s v="ELITIUM PERU E.I.R.L"/>
    <s v="202508, 202507, 202506"/>
    <x v="41"/>
    <n v="727.97"/>
    <s v="OCTUBRE"/>
    <n v="11"/>
  </r>
  <r>
    <s v="FLUJO"/>
    <n v="20610619372"/>
    <s v="FORESTAL GANGMING SAC"/>
    <s v="202508, 202507"/>
    <x v="41"/>
    <n v="816.91000000000008"/>
    <s v="OCTUBRE"/>
    <n v="11"/>
  </r>
  <r>
    <s v="FLUJO"/>
    <n v="20604362751"/>
    <s v="GRUPO GRAL E.I.R.L."/>
    <s v="202507, 202506"/>
    <x v="41"/>
    <n v="263.90999999999997"/>
    <s v="OCTUBRE"/>
    <n v="11"/>
  </r>
  <r>
    <s v="FLUJO"/>
    <n v="20609366193"/>
    <s v="WISGO PERU E.I.R.L."/>
    <s v="202507"/>
    <x v="41"/>
    <n v="348.6"/>
    <s v="OCTUBRE"/>
    <n v="11"/>
  </r>
  <r>
    <s v="FLUJO"/>
    <n v="20611376538"/>
    <s v="HERCAR COMBUSTIBLES S.A.C"/>
    <s v="202507"/>
    <x v="41"/>
    <n v="318.74"/>
    <s v="OCTUBRE"/>
    <n v="11"/>
  </r>
  <r>
    <s v="FLUJO"/>
    <n v="20611684321"/>
    <s v="CGS CONSTRUCCIONES E.I.R.L."/>
    <s v="202507"/>
    <x v="41"/>
    <n v="200.45000000000002"/>
    <s v="OCTUBRE"/>
    <n v="11"/>
  </r>
  <r>
    <s v="FLUJO"/>
    <n v="20382056681"/>
    <s v="GLOBENATURAL INTERNACIONAL SA"/>
    <s v="202506, 202507, 202508"/>
    <x v="41"/>
    <n v="689.01"/>
    <s v="OCTUBRE"/>
    <n v="11"/>
  </r>
  <r>
    <s v="FLUJO"/>
    <n v="20606745673"/>
    <s v="GRUPO NINA S.R.L."/>
    <s v="202504"/>
    <x v="41"/>
    <n v="134.9"/>
    <s v="OCTUBRE"/>
    <n v="11"/>
  </r>
  <r>
    <s v="PRESUNTA"/>
    <n v="20603647263"/>
    <s v="ESTACION DE SERVICIO TRES CRUCES DE ORO E.I.R.L."/>
    <s v="202508"/>
    <x v="41"/>
    <n v="74.3"/>
    <s v="OCTUBRE"/>
    <n v="11"/>
  </r>
  <r>
    <s v="PRESUNTA"/>
    <n v="20545463190"/>
    <s v="JOSE Y EDWIN CONTRATISTAS GENERALES SAC"/>
    <s v="202507, 202506, 202508"/>
    <x v="41"/>
    <n v="2404.46"/>
    <s v="OCTUBRE"/>
    <n v="11"/>
  </r>
  <r>
    <s v="PRESUNTA"/>
    <n v="20552777965"/>
    <s v="Empresa de Servicios MÃºltiples KS y J EIRL"/>
    <s v="201909, 201908"/>
    <x v="41"/>
    <n v="315.82"/>
    <s v="OCTUBRE"/>
    <n v="11"/>
  </r>
  <r>
    <s v="REAL TOTAL"/>
    <n v="20612127213"/>
    <s v="MJA CONSULTORIA S.A.C."/>
    <s v="202503"/>
    <x v="41"/>
    <n v="318.17999999999995"/>
    <s v="OCTUBRE"/>
    <n v="11"/>
  </r>
  <r>
    <s v="REAL TOTAL"/>
    <n v="20604741450"/>
    <s v="INMOBILIARIA SIGNIA SAC"/>
    <s v="202305"/>
    <x v="41"/>
    <n v="592.70000000000005"/>
    <s v="OCTUBRE"/>
    <n v="11"/>
  </r>
  <r>
    <s v="REDIRECCIONAMIENTO"/>
    <n v="20494424089"/>
    <s v="CORPORACION LASER E.I.R.L."/>
    <s v="200806, 200807, 200809, 200810, 200811, 200812, 200901, 200903, 200904"/>
    <x v="41"/>
    <n v="4067.8100000000004"/>
    <s v="OCTUBRE"/>
    <n v="11"/>
  </r>
  <r>
    <s v="FLUJO"/>
    <n v="10425490741"/>
    <s v="GONZALES VARGAS BERTHA MIGUELINA"/>
    <s v="202508, 202507, 202506"/>
    <x v="42"/>
    <n v="433.59000000000003"/>
    <s v="OCTUBRE"/>
    <n v="12"/>
  </r>
  <r>
    <s v="FLUJO"/>
    <n v="20527677506"/>
    <s v="DIESEL IMPORT HERRERA SCRLtda"/>
    <s v="202508"/>
    <x v="42"/>
    <n v="328.59000000000003"/>
    <s v="OCTUBRE"/>
    <n v="12"/>
  </r>
  <r>
    <s v="FLUJO"/>
    <n v="20537411857"/>
    <s v="CHAMPION WORLD SPORT SAC"/>
    <s v="202508, 202507"/>
    <x v="42"/>
    <n v="1031"/>
    <s v="OCTUBRE"/>
    <n v="12"/>
  </r>
  <r>
    <s v="FLUJO"/>
    <n v="20600637755"/>
    <s v="INVERSIONES KAMIYA SAC"/>
    <s v="202508"/>
    <x v="42"/>
    <n v="358.91"/>
    <s v="OCTUBRE"/>
    <n v="12"/>
  </r>
  <r>
    <s v="FLUJO"/>
    <n v="20601127742"/>
    <s v="CORPORACIÃ“N MAVE SAC"/>
    <s v="202508"/>
    <x v="42"/>
    <n v="681.48"/>
    <s v="OCTUBRE"/>
    <n v="12"/>
  </r>
  <r>
    <s v="FLUJO"/>
    <n v="20601183731"/>
    <s v="COEX TRANSPORTES SA"/>
    <s v="202508"/>
    <x v="42"/>
    <n v="239.63"/>
    <s v="OCTUBRE"/>
    <n v="12"/>
  </r>
  <r>
    <s v="FLUJO"/>
    <n v="20602960995"/>
    <s v="SGCMM GROUP SAC"/>
    <s v="202508"/>
    <x v="42"/>
    <n v="561.17000000000007"/>
    <s v="OCTUBRE"/>
    <n v="12"/>
  </r>
  <r>
    <s v="FLUJO"/>
    <n v="20605224688"/>
    <s v="JOURNEY ON WHEELS CUSCO S.R.L."/>
    <s v="202508, 202507, 202505, 202504"/>
    <x v="42"/>
    <n v="530.23"/>
    <s v="OCTUBRE"/>
    <n v="12"/>
  </r>
  <r>
    <s v="FLUJO"/>
    <n v="20605495762"/>
    <s v="CORPORACION ITC S.A.C."/>
    <s v="202508, 202507"/>
    <x v="42"/>
    <n v="300.94"/>
    <s v="OCTUBRE"/>
    <n v="12"/>
  </r>
  <r>
    <s v="FLUJO"/>
    <n v="20609204771"/>
    <s v="CORPORACION IBEROAMERICANA OCUPACIONAL CISS S.A.C."/>
    <s v="202508"/>
    <x v="42"/>
    <n v="278.89"/>
    <s v="OCTUBRE"/>
    <n v="12"/>
  </r>
  <r>
    <s v="FLUJO"/>
    <n v="20609205521"/>
    <s v="DIABOLA STORE S.A.C."/>
    <s v="202508"/>
    <x v="42"/>
    <n v="259.7"/>
    <s v="OCTUBRE"/>
    <n v="12"/>
  </r>
  <r>
    <s v="FLUJO"/>
    <n v="20611989611"/>
    <s v="INKA LAM E.I.R.L."/>
    <s v="202508"/>
    <x v="42"/>
    <n v="307.44"/>
    <s v="OCTUBRE"/>
    <n v="12"/>
  </r>
  <r>
    <s v="FLUJO"/>
    <n v="20612976571"/>
    <s v="POWER TIMBER S.A.C."/>
    <s v="202508"/>
    <x v="42"/>
    <n v="1199.1100000000001"/>
    <s v="OCTUBRE"/>
    <n v="12"/>
  </r>
  <r>
    <s v="FLUJO"/>
    <n v="20601283744"/>
    <s v="A Y P FABRICACIONES E INSTALACIONES INDUSTRIALES SAC"/>
    <s v="202507"/>
    <x v="42"/>
    <n v="855.48"/>
    <s v="OCTUBRE"/>
    <n v="12"/>
  </r>
  <r>
    <s v="FLUJO"/>
    <n v="20604284032"/>
    <s v="GRUPO EDUCATIVO ALFA EIRL"/>
    <s v="202507, 202506, 202505, 202504, 202503, 202412, 202508"/>
    <x v="42"/>
    <n v="3430.0299999999997"/>
    <s v="OCTUBRE"/>
    <n v="12"/>
  </r>
  <r>
    <s v="FLUJO"/>
    <n v="20611343028"/>
    <s v="COORPORACION TURISTICA H V SAC"/>
    <s v="202507, 202506"/>
    <x v="42"/>
    <n v="635.98"/>
    <s v="OCTUBRE"/>
    <n v="12"/>
  </r>
  <r>
    <s v="FLUJO"/>
    <n v="20613438239"/>
    <s v="SON RUMBEKE E.I.R.L."/>
    <s v="202505, 202504"/>
    <x v="42"/>
    <n v="1109.81"/>
    <s v="OCTUBRE"/>
    <n v="12"/>
  </r>
  <r>
    <s v="PRESUNTA"/>
    <n v="20608192523"/>
    <s v="AVANCE AUTOMOTRIZ FEJERROS SAC"/>
    <s v="202507, 202508"/>
    <x v="42"/>
    <n v="261.59000000000003"/>
    <s v="OCTUBRE"/>
    <n v="12"/>
  </r>
  <r>
    <s v="REAL TOTAL"/>
    <n v="20603950195"/>
    <s v="MARMOL AREQUIPA EIRL"/>
    <s v="202503"/>
    <x v="42"/>
    <n v="68.03"/>
    <s v="OCTUBRE"/>
    <n v="12"/>
  </r>
  <r>
    <s v="REAL TOTAL"/>
    <n v="20477398457"/>
    <s v="VIZOR PERU SAC"/>
    <s v="202412"/>
    <x v="42"/>
    <n v="133.42000000000002"/>
    <s v="OCTUBRE"/>
    <n v="12"/>
  </r>
  <r>
    <s v="REAL TOTAL"/>
    <n v="20552992181"/>
    <s v="RIEGO Y SANEAMIENTO AMBIENTAL SAC"/>
    <s v="201309"/>
    <x v="42"/>
    <n v="458.39"/>
    <s v="OCTUBRE"/>
    <n v="12"/>
  </r>
  <r>
    <s v="REDIRECCIONAMIENTO"/>
    <n v="20509793779"/>
    <s v="EUROCLIDON DEL NORTE S.A.C."/>
    <s v="201601, 201401, 201312, 201311, 201310, 201309, 201307, 201306, 201305, 201304, 201303"/>
    <x v="42"/>
    <n v="3253.6299999999997"/>
    <s v="OCTUBRE"/>
    <n v="12"/>
  </r>
  <r>
    <s v="FLUJO"/>
    <n v="10417928958"/>
    <s v="CALDERON TAMAYO OLGA"/>
    <s v="202508, 202507, 202506, 202505, 202504, 202503"/>
    <x v="43"/>
    <n v="799.02"/>
    <s v="OCTUBRE"/>
    <n v="13"/>
  </r>
  <r>
    <s v="FLUJO"/>
    <n v="20601349559"/>
    <s v="odex peru s.r.l."/>
    <s v="202508, 202507"/>
    <x v="43"/>
    <n v="698.87000000000012"/>
    <s v="OCTUBRE"/>
    <n v="13"/>
  </r>
  <r>
    <s v="FLUJO"/>
    <n v="20611443057"/>
    <s v="MODERNA ASOCIADOS S.A.C."/>
    <s v="202508"/>
    <x v="43"/>
    <n v="691.75"/>
    <s v="OCTUBRE"/>
    <n v="13"/>
  </r>
  <r>
    <s v="FLUJO"/>
    <n v="20613076205"/>
    <s v="Kentel Peru S.A.C"/>
    <s v="202508"/>
    <x v="43"/>
    <n v="130.28"/>
    <s v="OCTUBRE"/>
    <n v="13"/>
  </r>
  <r>
    <s v="FLUJO"/>
    <n v="20450461173"/>
    <s v="PACIFICO TARAPOTO SAC"/>
    <s v="202507"/>
    <x v="43"/>
    <n v="131.44"/>
    <s v="OCTUBRE"/>
    <n v="13"/>
  </r>
  <r>
    <s v="FLUJO"/>
    <n v="20380639522"/>
    <s v="BOLIVARIANA DE CARGAS S.R.LTDA"/>
    <s v="202504, 202503"/>
    <x v="43"/>
    <n v="599.48"/>
    <s v="OCTUBRE"/>
    <n v="13"/>
  </r>
  <r>
    <s v="FLUJO"/>
    <n v="10224807886"/>
    <s v="LIZBET AMALIA RIOS D AMBROSIO"/>
    <s v="202508"/>
    <x v="43"/>
    <n v="278.89"/>
    <s v="OCTUBRE"/>
    <n v="13"/>
  </r>
  <r>
    <s v="FLUJO"/>
    <n v="10465081517"/>
    <s v="ESPINOZA RAMOS DONY YOJHAN"/>
    <s v="202508"/>
    <x v="43"/>
    <n v="130.58000000000001"/>
    <s v="OCTUBRE"/>
    <n v="13"/>
  </r>
  <r>
    <s v="FLUJO"/>
    <n v="20493051416"/>
    <s v="RP RODAS EIRL"/>
    <s v="202508, 202507, 202506"/>
    <x v="43"/>
    <n v="394.32000000000005"/>
    <s v="OCTUBRE"/>
    <n v="13"/>
  </r>
  <r>
    <s v="FLUJO"/>
    <n v="20522880371"/>
    <s v="INVERSIONES CH  M SAC"/>
    <s v="202508"/>
    <x v="43"/>
    <n v="342.70000000000005"/>
    <s v="OCTUBRE"/>
    <n v="13"/>
  </r>
  <r>
    <s v="FLUJO"/>
    <n v="20543455939"/>
    <s v="TRANSPORTE ACMA EIRL"/>
    <s v="202508"/>
    <x v="43"/>
    <n v="634.1"/>
    <s v="OCTUBRE"/>
    <n v="13"/>
  </r>
  <r>
    <s v="FLUJO"/>
    <n v="20564084281"/>
    <s v="INVERSIONES MABGA SAC"/>
    <s v="202508, 202507, 202506"/>
    <x v="43"/>
    <n v="394.32000000000005"/>
    <s v="OCTUBRE"/>
    <n v="13"/>
  </r>
  <r>
    <s v="FLUJO"/>
    <n v="20602287051"/>
    <s v="ANW OPERADORES LOGISTICOS EIRL"/>
    <s v="202508, 202507"/>
    <x v="43"/>
    <n v="261.72000000000003"/>
    <s v="OCTUBRE"/>
    <n v="13"/>
  </r>
  <r>
    <s v="FLUJO"/>
    <n v="20602578403"/>
    <s v="ABISEO GROUP FOODS SAC"/>
    <s v="202508, 202507"/>
    <x v="43"/>
    <n v="463.21000000000004"/>
    <s v="OCTUBRE"/>
    <n v="13"/>
  </r>
  <r>
    <s v="FLUJO"/>
    <n v="20610389423"/>
    <s v="ABC COMPANY S.A.C."/>
    <s v="202508"/>
    <x v="43"/>
    <n v="288.23"/>
    <s v="OCTUBRE"/>
    <n v="13"/>
  </r>
  <r>
    <s v="FLUJO"/>
    <n v="20613649116"/>
    <s v="DOLARITO E.I.R.L."/>
    <s v="202508"/>
    <x v="43"/>
    <n v="223.12"/>
    <s v="OCTUBRE"/>
    <n v="13"/>
  </r>
  <r>
    <s v="FLUJO"/>
    <n v="20614168014"/>
    <s v="CORPORACION PIBUSA S.A.C."/>
    <s v="202508, 202507, 202506"/>
    <x v="43"/>
    <n v="394.32000000000005"/>
    <s v="OCTUBRE"/>
    <n v="13"/>
  </r>
  <r>
    <s v="FLUJO"/>
    <n v="20602229115"/>
    <s v="CAR ELOLUTION JF SAC"/>
    <s v="202507"/>
    <x v="43"/>
    <n v="281.37"/>
    <s v="OCTUBRE"/>
    <n v="13"/>
  </r>
  <r>
    <s v="FLUJO"/>
    <n v="20610765387"/>
    <s v="INVERSIONES ALIMENTARIAS ALMAYA SAC"/>
    <s v="202507, 202506"/>
    <x v="43"/>
    <n v="306.78999999999996"/>
    <s v="OCTUBRE"/>
    <n v="13"/>
  </r>
  <r>
    <s v="REAL TOTAL"/>
    <n v="20601760461"/>
    <s v="PREMIUM COLLEGE SRL"/>
    <s v="202501"/>
    <x v="43"/>
    <n v="449.40999999999997"/>
    <s v="OCTUBRE"/>
    <n v="13"/>
  </r>
  <r>
    <s v="REAL TOTAL"/>
    <n v="20478122081"/>
    <s v="SERVICIO INFORMATICO GRAFICO MASS S.A.C."/>
    <s v="201511, 201510, 201509"/>
    <x v="43"/>
    <n v="637.56999999999994"/>
    <s v="OCTUBRE"/>
    <n v="13"/>
  </r>
  <r>
    <s v="REAL TOTAL"/>
    <n v="20523787960"/>
    <s v="FCG NEGOCIOS Y SERVICIOS SAC"/>
    <s v="202106, 202105"/>
    <x v="43"/>
    <n v="327.01"/>
    <s v="OCTUBRE"/>
    <n v="13"/>
  </r>
  <r>
    <s v="REAL TOTAL"/>
    <n v="20523203721"/>
    <s v="FESTINA  EIRL"/>
    <s v="201009"/>
    <x v="43"/>
    <n v="297.48"/>
    <s v="OCTUBRE"/>
    <n v="13"/>
  </r>
  <r>
    <s v="FLUJO"/>
    <n v="15547969437"/>
    <s v="LIANG JIANHUA"/>
    <s v="202508"/>
    <x v="44"/>
    <n v="230.58"/>
    <s v="OCTUBRE"/>
    <n v="14"/>
  </r>
  <r>
    <s v="FLUJO"/>
    <n v="20192099464"/>
    <s v="COLEGIO DE ARQUITECTOS REGIONAL PIURA I"/>
    <s v="202508"/>
    <x v="44"/>
    <n v="307.26"/>
    <s v="OCTUBRE"/>
    <n v="14"/>
  </r>
  <r>
    <s v="FLUJO"/>
    <n v="20512791825"/>
    <s v="GLASS IMPORT AUTOMOTRIZ SAC"/>
    <s v="202508"/>
    <x v="44"/>
    <n v="964.18"/>
    <s v="OCTUBRE"/>
    <n v="14"/>
  </r>
  <r>
    <s v="FLUJO"/>
    <n v="20526548311"/>
    <s v="CELESTE SERVICIOS GENERALES SRL"/>
    <s v="202508"/>
    <x v="44"/>
    <n v="230.58"/>
    <s v="OCTUBRE"/>
    <n v="14"/>
  </r>
  <r>
    <s v="FLUJO"/>
    <n v="20556349712"/>
    <s v="GRUPO ASHKA S.A.C."/>
    <s v="202508"/>
    <x v="44"/>
    <n v="234.14000000000001"/>
    <s v="OCTUBRE"/>
    <n v="14"/>
  </r>
  <r>
    <s v="FLUJO"/>
    <n v="20600515943"/>
    <s v="ORKO INGENIEROS SAC"/>
    <s v="202508, 202507, 202506, 202505, 202504, 202503, 202502"/>
    <x v="44"/>
    <n v="2428.6"/>
    <s v="OCTUBRE"/>
    <n v="14"/>
  </r>
  <r>
    <s v="FLUJO"/>
    <n v="20600583019"/>
    <s v="ROMARC CONSTRUCTORA S.A.C."/>
    <s v="202508, 202507"/>
    <x v="44"/>
    <n v="1065.3899999999999"/>
    <s v="OCTUBRE"/>
    <n v="14"/>
  </r>
  <r>
    <s v="FLUJO"/>
    <n v="20600629477"/>
    <s v="LOW RISK PERU E.I.R.L."/>
    <s v="202508"/>
    <x v="44"/>
    <n v="130.28"/>
    <s v="OCTUBRE"/>
    <n v="14"/>
  </r>
  <r>
    <s v="FLUJO"/>
    <n v="20600714989"/>
    <s v="HOTEL Y NEGOCIOS SAC"/>
    <s v="202508"/>
    <x v="44"/>
    <n v="533.81999999999994"/>
    <s v="OCTUBRE"/>
    <n v="14"/>
  </r>
  <r>
    <s v="FLUJO"/>
    <n v="20602481779"/>
    <s v="REPUESTOS BURGA S.R.L."/>
    <s v="202508, 202507"/>
    <x v="44"/>
    <n v="261.72000000000003"/>
    <s v="OCTUBRE"/>
    <n v="14"/>
  </r>
  <r>
    <s v="FLUJO"/>
    <n v="20602937926"/>
    <s v="FISOPERU S.A.C"/>
    <s v="202508"/>
    <x v="44"/>
    <n v="230.58"/>
    <s v="OCTUBRE"/>
    <n v="14"/>
  </r>
  <r>
    <s v="FLUJO"/>
    <n v="20610339078"/>
    <s v="GODMIR S.A.C."/>
    <s v="202508"/>
    <x v="44"/>
    <n v="585.45000000000005"/>
    <s v="OCTUBRE"/>
    <n v="14"/>
  </r>
  <r>
    <s v="FLUJO"/>
    <n v="20613470221"/>
    <s v="CLARITY CLEANING S.A.C."/>
    <s v="202508, 202507"/>
    <x v="44"/>
    <n v="370.70000000000005"/>
    <s v="OCTUBRE"/>
    <n v="14"/>
  </r>
  <r>
    <s v="FLUJO"/>
    <n v="20538760219"/>
    <s v="INDUSTRIAS DE METALES PERFORADAS SAC"/>
    <s v="202507, 202506"/>
    <x v="44"/>
    <n v="393.12"/>
    <s v="OCTUBRE"/>
    <n v="14"/>
  </r>
  <r>
    <s v="FLUJO"/>
    <n v="20605753478"/>
    <s v="ESTACION DE SERVICIOS BATMAN E.I.R.L."/>
    <s v="202507"/>
    <x v="44"/>
    <n v="658.33999999999992"/>
    <s v="OCTUBRE"/>
    <n v="14"/>
  </r>
  <r>
    <s v="FLUJO"/>
    <n v="20606573228"/>
    <s v="CNC DIGITAL EIRL"/>
    <s v="202507, 202508"/>
    <x v="44"/>
    <n v="347.92"/>
    <s v="OCTUBRE"/>
    <n v="14"/>
  </r>
  <r>
    <s v="FLUJO"/>
    <n v="20602125247"/>
    <s v="PENTAI INGENIERIA Y CONSTRUCCION EIRL"/>
    <s v="202506"/>
    <x v="44"/>
    <n v="132.6"/>
    <s v="OCTUBRE"/>
    <n v="14"/>
  </r>
  <r>
    <s v="FLUJO"/>
    <n v="20604443891"/>
    <s v="RENTEQ MAQUINARIAS SAC"/>
    <s v="202505, 202504"/>
    <x v="44"/>
    <n v="822.31000000000006"/>
    <s v="OCTUBRE"/>
    <n v="14"/>
  </r>
  <r>
    <s v="FLUJO"/>
    <n v="20609877660"/>
    <s v="MANEJOS ADMINISTRATIVOS EMPRESARIALES ZEN SAC"/>
    <s v="202504"/>
    <x v="44"/>
    <n v="620.79999999999995"/>
    <s v="OCTUBRE"/>
    <n v="14"/>
  </r>
  <r>
    <s v="PRESUNTA"/>
    <n v="10410626913"/>
    <s v="JAIME EDUARDO MENDOZA TORRES"/>
    <s v="202508, 202507"/>
    <x v="44"/>
    <n v="298.54000000000002"/>
    <s v="OCTUBRE"/>
    <n v="14"/>
  </r>
  <r>
    <s v="PRESUNTA"/>
    <n v="20600614348"/>
    <s v="ICEMA E.I.R.L."/>
    <s v="202508, 202507"/>
    <x v="44"/>
    <n v="2852.6099999999997"/>
    <s v="OCTUBRE"/>
    <n v="14"/>
  </r>
  <r>
    <s v="PRESUNTA"/>
    <n v="20609320738"/>
    <s v="EXPERTOS EN NEGOCIOS 3A SRL"/>
    <s v="202505, 202504"/>
    <x v="44"/>
    <n v="306.61"/>
    <s v="OCTUBRE"/>
    <n v="14"/>
  </r>
  <r>
    <s v="PRESUNTA"/>
    <n v="20605037811"/>
    <s v="CORPORACIÃ“N EMPRESARIAL PRC SAC"/>
    <s v="202303"/>
    <x v="44"/>
    <n v="306.66999999999996"/>
    <s v="OCTUBRE"/>
    <n v="14"/>
  </r>
  <r>
    <s v="FLUJO"/>
    <n v="10722819131"/>
    <s v="MURGA PINZON GRACE KELLY"/>
    <s v="202508, 202507"/>
    <x v="45"/>
    <n v="261.85000000000002"/>
    <s v="OCTUBRE"/>
    <n v="15"/>
  </r>
  <r>
    <s v="FLUJO"/>
    <n v="20195442062"/>
    <s v="ASOCIACION GRANJA AZUL COUNTRY CLUB DE GOLF"/>
    <s v="202508, 202507, 202506, 202505, 202504, 202503"/>
    <x v="45"/>
    <n v="924.41999999999985"/>
    <s v="OCTUBRE"/>
    <n v="15"/>
  </r>
  <r>
    <s v="FLUJO"/>
    <n v="20479369691"/>
    <s v="CENTRO DE CONCILIACIÃ“N PARA LA PAZ"/>
    <s v="202508, 202507, 202506, 202505, 202504, 202503"/>
    <x v="45"/>
    <n v="3590.7000000000003"/>
    <s v="OCTUBRE"/>
    <n v="15"/>
  </r>
  <r>
    <s v="FLUJO"/>
    <n v="20495989390"/>
    <s v="COLEGIO QUIMICO FARMACEUTICO DEPARTAMENTAL DE CAJAMARCA"/>
    <s v="202508, 202507"/>
    <x v="45"/>
    <n v="334.66999999999996"/>
    <s v="OCTUBRE"/>
    <n v="15"/>
  </r>
  <r>
    <s v="FLUJO"/>
    <n v="20509820334"/>
    <s v="ACCI CARGO SAC"/>
    <s v="202508"/>
    <x v="45"/>
    <n v="323.21999999999997"/>
    <s v="OCTUBRE"/>
    <n v="15"/>
  </r>
  <r>
    <s v="FLUJO"/>
    <n v="20536688286"/>
    <s v="LCF INVERSIONES S.R.L"/>
    <s v="202508"/>
    <x v="45"/>
    <n v="323.14"/>
    <s v="OCTUBRE"/>
    <n v="15"/>
  </r>
  <r>
    <s v="FLUJO"/>
    <n v="20600875699"/>
    <s v="DETODOPET S.A.C."/>
    <s v="202508, 202507, 202506"/>
    <x v="45"/>
    <n v="767.33999999999992"/>
    <s v="OCTUBRE"/>
    <n v="15"/>
  </r>
  <r>
    <s v="FLUJO"/>
    <n v="20601145970"/>
    <s v="NEGOCIOS E INVERSIONES AURORA SAC"/>
    <s v="202508"/>
    <x v="45"/>
    <n v="957.2700000000001"/>
    <s v="OCTUBRE"/>
    <n v="15"/>
  </r>
  <r>
    <s v="FLUJO"/>
    <n v="20602964842"/>
    <s v="URIOBA E.I.R.L."/>
    <s v="202508"/>
    <x v="45"/>
    <n v="403.92"/>
    <s v="OCTUBRE"/>
    <n v="15"/>
  </r>
  <r>
    <s v="FLUJO"/>
    <n v="20604562652"/>
    <s v="ILUMIAX INSTALACIONES ELECTRICAS EN EDIFICACIONES EIRL"/>
    <s v="202508"/>
    <x v="45"/>
    <n v="288.51"/>
    <s v="OCTUBRE"/>
    <n v="15"/>
  </r>
  <r>
    <s v="FLUJO"/>
    <n v="20605878564"/>
    <s v="MAREN PERU EIRL"/>
    <s v="202508, 202507"/>
    <x v="45"/>
    <n v="288.02999999999997"/>
    <s v="OCTUBRE"/>
    <n v="15"/>
  </r>
  <r>
    <s v="FLUJO"/>
    <n v="20607715441"/>
    <s v="CORPORACION CURAT E.I.R.L."/>
    <s v="202508"/>
    <x v="45"/>
    <n v="279.16999999999996"/>
    <s v="OCTUBRE"/>
    <n v="15"/>
  </r>
  <r>
    <s v="FLUJO"/>
    <n v="20609277450"/>
    <s v="INVERSIONES PERUANAS TEO SAC"/>
    <s v="202508, 202507, 202506, 202505"/>
    <x v="45"/>
    <n v="1048.1300000000001"/>
    <s v="OCTUBRE"/>
    <n v="15"/>
  </r>
  <r>
    <s v="FLUJO"/>
    <n v="20609941163"/>
    <s v="DATA SCIENCE ANALYSIS E.I.R.L."/>
    <s v="202508, 202507, 202506"/>
    <x v="45"/>
    <n v="510.26000000000005"/>
    <s v="OCTUBRE"/>
    <n v="15"/>
  </r>
  <r>
    <s v="FLUJO"/>
    <n v="20610184449"/>
    <s v="AMFLEX SOLUCIONES VIALES S.A.C."/>
    <s v="202508"/>
    <x v="45"/>
    <n v="230.81"/>
    <s v="OCTUBRE"/>
    <n v="15"/>
  </r>
  <r>
    <s v="FLUJO"/>
    <n v="20611265337"/>
    <s v="CONCRELABMIX SAC"/>
    <s v="202508"/>
    <x v="45"/>
    <n v="262.93"/>
    <s v="OCTUBRE"/>
    <n v="15"/>
  </r>
  <r>
    <s v="FLUJO"/>
    <n v="20613179691"/>
    <s v="CONSORCIO EDUCATIVO PROJECTS SERVICES SOLUTION S.A.C."/>
    <s v="202508"/>
    <x v="45"/>
    <n v="299.59000000000003"/>
    <s v="OCTUBRE"/>
    <n v="15"/>
  </r>
  <r>
    <s v="FLUJO"/>
    <n v="20600987047"/>
    <s v="GRUPO DORADO SERVICIOS GENERALES EIRL"/>
    <s v="202507, 202506"/>
    <x v="45"/>
    <n v="1014.19"/>
    <s v="OCTUBRE"/>
    <n v="15"/>
  </r>
  <r>
    <s v="FLUJO"/>
    <n v="20601491002"/>
    <s v="ZEMATEL CUSCO EIRL"/>
    <s v="202507"/>
    <x v="45"/>
    <n v="131.44"/>
    <s v="OCTUBRE"/>
    <n v="15"/>
  </r>
  <r>
    <s v="FLUJO"/>
    <n v="20611260831"/>
    <s v="GRUPO MEKA INMOBILIARIA Y CONSTRUCTORA S.A.C."/>
    <s v="202507, 202506, 202505, 202504"/>
    <x v="45"/>
    <n v="883.69999999999993"/>
    <s v="OCTUBRE"/>
    <n v="15"/>
  </r>
  <r>
    <s v="FLUJO"/>
    <n v="20606587334"/>
    <s v="EPM LEGAL MANAGEMENT S.A.C."/>
    <s v="202506, 202505, 202504, 202503, 202508, 202507"/>
    <x v="45"/>
    <n v="1061.8399999999999"/>
    <s v="OCTUBRE"/>
    <n v="15"/>
  </r>
  <r>
    <s v="FLUJO"/>
    <n v="20604260923"/>
    <s v="BIO EMPAQUES S.A.C."/>
    <s v="202505, 202504, 202507, 202506"/>
    <x v="45"/>
    <n v="533.45999999999992"/>
    <s v="OCTUBRE"/>
    <n v="15"/>
  </r>
  <r>
    <s v="PRESUNTA"/>
    <n v="20482844694"/>
    <s v="DIESEL TRUCK PARTS SAC"/>
    <s v="202508"/>
    <x v="45"/>
    <n v="744.83"/>
    <s v="OCTUBRE"/>
    <n v="15"/>
  </r>
  <r>
    <s v="REAL TOTAL"/>
    <n v="20611115025"/>
    <s v="ALOHA PEM S.A.C."/>
    <s v="202503"/>
    <x v="45"/>
    <n v="272.38"/>
    <s v="OCTUBRE"/>
    <n v="15"/>
  </r>
  <r>
    <s v="REAL TOTAL"/>
    <n v="20611654279"/>
    <s v="CONSORCIO JIANGO CONSTRUCTORES"/>
    <s v="202502"/>
    <x v="45"/>
    <n v="197.98000000000002"/>
    <s v="OCTUBRE"/>
    <n v="15"/>
  </r>
  <r>
    <s v="REAL TOTAL"/>
    <n v="20612206334"/>
    <s v="CONSORCIO DEYSUR"/>
    <s v="202502"/>
    <x v="45"/>
    <n v="386.94"/>
    <s v="OCTUBRE"/>
    <n v="15"/>
  </r>
  <r>
    <s v="REAL TOTAL"/>
    <n v="20565209290"/>
    <s v="FRANSU TRADING SAC"/>
    <s v="201910, 201909, 201908"/>
    <x v="45"/>
    <n v="754.72"/>
    <s v="OCTUBRE"/>
    <n v="15"/>
  </r>
  <r>
    <s v="REAL TOTAL"/>
    <n v="20379559141"/>
    <s v="HIPER FAST SAC"/>
    <s v="201108"/>
    <x v="45"/>
    <n v="64.39"/>
    <s v="OCTUBRE"/>
    <n v="15"/>
  </r>
  <r>
    <s v="REAL TOTAL"/>
    <n v="20504874746"/>
    <s v="JUNTA DE PROPIETARIOS DEL EDIFCIO MAR MARIS"/>
    <s v="201007"/>
    <x v="45"/>
    <n v="231.97"/>
    <s v="OCTUBRE"/>
    <n v="15"/>
  </r>
  <r>
    <s v="REAL TOTAL"/>
    <n v="20512709088"/>
    <s v="CARDIOPULMONARY CARE SAC"/>
    <s v="201006"/>
    <x v="45"/>
    <n v="221.72"/>
    <s v="OCTUBRE"/>
    <n v="15"/>
  </r>
  <r>
    <s v="FLUJO"/>
    <n v="10430270627"/>
    <s v="SANCHEZ SOTO FREDDY ALEJANDRO"/>
    <s v="202508, 202507"/>
    <x v="46"/>
    <n v="288.31"/>
    <s v="OCTUBRE"/>
    <n v="15"/>
  </r>
  <r>
    <s v="FLUJO"/>
    <n v="20454041373"/>
    <s v="INVERSIONES Y REPRESENTACIONES FIRENZE SAC"/>
    <s v="202508"/>
    <x v="46"/>
    <n v="391.6"/>
    <s v="OCTUBRE"/>
    <n v="15"/>
  </r>
  <r>
    <s v="FLUJO"/>
    <n v="20570586417"/>
    <s v="DAYANNA INGENIEROS SRL"/>
    <s v="202508"/>
    <x v="46"/>
    <n v="543.01"/>
    <s v="OCTUBRE"/>
    <n v="15"/>
  </r>
  <r>
    <s v="FLUJO"/>
    <n v="20600112784"/>
    <s v="AGCL STUDIOS  S.A.C."/>
    <s v="202508, 202507, 202506, 202505"/>
    <x v="46"/>
    <n v="581.84999999999991"/>
    <s v="OCTUBRE"/>
    <n v="15"/>
  </r>
  <r>
    <s v="FLUJO"/>
    <n v="20610097937"/>
    <s v="SOMBRA IMEX S.A.C."/>
    <s v="202508"/>
    <x v="46"/>
    <n v="223.34"/>
    <s v="OCTUBRE"/>
    <n v="15"/>
  </r>
  <r>
    <s v="REAL TOTAL"/>
    <n v="20558653532"/>
    <s v="HIDROMAR G Y M SRL"/>
    <s v="202408, 202407, 202406"/>
    <x v="46"/>
    <n v="1178.31"/>
    <s v="OCTUBRE"/>
    <n v="15"/>
  </r>
  <r>
    <s v="FLUJO"/>
    <n v="10182121814"/>
    <s v="MURGA SANTILLAN MARCO ANTONIO"/>
    <s v="202508, 202507"/>
    <x v="47"/>
    <n v="694.48"/>
    <s v="OCTUBRE"/>
    <n v="16"/>
  </r>
  <r>
    <s v="FLUJO"/>
    <n v="10752460715"/>
    <s v="TTITO AMAU MISHELL ALEXANDRA"/>
    <s v="202508, 202507, 202506"/>
    <x v="47"/>
    <n v="394.95000000000005"/>
    <s v="OCTUBRE"/>
    <n v="16"/>
  </r>
  <r>
    <s v="FLUJO"/>
    <n v="20102982020"/>
    <s v="CLÃNICA VIRGEN DEL PILAR SCRL"/>
    <s v="202508, 202507"/>
    <x v="47"/>
    <n v="1121.46"/>
    <s v="OCTUBRE"/>
    <n v="16"/>
  </r>
  <r>
    <s v="FLUJO"/>
    <n v="20212246698"/>
    <s v="ASOCIACION DEPORTIVA ALIANZA SULLANA"/>
    <s v="202508"/>
    <x v="47"/>
    <n v="1328.59"/>
    <s v="OCTUBRE"/>
    <n v="16"/>
  </r>
  <r>
    <s v="FLUJO"/>
    <n v="20508330201"/>
    <s v="SOMERLY E.I.R.L."/>
    <s v="202508, 202507, 202506"/>
    <x v="47"/>
    <n v="394.95000000000005"/>
    <s v="OCTUBRE"/>
    <n v="16"/>
  </r>
  <r>
    <s v="FLUJO"/>
    <n v="20514777749"/>
    <s v="DESTILERIA VILLACURI SAC"/>
    <s v="202508, 202507, 202506, 202505, 202504"/>
    <x v="47"/>
    <n v="1664.01"/>
    <s v="OCTUBRE"/>
    <n v="16"/>
  </r>
  <r>
    <s v="FLUJO"/>
    <n v="20563127229"/>
    <s v="3MD TRANSPORTE Y LOGISTICA SRL"/>
    <s v="202508, 202507"/>
    <x v="47"/>
    <n v="1236.5"/>
    <s v="OCTUBRE"/>
    <n v="16"/>
  </r>
  <r>
    <s v="FLUJO"/>
    <n v="20604173575"/>
    <s v="TRANSPORTES GARABANDAL E.I.R.L."/>
    <s v="202508"/>
    <x v="47"/>
    <n v="752.68000000000006"/>
    <s v="OCTUBRE"/>
    <n v="16"/>
  </r>
  <r>
    <s v="FLUJO"/>
    <n v="20604543488"/>
    <s v="ATENAS  SAN VALENTIN S A C"/>
    <s v="202508, 202507, 202506, 202505, 202504, 202503"/>
    <x v="47"/>
    <n v="1796.06"/>
    <s v="OCTUBRE"/>
    <n v="16"/>
  </r>
  <r>
    <s v="FLUJO"/>
    <n v="20606532777"/>
    <s v="INVERSIONES JHOSDANS E.I.R.L"/>
    <s v="202508, 202507, 202506"/>
    <x v="47"/>
    <n v="394.95000000000005"/>
    <s v="OCTUBRE"/>
    <n v="16"/>
  </r>
  <r>
    <s v="FLUJO"/>
    <n v="20607574406"/>
    <s v="AGROVET ANDINA GROUP S.A.C."/>
    <s v="202508"/>
    <x v="47"/>
    <n v="287.18"/>
    <s v="OCTUBRE"/>
    <n v="16"/>
  </r>
  <r>
    <s v="FLUJO"/>
    <n v="20608373544"/>
    <s v="SERVICIOS DE TRANSPORTE Y ALQUILER ALTAMIRANO SAC"/>
    <s v="202508, 202507"/>
    <x v="47"/>
    <n v="659"/>
    <s v="OCTUBRE"/>
    <n v="16"/>
  </r>
  <r>
    <s v="FLUJO"/>
    <n v="20610886214"/>
    <s v="PERU MALLAS VIP SAC"/>
    <s v="202508, 202507"/>
    <x v="47"/>
    <n v="262.10000000000002"/>
    <s v="OCTUBRE"/>
    <n v="16"/>
  </r>
  <r>
    <s v="FLUJO"/>
    <n v="10465159800"/>
    <s v="CARRERA MELGAR JEFFRY MARTIN"/>
    <s v="202507, 202506"/>
    <x v="47"/>
    <n v="290.86"/>
    <s v="OCTUBRE"/>
    <n v="16"/>
  </r>
  <r>
    <s v="FLUJO"/>
    <n v="20366248766"/>
    <s v="SIKMAZ SERVICE EIRL"/>
    <s v="202505, 202507, 202506"/>
    <x v="47"/>
    <n v="398.93999999999994"/>
    <s v="OCTUBRE"/>
    <n v="16"/>
  </r>
  <r>
    <s v="FLUJO"/>
    <n v="20603441312"/>
    <s v="TRANSPORTES MOLLE SOCIEDAD ANONIMA CERRADA"/>
    <s v="202508"/>
    <x v="47"/>
    <n v="301.85000000000002"/>
    <s v="OCTUBRE"/>
    <n v="16"/>
  </r>
  <r>
    <s v="PRESUNTA"/>
    <n v="20450583953"/>
    <s v="FATSUR SRL"/>
    <s v="202508, 202507, 202506, 202505, 202504"/>
    <x v="47"/>
    <n v="470.17"/>
    <s v="OCTUBRE"/>
    <n v="16"/>
  </r>
  <r>
    <s v="PRESUNTA"/>
    <n v="20603583371"/>
    <s v="TAYPI UMA COMERCIO Y SERVICIOS GENERALES E.I.R.L."/>
    <s v="202508"/>
    <x v="47"/>
    <n v="287.18"/>
    <s v="OCTUBRE"/>
    <n v="16"/>
  </r>
  <r>
    <s v="PRESUNTA"/>
    <n v="20608866851"/>
    <s v="CENTRO DE ESPECIALIDADES OFTALMOLOGICAS E.I.R.L."/>
    <s v="202508"/>
    <x v="47"/>
    <n v="130.54"/>
    <s v="OCTUBRE"/>
    <n v="16"/>
  </r>
  <r>
    <s v="REAL TOTAL"/>
    <n v="20392819615"/>
    <s v="APS SERVICIOS GENERALES SAC"/>
    <s v="202404"/>
    <x v="47"/>
    <n v="963.44"/>
    <s v="OCTUBRE"/>
    <n v="16"/>
  </r>
  <r>
    <s v="REAL TOTAL"/>
    <n v="20601324955"/>
    <s v="SECONS CONSULTORES Y CONTRATISTAS S.A.C."/>
    <s v="201903, 201902"/>
    <x v="47"/>
    <n v="575.39"/>
    <s v="OCTUBRE"/>
    <n v="16"/>
  </r>
  <r>
    <s v="REAL TOTAL"/>
    <n v="20518314468"/>
    <s v="ALTA TECNOLOGIA MEDICA SAC"/>
    <s v="201006"/>
    <x v="47"/>
    <n v="219.15"/>
    <s v="OCTUBRE"/>
    <n v="16"/>
  </r>
  <r>
    <s v="FLUJO"/>
    <n v="20568106416"/>
    <s v="GRUPO LUCY LIZ SOCIEDAD ANONIMA CERRADA"/>
    <s v="202508, 202507, 202506"/>
    <x v="48"/>
    <n v="394.95000000000005"/>
    <s v="OCTUBRE"/>
    <n v="17"/>
  </r>
  <r>
    <s v="FLUJO"/>
    <n v="20600196678"/>
    <s v="AT YOUR SERVICE SRL"/>
    <s v="202508"/>
    <x v="48"/>
    <n v="254.14000000000001"/>
    <s v="OCTUBRE"/>
    <n v="17"/>
  </r>
  <r>
    <s v="FLUJO"/>
    <n v="20602930271"/>
    <s v="DIOS BRILLA EN MI SOCIEDAD ANONIMA CERRADA"/>
    <s v="202508"/>
    <x v="48"/>
    <n v="231.04"/>
    <s v="OCTUBRE"/>
    <n v="17"/>
  </r>
  <r>
    <s v="FLUJO"/>
    <n v="20603515910"/>
    <s v="SISTEMAS DE LIMPIEZA SAC"/>
    <s v="202508, 202507, 202506, 202505, 202504, 202503, 202502, 202501, 202412, 202411, 202410, 202409, 202408"/>
    <x v="48"/>
    <n v="1914.26"/>
    <s v="OCTUBRE"/>
    <n v="17"/>
  </r>
  <r>
    <s v="FLUJO"/>
    <n v="20603691513"/>
    <s v="CORPORACION RACOON SAC"/>
    <s v="202508, 202507, 202506, 202505"/>
    <x v="48"/>
    <n v="528.96"/>
    <s v="OCTUBRE"/>
    <n v="17"/>
  </r>
  <r>
    <s v="FLUJO"/>
    <n v="20606002131"/>
    <s v="ANTA CREATIVA SOLUCIONES INTEGRALES SAC"/>
    <s v="202508"/>
    <x v="48"/>
    <n v="242.59"/>
    <s v="OCTUBRE"/>
    <n v="17"/>
  </r>
  <r>
    <s v="FLUJO"/>
    <n v="20606072644"/>
    <s v="CORPORACION VERIMOBA S.A.C."/>
    <s v="202508, 202507, 202506, 202505, 202504"/>
    <x v="48"/>
    <n v="664.12"/>
    <s v="OCTUBRE"/>
    <n v="17"/>
  </r>
  <r>
    <s v="FLUJO"/>
    <n v="20606163429"/>
    <s v="LOGISTICA COMPLETA PERU EIRL"/>
    <s v="202508, 202507"/>
    <x v="48"/>
    <n v="262.10000000000002"/>
    <s v="OCTUBRE"/>
    <n v="17"/>
  </r>
  <r>
    <s v="FLUJO"/>
    <n v="20611025590"/>
    <s v="TESELIA STUDIO S.R.L."/>
    <s v="202508, 202507, 202506, 202505, 202504"/>
    <x v="48"/>
    <n v="664.12"/>
    <s v="OCTUBRE"/>
    <n v="17"/>
  </r>
  <r>
    <s v="FLUJO"/>
    <n v="20613317997"/>
    <s v="TRANSPORTES NATALE S.A.C."/>
    <s v="202508, 202507"/>
    <x v="48"/>
    <n v="417.5"/>
    <s v="OCTUBRE"/>
    <n v="17"/>
  </r>
  <r>
    <s v="FLUJO"/>
    <n v="20601337143"/>
    <s v="IEP GRUPO SAN ANTONIO SAC"/>
    <s v="202504, 202508, 202507, 202506, 202505"/>
    <x v="48"/>
    <n v="664.63"/>
    <s v="OCTUBRE"/>
    <n v="17"/>
  </r>
  <r>
    <s v="FLUJO"/>
    <n v="20601244471"/>
    <s v="GRUPO CJC SAC"/>
    <s v="202501, 202412"/>
    <x v="48"/>
    <n v="269.11"/>
    <s v="OCTUBRE"/>
    <n v="17"/>
  </r>
  <r>
    <s v="PRESUNTA"/>
    <n v="20610918957"/>
    <s v="RR TELCO SAC"/>
    <s v="202508"/>
    <x v="48"/>
    <n v="492.3"/>
    <s v="OCTUBRE"/>
    <n v="17"/>
  </r>
  <r>
    <s v="PRESUNTA"/>
    <n v="20610094113"/>
    <s v="AZ ESTRUCTURAS S.A.C."/>
    <s v="202507"/>
    <x v="48"/>
    <n v="209.57"/>
    <s v="OCTUBRE"/>
    <n v="17"/>
  </r>
  <r>
    <s v="REAL TOTAL"/>
    <n v="20610846999"/>
    <s v="EDGAR ALEJANDRO SUAREZ GUERRA E.I.R.L."/>
    <s v="202503"/>
    <x v="48"/>
    <n v="136.31"/>
    <s v="OCTUBRE"/>
    <n v="17"/>
  </r>
  <r>
    <s v="REAL TOTAL"/>
    <n v="20605350501"/>
    <s v="VC Y M OPERACIONES COMERCIALES EIRL"/>
    <s v="202412"/>
    <x v="48"/>
    <n v="140.16999999999999"/>
    <s v="OCTUBRE"/>
    <n v="17"/>
  </r>
  <r>
    <s v="REAL TOTAL"/>
    <n v="20523401794"/>
    <s v="HC CONSULTING SAC"/>
    <s v="201109"/>
    <x v="48"/>
    <n v="31.25"/>
    <s v="OCTUBRE"/>
    <n v="17"/>
  </r>
  <r>
    <s v="REAL TOTAL"/>
    <n v="20522731537"/>
    <s v="GAM ALQUILER PERU SAC"/>
    <s v="201012"/>
    <x v="48"/>
    <n v="109.17"/>
    <s v="OCTUBRE"/>
    <n v="17"/>
  </r>
  <r>
    <s v="REAL TOTAL"/>
    <n v="20101097286"/>
    <s v="PANEZ ISHIDA FAESA"/>
    <s v="200907, 200906, 200904, 200903, 200902, 200812, 200607, 200602, 200408, 200401"/>
    <x v="48"/>
    <n v="11250.240000000002"/>
    <s v="OCTUBRE"/>
    <n v="17"/>
  </r>
  <r>
    <s v="FLUJO"/>
    <n v="20481101264"/>
    <s v="EXCELENTS EIRL"/>
    <s v="202508, 202507, 202506, 202505"/>
    <x v="49"/>
    <n v="529.22"/>
    <s v="OCTUBRE"/>
    <n v="18"/>
  </r>
  <r>
    <s v="FLUJO"/>
    <n v="20554010556"/>
    <s v="SERMED SERVICIOS INTEGRALES EN MEDICINA ESPECIALIZADA S.A.C."/>
    <s v="202508"/>
    <x v="49"/>
    <n v="417.37"/>
    <s v="OCTUBRE"/>
    <n v="18"/>
  </r>
  <r>
    <s v="FLUJO"/>
    <n v="20602493831"/>
    <s v="HIDRO SUPPLY EIRL"/>
    <s v="202508"/>
    <x v="49"/>
    <n v="1098.6399999999999"/>
    <s v="OCTUBRE"/>
    <n v="18"/>
  </r>
  <r>
    <s v="FLUJO"/>
    <n v="20602598811"/>
    <s v="AGROINDUSTRIAS ESPEJO PALOMINO SAC"/>
    <s v="202508"/>
    <x v="49"/>
    <n v="287.18"/>
    <s v="OCTUBRE"/>
    <n v="18"/>
  </r>
  <r>
    <s v="FLUJO"/>
    <n v="20603542194"/>
    <s v="CONSTRUCCION REDES Y TELECOMUNICACIONES SAC"/>
    <s v="202508"/>
    <x v="49"/>
    <n v="261.08"/>
    <s v="OCTUBRE"/>
    <n v="18"/>
  </r>
  <r>
    <s v="FLUJO"/>
    <n v="20612051004"/>
    <s v="J  S REAL STATE PERU S.A.C."/>
    <s v="202508, 202507"/>
    <x v="49"/>
    <n v="262.24"/>
    <s v="OCTUBRE"/>
    <n v="18"/>
  </r>
  <r>
    <s v="FLUJO"/>
    <n v="20613730509"/>
    <s v="GRUPO DIAMOND S.A.C."/>
    <s v="202508, 202507, 202506, 202505"/>
    <x v="49"/>
    <n v="1405"/>
    <s v="OCTUBRE"/>
    <n v="18"/>
  </r>
  <r>
    <s v="FLUJO"/>
    <n v="20614073331"/>
    <s v="SECUREVEST E.I.R.L"/>
    <s v="202508, 202507"/>
    <x v="49"/>
    <n v="1066.44"/>
    <s v="OCTUBRE"/>
    <n v="18"/>
  </r>
  <r>
    <s v="FLUJO"/>
    <n v="20608296167"/>
    <s v="DIFAMMEI S.A.C"/>
    <s v="202507"/>
    <x v="49"/>
    <n v="233.09"/>
    <s v="OCTUBRE"/>
    <n v="18"/>
  </r>
  <r>
    <s v="FLUJO"/>
    <n v="20613167260"/>
    <s v="BIOFER TRADING S.A.C."/>
    <s v="202507"/>
    <x v="49"/>
    <n v="145.69"/>
    <s v="OCTUBRE"/>
    <n v="18"/>
  </r>
  <r>
    <s v="FLUJO"/>
    <n v="20551180272"/>
    <s v="YM CONTRATISTAS SAC"/>
    <s v="202506"/>
    <x v="49"/>
    <n v="176.35"/>
    <s v="OCTUBRE"/>
    <n v="18"/>
  </r>
  <r>
    <s v="FLUJO"/>
    <n v="20525653162"/>
    <s v="CORPORACION INTERN. CARRILLO E.I.R.L."/>
    <s v="202505"/>
    <x v="49"/>
    <n v="147.55000000000001"/>
    <s v="OCTUBRE"/>
    <n v="18"/>
  </r>
  <r>
    <s v="FLUJO"/>
    <n v="20602468748"/>
    <s v="PG SCHLUMBOHM SAC"/>
    <s v="202504, 202503"/>
    <x v="49"/>
    <n v="1469.3400000000001"/>
    <s v="OCTUBRE"/>
    <n v="18"/>
  </r>
  <r>
    <s v="FLUJO"/>
    <n v="20607013927"/>
    <s v="REYDEOROS COMPANY S.A.C."/>
    <s v="202504, 202507, 202506, 202505, 202508"/>
    <x v="49"/>
    <n v="1117.52"/>
    <s v="OCTUBRE"/>
    <n v="18"/>
  </r>
  <r>
    <s v="FLUJO"/>
    <n v="20602965563"/>
    <s v="TIVOLI GROUP SAC"/>
    <s v="202508, 202507"/>
    <x v="49"/>
    <n v="290.09000000000003"/>
    <s v="OCTUBRE"/>
    <n v="18"/>
  </r>
  <r>
    <s v="FLUJO"/>
    <n v="20613570501"/>
    <s v="JECK CONSTRUCCIONES EIRL"/>
    <s v="202508, 202507"/>
    <x v="49"/>
    <n v="301.68"/>
    <s v="OCTUBRE"/>
    <n v="18"/>
  </r>
  <r>
    <s v="PRESUNTA"/>
    <n v="20608756427"/>
    <s v="DISTRIBUIDORA FARMACÃ‰UTICA MEDICAL PERÃš S.A.C"/>
    <s v="202508"/>
    <x v="49"/>
    <n v="65.260000000000005"/>
    <s v="OCTUBRE"/>
    <n v="18"/>
  </r>
  <r>
    <s v="REAL TOTAL"/>
    <n v="20603642059"/>
    <s v="Fazza Consultores S.A.C."/>
    <s v="202310, 202309, 202308"/>
    <x v="49"/>
    <n v="662.71"/>
    <s v="OCTUBRE"/>
    <n v="18"/>
  </r>
  <r>
    <s v="REAL TOTAL"/>
    <n v="20392983504"/>
    <s v="COMERCIALIZADORA MARGAGU EIRL"/>
    <s v="202204, 202203"/>
    <x v="49"/>
    <n v="5.96"/>
    <s v="OCTUBRE"/>
    <n v="18"/>
  </r>
  <r>
    <s v="FLUJO"/>
    <n v="20515307720"/>
    <s v="PERUTOURS SAC"/>
    <s v="202508"/>
    <x v="50"/>
    <n v="237.06"/>
    <s v="OCTUBRE"/>
    <n v="19"/>
  </r>
  <r>
    <s v="FLUJO"/>
    <n v="20610665501"/>
    <s v="PLANCK X ENERGY PERÃš S.A.C.S"/>
    <s v="202508"/>
    <x v="50"/>
    <n v="578.16"/>
    <s v="OCTUBRE"/>
    <n v="19"/>
  </r>
  <r>
    <s v="FLUJO"/>
    <n v="20610791086"/>
    <s v="V-LOZ OPERADOR LOGISTICO S.A.C."/>
    <s v="202508, 202507, 202506, 202505, 202504"/>
    <x v="50"/>
    <n v="1270.27"/>
    <s v="OCTUBRE"/>
    <n v="19"/>
  </r>
  <r>
    <s v="FLUJO"/>
    <n v="20611713062"/>
    <s v="24 CUADROS AUDIOVISUAL S.A.C."/>
    <s v="202508, 202507, 202506, 202505, 202504"/>
    <x v="50"/>
    <n v="1176.5800000000002"/>
    <s v="OCTUBRE"/>
    <n v="19"/>
  </r>
  <r>
    <s v="FLUJO"/>
    <n v="20506684286"/>
    <s v="TACTICO MKT SAC"/>
    <s v="202507, 202506, 202505, 202504, 202503"/>
    <x v="50"/>
    <n v="670.55"/>
    <s v="OCTUBRE"/>
    <n v="19"/>
  </r>
  <r>
    <s v="FLUJO"/>
    <n v="20570835492"/>
    <s v="ALFRED TRANS EIRL"/>
    <s v="202506, 202505, 202508, 202507"/>
    <x v="50"/>
    <n v="529.47"/>
    <s v="OCTUBRE"/>
    <n v="19"/>
  </r>
  <r>
    <s v="REAL TOTAL"/>
    <n v="20536708732"/>
    <s v="TRIBALHOST SOCIEDAD ANONIMA CERRADA"/>
    <s v="202503"/>
    <x v="50"/>
    <n v="136.45000000000002"/>
    <s v="OCTUBRE"/>
    <n v="19"/>
  </r>
  <r>
    <s v="REAL TOTAL"/>
    <n v="20613488619"/>
    <s v="VIGILANCIA TAURO SOCIEDAD ANONIMA CERRADA"/>
    <s v="202501"/>
    <x v="50"/>
    <n v="138.76"/>
    <s v="OCTUBRE"/>
    <n v="1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5">
  <r>
    <s v="FLUJO"/>
    <n v="10046361666"/>
    <s v="ROSAS MENDOZA MARIA DEL PILAR"/>
    <s v="202507, 202506"/>
    <d v="2025-09-08T00:00:00"/>
    <n v="260.56"/>
    <x v="0"/>
    <x v="0"/>
  </r>
  <r>
    <s v="FLUJO"/>
    <n v="10078860184"/>
    <s v="DULANTO GILARDI OSCAR"/>
    <s v="202507"/>
    <d v="2025-09-08T00:00:00"/>
    <n v="162.67000000000002"/>
    <x v="0"/>
    <x v="0"/>
  </r>
  <r>
    <s v="FLUJO"/>
    <n v="10410951695"/>
    <s v="EVANGELISTA JULCA NORMA ISABEL"/>
    <s v="202507"/>
    <d v="2025-09-08T00:00:00"/>
    <n v="147.88"/>
    <x v="0"/>
    <x v="0"/>
  </r>
  <r>
    <s v="FLUJO"/>
    <n v="20445526127"/>
    <s v="SERV IND HALAVISI SAC"/>
    <s v="202507"/>
    <d v="2025-09-08T00:00:00"/>
    <n v="257.28000000000003"/>
    <x v="0"/>
    <x v="0"/>
  </r>
  <r>
    <s v="FLUJO"/>
    <n v="20488084411"/>
    <s v="PRODUCTOS LACTEOS NATURALES SAC"/>
    <s v="202507, 202506"/>
    <d v="2025-09-08T00:00:00"/>
    <n v="1486.4299999999998"/>
    <x v="0"/>
    <x v="0"/>
  </r>
  <r>
    <s v="FLUJO"/>
    <n v="20516235684"/>
    <s v="J. TRIPLE E. E.I.R.L"/>
    <s v="202507"/>
    <d v="2025-09-08T00:00:00"/>
    <n v="162.67000000000002"/>
    <x v="0"/>
    <x v="0"/>
  </r>
  <r>
    <s v="FLUJO"/>
    <n v="20544624335"/>
    <s v="GLOBAL TOOLS PERU SAC"/>
    <s v="202507"/>
    <d v="2025-09-08T00:00:00"/>
    <n v="132.26"/>
    <x v="0"/>
    <x v="0"/>
  </r>
  <r>
    <s v="FLUJO"/>
    <n v="20549404911"/>
    <s v="REPARACIONES ESPECIALES SAC"/>
    <s v="202507"/>
    <d v="2025-09-08T00:00:00"/>
    <n v="211.09"/>
    <x v="0"/>
    <x v="0"/>
  </r>
  <r>
    <s v="FLUJO"/>
    <n v="20549504621"/>
    <s v="SOCIOS SERNOVA SAC"/>
    <s v="202507"/>
    <d v="2025-09-08T00:00:00"/>
    <n v="147.88"/>
    <x v="0"/>
    <x v="0"/>
  </r>
  <r>
    <s v="FLUJO"/>
    <n v="20556274011"/>
    <s v="3D CONCEPT STUDIO EIRL"/>
    <s v="202507"/>
    <d v="2025-09-08T00:00:00"/>
    <n v="150.51"/>
    <x v="0"/>
    <x v="0"/>
  </r>
  <r>
    <s v="FLUJO"/>
    <n v="20601321069"/>
    <s v="INVERSIONES AGROALIMENTARIA SRL"/>
    <s v="202507"/>
    <d v="2025-09-08T00:00:00"/>
    <n v="147.88"/>
    <x v="0"/>
    <x v="0"/>
  </r>
  <r>
    <s v="FLUJO"/>
    <n v="20603638914"/>
    <s v="LA ADICCION FAST FOOD E.I.R.L."/>
    <s v="202507"/>
    <d v="2025-09-08T00:00:00"/>
    <n v="147.88"/>
    <x v="0"/>
    <x v="0"/>
  </r>
  <r>
    <s v="FLUJO"/>
    <n v="20607283771"/>
    <s v="NEMAS SERVICIOS E.I.R.L."/>
    <s v="202507, 202506, 202505"/>
    <d v="2025-09-08T00:00:00"/>
    <n v="392.63"/>
    <x v="0"/>
    <x v="0"/>
  </r>
  <r>
    <s v="FLUJO"/>
    <n v="20608444158"/>
    <s v="AQUASHIELD PERU S.A.C."/>
    <s v="202507"/>
    <d v="2025-09-08T00:00:00"/>
    <n v="147.88"/>
    <x v="0"/>
    <x v="0"/>
  </r>
  <r>
    <s v="FLUJO"/>
    <n v="20608525239"/>
    <s v="CORPORACION DE EXPORTACIONES PIMA SAC"/>
    <s v="202507"/>
    <d v="2025-09-08T00:00:00"/>
    <n v="129.63999999999999"/>
    <x v="0"/>
    <x v="0"/>
  </r>
  <r>
    <s v="FLUJO"/>
    <n v="20487574130"/>
    <s v="CONSTRUCTORA CAMINOS DEL INCA S.A.C."/>
    <s v="202506"/>
    <d v="2025-09-08T00:00:00"/>
    <n v="164.28"/>
    <x v="0"/>
    <x v="0"/>
  </r>
  <r>
    <s v="FLUJO"/>
    <n v="20554217657"/>
    <s v="ASCENSORES JY SOCIEDAD ANONIMA CERRADA"/>
    <s v="202506, 202507"/>
    <d v="2025-09-08T00:00:00"/>
    <n v="1316.27"/>
    <x v="0"/>
    <x v="0"/>
  </r>
  <r>
    <s v="FLUJO"/>
    <n v="20603072007"/>
    <s v="consultora fenix srl"/>
    <s v="202506"/>
    <d v="2025-09-08T00:00:00"/>
    <n v="177.43"/>
    <x v="0"/>
    <x v="0"/>
  </r>
  <r>
    <s v="FLUJO"/>
    <n v="20608214055"/>
    <s v="GESTIONES CARDT EIRL"/>
    <s v="202506, 202505"/>
    <d v="2025-09-08T00:00:00"/>
    <n v="262.99"/>
    <x v="0"/>
    <x v="0"/>
  </r>
  <r>
    <s v="FLUJO"/>
    <n v="10466541091"/>
    <s v="VALDERA SUCLUPE LUCILA ESTHER"/>
    <s v="202505, 202504"/>
    <d v="2025-09-08T00:00:00"/>
    <n v="132.66"/>
    <x v="0"/>
    <x v="0"/>
  </r>
  <r>
    <s v="FLUJO"/>
    <n v="20555713097"/>
    <s v="AGEIN CONTRUCTORES SAC"/>
    <s v="202504"/>
    <d v="2025-09-08T00:00:00"/>
    <n v="313.25"/>
    <x v="0"/>
    <x v="0"/>
  </r>
  <r>
    <s v="FLUJO"/>
    <n v="20606097485"/>
    <s v="KADE SERVICES PERU E.I.R.L"/>
    <s v="202504, 202503"/>
    <d v="2025-09-08T00:00:00"/>
    <n v="516.54999999999995"/>
    <x v="0"/>
    <x v="0"/>
  </r>
  <r>
    <s v="REAL TOTAL"/>
    <n v="20329560687"/>
    <s v="DAEWOO INTERNATIONAL CORPORATION SUCURSAL PERUANA"/>
    <s v="201001"/>
    <d v="2025-09-08T00:00:00"/>
    <n v="59.57"/>
    <x v="0"/>
    <x v="0"/>
  </r>
  <r>
    <s v="FLUJO"/>
    <n v="10033516377"/>
    <s v="YARLEQUE INGA MIGUEL"/>
    <s v="202507"/>
    <d v="2025-09-09T00:00:00"/>
    <n v="301.62"/>
    <x v="0"/>
    <x v="1"/>
  </r>
  <r>
    <s v="FLUJO"/>
    <n v="10166488911"/>
    <s v="ORTEGA HIDROGO OSCAR OCTAVIO"/>
    <s v="202507, 202506"/>
    <d v="2025-09-09T00:00:00"/>
    <n v="260.68"/>
    <x v="0"/>
    <x v="1"/>
  </r>
  <r>
    <s v="FLUJO"/>
    <n v="10282272844"/>
    <s v="PARBINA SOTO GRACIELA BETHY"/>
    <s v="202507, 202506"/>
    <d v="2025-09-09T00:00:00"/>
    <n v="243.48000000000002"/>
    <x v="0"/>
    <x v="1"/>
  </r>
  <r>
    <s v="FLUJO"/>
    <n v="10404091382"/>
    <s v="APAZA SARCCO MAXIMO"/>
    <s v="202507, 202506"/>
    <d v="2025-09-09T00:00:00"/>
    <n v="276.83000000000004"/>
    <x v="0"/>
    <x v="1"/>
  </r>
  <r>
    <s v="FLUJO"/>
    <n v="10425771421"/>
    <s v="MALDONADO INCA ALFREDO"/>
    <s v="202507"/>
    <d v="2025-09-09T00:00:00"/>
    <n v="148.03"/>
    <x v="0"/>
    <x v="1"/>
  </r>
  <r>
    <s v="FLUJO"/>
    <n v="10742126281"/>
    <s v="PEÃ‘AFLOR DE SOUZA BRUNELA"/>
    <s v="202507"/>
    <d v="2025-09-09T00:00:00"/>
    <n v="148.03"/>
    <x v="0"/>
    <x v="1"/>
  </r>
  <r>
    <s v="FLUJO"/>
    <n v="10804399661"/>
    <s v="PAREDES PEREZ LORENZO"/>
    <s v="202507, 202506, 202505"/>
    <d v="2025-09-09T00:00:00"/>
    <n v="392.89"/>
    <x v="0"/>
    <x v="1"/>
  </r>
  <r>
    <s v="FLUJO"/>
    <n v="20392883119"/>
    <s v="MULTISERVICIOS SAN PEDRO DE CORONGO EIRL"/>
    <s v="202507"/>
    <d v="2025-09-09T00:00:00"/>
    <n v="148.03"/>
    <x v="0"/>
    <x v="1"/>
  </r>
  <r>
    <s v="FLUJO"/>
    <n v="20487604225"/>
    <s v="ESTUDIO ROQUE SALAZAR Y ASOCIADOS SAC"/>
    <s v="202507, 202506"/>
    <d v="2025-09-09T00:00:00"/>
    <n v="260.68"/>
    <x v="0"/>
    <x v="1"/>
  </r>
  <r>
    <s v="FLUJO"/>
    <n v="20494017793"/>
    <s v="abaco ingenieros sac"/>
    <s v="202507"/>
    <d v="2025-09-09T00:00:00"/>
    <n v="277.78999999999996"/>
    <x v="0"/>
    <x v="1"/>
  </r>
  <r>
    <s v="FLUJO"/>
    <n v="20517094626"/>
    <s v="RYC MERCHANDISING CORP EIRL"/>
    <s v="202507"/>
    <d v="2025-09-09T00:00:00"/>
    <n v="162.83000000000001"/>
    <x v="0"/>
    <x v="1"/>
  </r>
  <r>
    <s v="FLUJO"/>
    <n v="20548423920"/>
    <s v="AGROTECH GROUP SAC"/>
    <s v="202507, 202506, 202505"/>
    <d v="2025-09-09T00:00:00"/>
    <n v="392.89"/>
    <x v="0"/>
    <x v="1"/>
  </r>
  <r>
    <s v="FLUJO"/>
    <n v="20551404995"/>
    <s v="PHVA PERU S.A.C."/>
    <s v="202507"/>
    <d v="2025-09-09T00:00:00"/>
    <n v="148.03"/>
    <x v="0"/>
    <x v="1"/>
  </r>
  <r>
    <s v="FLUJO"/>
    <n v="20555441232"/>
    <s v="DGALLDI S.A.C."/>
    <s v="202507"/>
    <d v="2025-09-09T00:00:00"/>
    <n v="148.03"/>
    <x v="0"/>
    <x v="1"/>
  </r>
  <r>
    <s v="FLUJO"/>
    <n v="20558226031"/>
    <s v="H  T TRANSPORTES  HERNAN COLLADO BLANCO SRL"/>
    <s v="202507, 202506"/>
    <d v="2025-09-09T00:00:00"/>
    <n v="810.47"/>
    <x v="0"/>
    <x v="1"/>
  </r>
  <r>
    <s v="FLUJO"/>
    <n v="20600487109"/>
    <s v="MULTISERVICIOS URARINAS S.R.L"/>
    <s v="202507, 202506, 202505, 202504"/>
    <d v="2025-09-09T00:00:00"/>
    <n v="182.36"/>
    <x v="0"/>
    <x v="1"/>
  </r>
  <r>
    <s v="FLUJO"/>
    <n v="20601777194"/>
    <s v="CORPORACION GOLDEN SUN SAC"/>
    <s v="202507"/>
    <d v="2025-09-09T00:00:00"/>
    <n v="148.03"/>
    <x v="0"/>
    <x v="1"/>
  </r>
  <r>
    <s v="FLUJO"/>
    <n v="20602122132"/>
    <s v="SERVICIO LOGISTICO E Y M E.I.R.L."/>
    <s v="202507, 202506"/>
    <d v="2025-09-09T00:00:00"/>
    <n v="302.90000000000003"/>
    <x v="0"/>
    <x v="1"/>
  </r>
  <r>
    <s v="FLUJO"/>
    <n v="20608418009"/>
    <s v="REAL COMPANY W M S.A.C."/>
    <s v="202507"/>
    <d v="2025-09-09T00:00:00"/>
    <n v="1457.26"/>
    <x v="0"/>
    <x v="1"/>
  </r>
  <r>
    <s v="FLUJO"/>
    <n v="20608555774"/>
    <s v="INVERSIONES MICA Y NERITA E.I.R.L."/>
    <s v="202507, 202506"/>
    <d v="2025-09-09T00:00:00"/>
    <n v="479.94"/>
    <x v="0"/>
    <x v="1"/>
  </r>
  <r>
    <s v="FLUJO"/>
    <n v="20610309101"/>
    <s v="HEIMPER GROUP E.I.R.L."/>
    <s v="202507"/>
    <d v="2025-09-09T00:00:00"/>
    <n v="148.03"/>
    <x v="0"/>
    <x v="1"/>
  </r>
  <r>
    <s v="FLUJO"/>
    <n v="20611040157"/>
    <s v="TRANSPORTE SOFIS S.A.C."/>
    <s v="202507"/>
    <d v="2025-09-09T00:00:00"/>
    <n v="148.03"/>
    <x v="0"/>
    <x v="1"/>
  </r>
  <r>
    <s v="FLUJO"/>
    <n v="20611202874"/>
    <s v="CONSORCIO AGUAFIT S.A.C"/>
    <s v="202507"/>
    <d v="2025-09-09T00:00:00"/>
    <n v="148.03"/>
    <x v="0"/>
    <x v="1"/>
  </r>
  <r>
    <s v="FLUJO"/>
    <n v="20612675580"/>
    <s v="CALLHUB E.I.R.L"/>
    <s v="202507, 202506, 202505"/>
    <d v="2025-09-09T00:00:00"/>
    <n v="455.84"/>
    <x v="0"/>
    <x v="1"/>
  </r>
  <r>
    <s v="FLUJO"/>
    <n v="20613125915"/>
    <s v="MONTE BOSQUE SAC"/>
    <s v="202507, 202506, 202505"/>
    <d v="2025-09-09T00:00:00"/>
    <n v="816.51"/>
    <x v="0"/>
    <x v="1"/>
  </r>
  <r>
    <s v="FLUJO"/>
    <n v="20613343572"/>
    <s v="DV SMART SOLUTION E.I.R.L."/>
    <s v="202507, 202506, 202504, 202503"/>
    <d v="2025-09-09T00:00:00"/>
    <n v="528.43000000000006"/>
    <x v="0"/>
    <x v="1"/>
  </r>
  <r>
    <s v="FLUJO"/>
    <n v="20613695231"/>
    <s v="APIWORKING LATAM S.A.C."/>
    <s v="202507"/>
    <d v="2025-09-09T00:00:00"/>
    <n v="277.78999999999996"/>
    <x v="0"/>
    <x v="1"/>
  </r>
  <r>
    <s v="FLUJO"/>
    <n v="10258051306"/>
    <s v="TINTINAPON CHIROQUE LUIS ABELARDO"/>
    <s v="202506, 202507"/>
    <d v="2025-09-09T00:00:00"/>
    <n v="260.95000000000005"/>
    <x v="0"/>
    <x v="1"/>
  </r>
  <r>
    <s v="FLUJO"/>
    <n v="10442282451"/>
    <s v="LARRY ALBERTO PANTA SANCHEZ"/>
    <s v="202506, 202505, 202504, 202507"/>
    <d v="2025-09-09T00:00:00"/>
    <n v="526.25"/>
    <x v="0"/>
    <x v="1"/>
  </r>
  <r>
    <s v="FLUJO"/>
    <n v="20478730021"/>
    <s v="SERVICIO DE MECANICA FINA B Y B SAC"/>
    <s v="202506, 202507"/>
    <d v="2025-09-09T00:00:00"/>
    <n v="261.20000000000005"/>
    <x v="0"/>
    <x v="1"/>
  </r>
  <r>
    <s v="FLUJO"/>
    <n v="20481285217"/>
    <s v="SERVICIOS MUTLIPLES REMA SAC"/>
    <s v="202506, 202507"/>
    <d v="2025-09-09T00:00:00"/>
    <n v="322.01"/>
    <x v="0"/>
    <x v="1"/>
  </r>
  <r>
    <s v="FLUJO"/>
    <n v="20502985664"/>
    <s v="RIVERA GERVASI ASOCIADOS ABOGADOS SCRL"/>
    <s v="202506"/>
    <d v="2025-09-09T00:00:00"/>
    <n v="149.35000000000002"/>
    <x v="0"/>
    <x v="1"/>
  </r>
  <r>
    <s v="FLUJO"/>
    <n v="20554590293"/>
    <s v="GREENERGY SAC"/>
    <s v="202506, 202507"/>
    <d v="2025-09-09T00:00:00"/>
    <n v="297.96000000000004"/>
    <x v="0"/>
    <x v="1"/>
  </r>
  <r>
    <s v="FLUJO"/>
    <n v="20608354418"/>
    <s v="SOCIEDAD AGRÃCOLA PAMPA GRANDE S.A.C."/>
    <s v="202506, 202505"/>
    <d v="2025-09-09T00:00:00"/>
    <n v="289.43"/>
    <x v="0"/>
    <x v="1"/>
  </r>
  <r>
    <s v="FLUJO"/>
    <n v="20533209883"/>
    <s v="CREE Y V SOLUCIONES S.R.L."/>
    <s v="202505, 202504, 202507, 202506"/>
    <d v="2025-09-09T00:00:00"/>
    <n v="1323.2200000000003"/>
    <x v="0"/>
    <x v="1"/>
  </r>
  <r>
    <s v="FLUJO"/>
    <n v="20602392113"/>
    <s v="Negocios de Informacion Tecnologia y Comunicaciones SAC"/>
    <s v="202505"/>
    <d v="2025-09-09T00:00:00"/>
    <n v="160.15"/>
    <x v="0"/>
    <x v="1"/>
  </r>
  <r>
    <s v="FLUJO"/>
    <n v="20612249581"/>
    <s v="CLEANING SERVICE KRYSTELL S.A.C"/>
    <s v="202505, 202506, 202507"/>
    <d v="2025-09-09T00:00:00"/>
    <n v="393.91999999999996"/>
    <x v="0"/>
    <x v="1"/>
  </r>
  <r>
    <s v="FLUJO"/>
    <n v="20613608851"/>
    <s v="AKIRA CORPORATION S.A.C."/>
    <s v="202505"/>
    <d v="2025-09-09T00:00:00"/>
    <n v="476.1"/>
    <x v="0"/>
    <x v="1"/>
  </r>
  <r>
    <s v="FLUJO"/>
    <n v="20610167650"/>
    <s v="TRANSPORTES ROGRIGO S.A.C."/>
    <s v="202504, 202503, 202507, 202506, 202505"/>
    <d v="2025-09-09T00:00:00"/>
    <n v="880.21"/>
    <x v="0"/>
    <x v="1"/>
  </r>
  <r>
    <s v="FLUJO"/>
    <n v="10442446089"/>
    <s v="GUEVARA LOZANO NILZON"/>
    <s v="202503, 202502"/>
    <d v="2025-09-09T00:00:00"/>
    <n v="202.94"/>
    <x v="0"/>
    <x v="1"/>
  </r>
  <r>
    <s v="FLUJO"/>
    <n v="20610010645"/>
    <s v="GRUPO R E.I.R.L."/>
    <s v="202503, 202505, 202504, 202507, 202506, 202502"/>
    <d v="2025-09-09T00:00:00"/>
    <n v="496.64"/>
    <x v="0"/>
    <x v="1"/>
  </r>
  <r>
    <s v="FLUJO"/>
    <n v="20612796182"/>
    <s v="CLINICA INTEGRAL AVANZADA DEL TRATAMIENTO DE LAS OBESIDADES"/>
    <s v="202503, 202505, 202504"/>
    <d v="2025-09-09T00:00:00"/>
    <n v="531.1"/>
    <x v="0"/>
    <x v="1"/>
  </r>
  <r>
    <s v="FLUJO"/>
    <n v="20600908937"/>
    <s v="BEPYC DEL PERU SOCIEDAD ANONIMA CERRADA"/>
    <s v="202502"/>
    <d v="2025-09-09T00:00:00"/>
    <n v="873.18999999999994"/>
    <x v="0"/>
    <x v="1"/>
  </r>
  <r>
    <s v="PRESUNTA"/>
    <n v="20101364403"/>
    <s v="MEM SAC"/>
    <s v="202507"/>
    <d v="2025-09-09T00:00:00"/>
    <n v="129.76"/>
    <x v="0"/>
    <x v="1"/>
  </r>
  <r>
    <s v="PRESUNTA"/>
    <n v="20562649906"/>
    <s v="LAVANDERIA PRESS SAC"/>
    <s v="202507"/>
    <d v="2025-09-09T00:00:00"/>
    <n v="142.74"/>
    <x v="0"/>
    <x v="1"/>
  </r>
  <r>
    <s v="REAL TOTAL"/>
    <n v="20372190028"/>
    <s v="AVP Y SEGURIDAD SAC"/>
    <s v="202507, 202506, 202505, 202504, 202503, 202502, 202501"/>
    <d v="2025-09-09T00:00:00"/>
    <n v="5735.0199999999995"/>
    <x v="0"/>
    <x v="1"/>
  </r>
  <r>
    <s v="FLUJO"/>
    <n v="10079437048"/>
    <s v="ANGOBALDO TORRES MALAGA MIGUEL GUILLERMO"/>
    <s v="202507"/>
    <d v="2025-09-10T00:00:00"/>
    <n v="162.83000000000001"/>
    <x v="0"/>
    <x v="2"/>
  </r>
  <r>
    <s v="FLUJO"/>
    <n v="10093825000"/>
    <s v="PANICHI PARDAVE BRUNO MARTIN"/>
    <s v="202507"/>
    <d v="2025-09-10T00:00:00"/>
    <n v="364.72999999999996"/>
    <x v="0"/>
    <x v="2"/>
  </r>
  <r>
    <s v="FLUJO"/>
    <n v="10178221278"/>
    <s v="CARRANZA CHAVEZ MARLENE MANUELA"/>
    <s v="202507"/>
    <d v="2025-09-10T00:00:00"/>
    <n v="148.03"/>
    <x v="0"/>
    <x v="2"/>
  </r>
  <r>
    <s v="FLUJO"/>
    <n v="10296193921"/>
    <s v="FARFAN ZEVALLOS CLORINDA"/>
    <s v="202507"/>
    <d v="2025-09-10T00:00:00"/>
    <n v="148.03"/>
    <x v="0"/>
    <x v="2"/>
  </r>
  <r>
    <s v="FLUJO"/>
    <n v="10452440208"/>
    <s v="SAUL ESTRADA HUILLCA"/>
    <s v="202507"/>
    <d v="2025-09-10T00:00:00"/>
    <n v="1168.83"/>
    <x v="0"/>
    <x v="2"/>
  </r>
  <r>
    <s v="FLUJO"/>
    <n v="10460172514"/>
    <s v="ZAPATA BORJA LADYS CARLA BEATRIZ"/>
    <s v="202507"/>
    <d v="2025-09-10T00:00:00"/>
    <n v="129.76"/>
    <x v="0"/>
    <x v="2"/>
  </r>
  <r>
    <s v="FLUJO"/>
    <n v="20445768139"/>
    <s v="INVERSIONES HATUN FISH SRL"/>
    <s v="202507"/>
    <d v="2025-09-10T00:00:00"/>
    <n v="172"/>
    <x v="0"/>
    <x v="2"/>
  </r>
  <r>
    <s v="FLUJO"/>
    <n v="20478156228"/>
    <s v="CORPORACION KANDY SAC"/>
    <s v="202507, 202506, 202505"/>
    <d v="2025-09-10T00:00:00"/>
    <n v="393.02"/>
    <x v="0"/>
    <x v="2"/>
  </r>
  <r>
    <s v="FLUJO"/>
    <n v="20487716538"/>
    <s v="GOTECH PERU S.A.C."/>
    <s v="202507"/>
    <d v="2025-09-10T00:00:00"/>
    <n v="162.83000000000001"/>
    <x v="0"/>
    <x v="2"/>
  </r>
  <r>
    <s v="FLUJO"/>
    <n v="20526575394"/>
    <s v="CLINICA BELLO HORIZONTE SA"/>
    <s v="202507"/>
    <d v="2025-09-10T00:00:00"/>
    <n v="308.06"/>
    <x v="0"/>
    <x v="2"/>
  </r>
  <r>
    <s v="FLUJO"/>
    <n v="20545263344"/>
    <s v="SERVICIOS GRAFICOS JCEM SAC"/>
    <s v="202507"/>
    <d v="2025-09-10T00:00:00"/>
    <n v="260.27999999999997"/>
    <x v="0"/>
    <x v="2"/>
  </r>
  <r>
    <s v="FLUJO"/>
    <n v="20554037756"/>
    <s v="CHIMAC SAC"/>
    <s v="202507"/>
    <d v="2025-09-10T00:00:00"/>
    <n v="148.03"/>
    <x v="0"/>
    <x v="2"/>
  </r>
  <r>
    <s v="FLUJO"/>
    <n v="20573126883"/>
    <s v="CONSULTOR EJECUTOR Y MULTISERVICIO KVEM EIRL"/>
    <s v="202507, 202506"/>
    <d v="2025-09-10T00:00:00"/>
    <n v="138.48000000000002"/>
    <x v="0"/>
    <x v="2"/>
  </r>
  <r>
    <s v="FLUJO"/>
    <n v="20601146682"/>
    <s v="ANCOSUR EIRL"/>
    <s v="202507, 202506"/>
    <d v="2025-09-10T00:00:00"/>
    <n v="411.65"/>
    <x v="0"/>
    <x v="2"/>
  </r>
  <r>
    <s v="FLUJO"/>
    <n v="20601590396"/>
    <s v="MGS SERVICIOS TELECORP SAC"/>
    <s v="202507, 202506"/>
    <d v="2025-09-10T00:00:00"/>
    <n v="297.52"/>
    <x v="0"/>
    <x v="2"/>
  </r>
  <r>
    <s v="FLUJO"/>
    <n v="20601792908"/>
    <s v="CAR GLASS AUTOMOTRIZ E.I.R.L."/>
    <s v="202507, 202506"/>
    <d v="2025-09-10T00:00:00"/>
    <n v="260.81"/>
    <x v="0"/>
    <x v="2"/>
  </r>
  <r>
    <s v="FLUJO"/>
    <n v="20602289924"/>
    <s v="OCTANET S.A.C."/>
    <s v="202507, 202506"/>
    <d v="2025-09-10T00:00:00"/>
    <n v="121.13000000000001"/>
    <x v="0"/>
    <x v="2"/>
  </r>
  <r>
    <s v="FLUJO"/>
    <n v="20602559000"/>
    <s v="LAIA CONSUL EIRL"/>
    <s v="202507, 202506, 202504, 202503, 202502, 202505"/>
    <d v="2025-09-10T00:00:00"/>
    <n v="1410.7800000000002"/>
    <x v="0"/>
    <x v="2"/>
  </r>
  <r>
    <s v="FLUJO"/>
    <n v="20602648223"/>
    <s v="COLISEL SAC."/>
    <s v="202507, 202506"/>
    <d v="2025-09-10T00:00:00"/>
    <n v="612.86000000000013"/>
    <x v="0"/>
    <x v="2"/>
  </r>
  <r>
    <s v="FLUJO"/>
    <n v="20605189149"/>
    <s v="INVERSIONES HOLDING GROUP S.A.C."/>
    <s v="202507, 202506"/>
    <d v="2025-09-10T00:00:00"/>
    <n v="303.06000000000006"/>
    <x v="0"/>
    <x v="2"/>
  </r>
  <r>
    <s v="FLUJO"/>
    <n v="20605590021"/>
    <s v="RYN INNOVA S.A.C."/>
    <s v="202507"/>
    <d v="2025-09-10T00:00:00"/>
    <n v="261.99"/>
    <x v="0"/>
    <x v="2"/>
  </r>
  <r>
    <s v="FLUJO"/>
    <n v="20605895159"/>
    <s v="ESPERANZA PALACIOS EIRL"/>
    <s v="202507"/>
    <d v="2025-09-10T00:00:00"/>
    <n v="216.02"/>
    <x v="0"/>
    <x v="2"/>
  </r>
  <r>
    <s v="FLUJO"/>
    <n v="20606560177"/>
    <s v="ALSUM S.A.C."/>
    <s v="202507"/>
    <d v="2025-09-10T00:00:00"/>
    <n v="629.23"/>
    <x v="0"/>
    <x v="2"/>
  </r>
  <r>
    <s v="FLUJO"/>
    <n v="20607772291"/>
    <s v="CH Y G ASOCIADOS ASESORAMIENTO CONTABLE EIRL"/>
    <s v="202507"/>
    <d v="2025-09-10T00:00:00"/>
    <n v="129.76"/>
    <x v="0"/>
    <x v="2"/>
  </r>
  <r>
    <s v="FLUJO"/>
    <n v="20608209019"/>
    <s v="GRUPO NINACRISTO EMPRESA INDIVIDUAL DE RESPONSABILIDAD LIMIT"/>
    <s v="202507, 202506, 202505, 202504"/>
    <d v="2025-09-10T00:00:00"/>
    <n v="526.38"/>
    <x v="0"/>
    <x v="2"/>
  </r>
  <r>
    <s v="FLUJO"/>
    <n v="20608318225"/>
    <s v="CONFECCIONES YARA EIRL"/>
    <s v="202507, 202506"/>
    <d v="2025-09-10T00:00:00"/>
    <n v="260.81"/>
    <x v="0"/>
    <x v="2"/>
  </r>
  <r>
    <s v="FLUJO"/>
    <n v="20608587820"/>
    <s v="comercial jimenez  j.w.j eirl"/>
    <s v="202507, 202506, 202505, 202504, 202503"/>
    <d v="2025-09-10T00:00:00"/>
    <n v="660.9"/>
    <x v="0"/>
    <x v="2"/>
  </r>
  <r>
    <s v="FLUJO"/>
    <n v="20609349761"/>
    <s v="CETUMI E.I.R.L."/>
    <s v="202507"/>
    <d v="2025-09-10T00:00:00"/>
    <n v="148.03"/>
    <x v="0"/>
    <x v="2"/>
  </r>
  <r>
    <s v="FLUJO"/>
    <n v="20610315624"/>
    <s v="GRUPO INMOBILIARIA SULCA S.A.C."/>
    <s v="202507, 202506, 202505, 202504, 202503, 202502"/>
    <d v="2025-09-10T00:00:00"/>
    <n v="796.57999999999993"/>
    <x v="0"/>
    <x v="2"/>
  </r>
  <r>
    <s v="FLUJO"/>
    <n v="20610355499"/>
    <s v="NATURAL SENSES SAC"/>
    <s v="202507"/>
    <d v="2025-09-10T00:00:00"/>
    <n v="148.03"/>
    <x v="0"/>
    <x v="2"/>
  </r>
  <r>
    <s v="FLUJO"/>
    <n v="20610493654"/>
    <s v="WINE CENTRO CORPORAL GROUP E.I.R.L."/>
    <s v="202507, 202505, 202506"/>
    <d v="2025-09-10T00:00:00"/>
    <n v="982.02"/>
    <x v="0"/>
    <x v="2"/>
  </r>
  <r>
    <s v="FLUJO"/>
    <n v="20610957731"/>
    <s v="CORPORACION PLAST PERU E.I.R.L."/>
    <s v="202507"/>
    <d v="2025-09-10T00:00:00"/>
    <n v="148.03"/>
    <x v="0"/>
    <x v="2"/>
  </r>
  <r>
    <s v="FLUJO"/>
    <n v="20611174391"/>
    <s v="INDIETRO SAC"/>
    <s v="202507"/>
    <d v="2025-09-10T00:00:00"/>
    <n v="148.03"/>
    <x v="0"/>
    <x v="2"/>
  </r>
  <r>
    <s v="FLUJO"/>
    <n v="20611425628"/>
    <s v="HISTORIA TEXTIL SAC"/>
    <s v="202507, 202506"/>
    <d v="2025-09-10T00:00:00"/>
    <n v="526.58000000000004"/>
    <x v="0"/>
    <x v="2"/>
  </r>
  <r>
    <s v="FLUJO"/>
    <n v="20611977353"/>
    <s v="NIDO WELCOME S.A.C."/>
    <s v="202507"/>
    <d v="2025-09-10T00:00:00"/>
    <n v="441.19000000000005"/>
    <x v="0"/>
    <x v="2"/>
  </r>
  <r>
    <s v="FLUJO"/>
    <n v="20612335932"/>
    <s v="INDUSTRIAS DERLEE SAC"/>
    <s v="202507, 202506"/>
    <d v="2025-09-10T00:00:00"/>
    <n v="807.83999999999992"/>
    <x v="0"/>
    <x v="2"/>
  </r>
  <r>
    <s v="FLUJO"/>
    <n v="20603533535"/>
    <s v="Smart Motion SAC"/>
    <s v="202506, 202505"/>
    <d v="2025-09-10T00:00:00"/>
    <n v="263.26"/>
    <x v="0"/>
    <x v="2"/>
  </r>
  <r>
    <s v="FLUJO"/>
    <n v="20608767712"/>
    <s v="MA MOTO SHOP E.I.R.L."/>
    <s v="202506, 202505"/>
    <d v="2025-09-10T00:00:00"/>
    <n v="263.26"/>
    <x v="0"/>
    <x v="2"/>
  </r>
  <r>
    <s v="FLUJO"/>
    <n v="20612889989"/>
    <s v="SH ODONTOZ HEALTH S.A.C."/>
    <s v="202506, 202505"/>
    <d v="2025-09-10T00:00:00"/>
    <n v="263.26"/>
    <x v="0"/>
    <x v="2"/>
  </r>
  <r>
    <s v="FLUJO"/>
    <n v="20122683355"/>
    <s v="CASA RIKY SOCIEDAD ANONIMA CERRADA"/>
    <s v="202505, 202504, 202507, 202506"/>
    <d v="2025-09-10T00:00:00"/>
    <n v="1077.31"/>
    <x v="0"/>
    <x v="2"/>
  </r>
  <r>
    <s v="FLUJO"/>
    <n v="20610503579"/>
    <s v="ALSI CONSTRUCTORA S.A.C."/>
    <s v="202505, 202506, 202507"/>
    <d v="2025-09-10T00:00:00"/>
    <n v="2251.21"/>
    <x v="0"/>
    <x v="2"/>
  </r>
  <r>
    <s v="FLUJO"/>
    <n v="20601277949"/>
    <s v="GUADALUPE SERVICIOS INTEGRALES SRL"/>
    <s v="202504, 202503"/>
    <d v="2025-09-10T00:00:00"/>
    <n v="439.23"/>
    <x v="0"/>
    <x v="2"/>
  </r>
  <r>
    <s v="FLUJO"/>
    <n v="20613515969"/>
    <s v="PAQUITA FISH E.I.R.L."/>
    <s v="202504, 202505"/>
    <d v="2025-09-10T00:00:00"/>
    <n v="266.08000000000004"/>
    <x v="0"/>
    <x v="2"/>
  </r>
  <r>
    <s v="FLUJO"/>
    <n v="20602044638"/>
    <s v="FODATEX SAC"/>
    <s v="202502, 202503"/>
    <d v="2025-09-10T00:00:00"/>
    <n v="1365.33"/>
    <x v="0"/>
    <x v="2"/>
  </r>
  <r>
    <s v="PRESUNTA"/>
    <n v="20563578824"/>
    <s v="A &amp; H COMPANY S.A.C."/>
    <s v="202507"/>
    <d v="2025-09-10T00:00:00"/>
    <n v="443.85"/>
    <x v="0"/>
    <x v="2"/>
  </r>
  <r>
    <s v="PRESUNTA"/>
    <n v="20400581925"/>
    <s v="EMPRESA DE TRANSPORTES TURI SMO AMPAY SCRL"/>
    <s v="202505, 202507, 202506"/>
    <d v="2025-09-10T00:00:00"/>
    <n v="2530.64"/>
    <x v="0"/>
    <x v="2"/>
  </r>
  <r>
    <s v="REAL TOTAL"/>
    <n v="10710945221"/>
    <s v="gilmer antonio flores tenazoa"/>
    <s v="202502"/>
    <d v="2025-09-10T00:00:00"/>
    <n v="135.68"/>
    <x v="0"/>
    <x v="2"/>
  </r>
  <r>
    <s v="REAL TOTAL"/>
    <n v="20600038819"/>
    <s v="TALLER DE SOLDADURA JOEL E.I.R.L."/>
    <s v="202107"/>
    <d v="2025-09-10T00:00:00"/>
    <n v="195.17000000000002"/>
    <x v="0"/>
    <x v="2"/>
  </r>
  <r>
    <s v="REAL TOTAL"/>
    <n v="20100574773"/>
    <s v="America International Tours SA"/>
    <s v="201804, 201803, 201802"/>
    <d v="2025-09-10T00:00:00"/>
    <n v="690.03000000000009"/>
    <x v="0"/>
    <x v="2"/>
  </r>
  <r>
    <s v="FLUJO"/>
    <n v="10062261752"/>
    <s v="CASTRO RAMOS MARIA MAGDALENA"/>
    <s v="202507, 202506"/>
    <d v="2025-09-11T00:00:00"/>
    <n v="94.4"/>
    <x v="0"/>
    <x v="3"/>
  </r>
  <r>
    <s v="FLUJO"/>
    <n v="10246912934"/>
    <s v="RODRIGUEZ SUYO DORIS"/>
    <s v="202507, 202506"/>
    <d v="2025-09-11T00:00:00"/>
    <n v="461.85"/>
    <x v="0"/>
    <x v="3"/>
  </r>
  <r>
    <s v="FLUJO"/>
    <n v="10296520018"/>
    <s v="VIZCARRA RUIZ JAIRO"/>
    <s v="202507, 202506, 202505"/>
    <d v="2025-09-11T00:00:00"/>
    <n v="393.02"/>
    <x v="0"/>
    <x v="3"/>
  </r>
  <r>
    <s v="FLUJO"/>
    <n v="10464654581"/>
    <s v="MUOZ  CHAVEZ  ANDRES"/>
    <s v="202507"/>
    <d v="2025-09-11T00:00:00"/>
    <n v="148.03"/>
    <x v="0"/>
    <x v="3"/>
  </r>
  <r>
    <s v="FLUJO"/>
    <n v="20207931471"/>
    <s v="grove peru sa c"/>
    <s v="202507"/>
    <d v="2025-09-11T00:00:00"/>
    <n v="495.11"/>
    <x v="0"/>
    <x v="3"/>
  </r>
  <r>
    <s v="FLUJO"/>
    <n v="20259263230"/>
    <s v="TOURS PANASUR EIRL"/>
    <s v="202507"/>
    <d v="2025-09-11T00:00:00"/>
    <n v="148.03"/>
    <x v="0"/>
    <x v="3"/>
  </r>
  <r>
    <s v="FLUJO"/>
    <n v="20452573394"/>
    <s v="SMRL CANTERAS ASOCIADAS I"/>
    <s v="202507, 202506, 202505"/>
    <d v="2025-09-11T00:00:00"/>
    <n v="820.63000000000011"/>
    <x v="0"/>
    <x v="3"/>
  </r>
  <r>
    <s v="FLUJO"/>
    <n v="20480036132"/>
    <s v="TRANSPORTES CLARITA SRL"/>
    <s v="202507"/>
    <d v="2025-09-11T00:00:00"/>
    <n v="875.76"/>
    <x v="0"/>
    <x v="3"/>
  </r>
  <r>
    <s v="FLUJO"/>
    <n v="20505322917"/>
    <s v="INVERSIONES ROLCAS SAC"/>
    <s v="202507"/>
    <d v="2025-09-11T00:00:00"/>
    <n v="277.78999999999996"/>
    <x v="0"/>
    <x v="3"/>
  </r>
  <r>
    <s v="FLUJO"/>
    <n v="20539625722"/>
    <s v="mac inversiones y equipos sac"/>
    <s v="202507"/>
    <d v="2025-09-11T00:00:00"/>
    <n v="129.76"/>
    <x v="0"/>
    <x v="3"/>
  </r>
  <r>
    <s v="FLUJO"/>
    <n v="20556808768"/>
    <s v="GRUPO E Y CM CONTRATISTAS GENERALES SRL"/>
    <s v="202507, 202506"/>
    <d v="2025-09-11T00:00:00"/>
    <n v="457.62"/>
    <x v="0"/>
    <x v="3"/>
  </r>
  <r>
    <s v="FLUJO"/>
    <n v="20600907655"/>
    <s v="INVERSIONES RAPIVENTAS S.A.C."/>
    <s v="202507"/>
    <d v="2025-09-11T00:00:00"/>
    <n v="148.03"/>
    <x v="0"/>
    <x v="3"/>
  </r>
  <r>
    <s v="FLUJO"/>
    <n v="20602812619"/>
    <s v="R &amp; D ARQUITECTURA INGENIERIA Y CONSTRUCCION SAC"/>
    <s v="202507"/>
    <d v="2025-09-11T00:00:00"/>
    <n v="628.84999999999991"/>
    <x v="0"/>
    <x v="3"/>
  </r>
  <r>
    <s v="FLUJO"/>
    <n v="20603611552"/>
    <s v="INGENIERIA Y CONSTRUCCION BEGO SAC"/>
    <s v="202507, 202506, 202505, 202504, 202503, 202502"/>
    <d v="2025-09-11T00:00:00"/>
    <n v="1444.3"/>
    <x v="0"/>
    <x v="3"/>
  </r>
  <r>
    <s v="FLUJO"/>
    <n v="20603720131"/>
    <s v="G&amp;A TECNOLOGIAS S.A.C"/>
    <s v="202507"/>
    <d v="2025-09-11T00:00:00"/>
    <n v="277.78999999999996"/>
    <x v="0"/>
    <x v="3"/>
  </r>
  <r>
    <s v="FLUJO"/>
    <n v="20605402314"/>
    <s v="JAIDEC E.I.R.L."/>
    <s v="202507, 202506"/>
    <d v="2025-09-11T00:00:00"/>
    <n v="947.01"/>
    <x v="0"/>
    <x v="3"/>
  </r>
  <r>
    <s v="FLUJO"/>
    <n v="20606507870"/>
    <s v="OVEJA NEGRA MOTORS SAC"/>
    <s v="202507"/>
    <d v="2025-09-11T00:00:00"/>
    <n v="148.03"/>
    <x v="0"/>
    <x v="3"/>
  </r>
  <r>
    <s v="FLUJO"/>
    <n v="20606800097"/>
    <s v="D' SARA CORPORACIÃ“N S.A.C."/>
    <s v="202507, 202506"/>
    <d v="2025-09-11T00:00:00"/>
    <n v="286.89999999999998"/>
    <x v="0"/>
    <x v="3"/>
  </r>
  <r>
    <s v="FLUJO"/>
    <n v="20607392791"/>
    <s v="INVERNADEROS TIKARIY S.A.C"/>
    <s v="202507"/>
    <d v="2025-09-11T00:00:00"/>
    <n v="148.03"/>
    <x v="0"/>
    <x v="3"/>
  </r>
  <r>
    <s v="FLUJO"/>
    <n v="20607929191"/>
    <s v="EXTREME AIRE ACONDICIONADO Y REFRIGERACION S.A.C"/>
    <s v="202507, 202506"/>
    <d v="2025-09-11T00:00:00"/>
    <n v="1430.1399999999999"/>
    <x v="0"/>
    <x v="3"/>
  </r>
  <r>
    <s v="FLUJO"/>
    <n v="20608491369"/>
    <s v="JAVAL INGENIEROS CONSTRUCTORES S.R.L."/>
    <s v="202507, 202506"/>
    <d v="2025-09-11T00:00:00"/>
    <n v="260.81"/>
    <x v="0"/>
    <x v="3"/>
  </r>
  <r>
    <s v="FLUJO"/>
    <n v="20608526278"/>
    <s v="PARROQUIA SANTO TORIBIO DE MOGROVEJO"/>
    <s v="202507, 202506, 202505, 202504"/>
    <d v="2025-09-11T00:00:00"/>
    <n v="736.1"/>
    <x v="0"/>
    <x v="3"/>
  </r>
  <r>
    <s v="FLUJO"/>
    <n v="20609164507"/>
    <s v="GRUPO GASTRONOMICO MR E.I.R.L."/>
    <s v="202507"/>
    <d v="2025-09-11T00:00:00"/>
    <n v="368.75"/>
    <x v="0"/>
    <x v="3"/>
  </r>
  <r>
    <s v="FLUJO"/>
    <n v="20610173641"/>
    <s v="CASTRO Y ABOG. S.A.C."/>
    <s v="202507, 202506"/>
    <d v="2025-09-11T00:00:00"/>
    <n v="131.70999999999998"/>
    <x v="0"/>
    <x v="3"/>
  </r>
  <r>
    <s v="FLUJO"/>
    <n v="20611807440"/>
    <s v="GRUPO NAVHE S.R.L."/>
    <s v="202507"/>
    <d v="2025-09-11T00:00:00"/>
    <n v="847.74"/>
    <x v="0"/>
    <x v="3"/>
  </r>
  <r>
    <s v="FLUJO"/>
    <n v="20612868094"/>
    <s v="FRANATPA INVERSIONES S.A.C"/>
    <s v="202507, 202506, 202505"/>
    <d v="2025-09-11T00:00:00"/>
    <n v="393.02"/>
    <x v="0"/>
    <x v="3"/>
  </r>
  <r>
    <s v="FLUJO"/>
    <n v="20613007441"/>
    <s v="SERVICIOS GENERALES GUEVARA E.I.R.L."/>
    <s v="202507, 202506, 202505"/>
    <d v="2025-09-11T00:00:00"/>
    <n v="475.90000000000009"/>
    <x v="0"/>
    <x v="3"/>
  </r>
  <r>
    <s v="FLUJO"/>
    <n v="10096577759"/>
    <s v="LLANQUECHA TACO ARTEMIO VIDAL"/>
    <s v="202506, 202507"/>
    <d v="2025-09-11T00:00:00"/>
    <n v="392.38"/>
    <x v="0"/>
    <x v="3"/>
  </r>
  <r>
    <s v="FLUJO"/>
    <n v="20603177933"/>
    <s v="IVTEC LED S.A.C."/>
    <s v="202506"/>
    <d v="2025-09-11T00:00:00"/>
    <n v="20.399999999999999"/>
    <x v="0"/>
    <x v="3"/>
  </r>
  <r>
    <s v="FLUJO"/>
    <n v="20603759100"/>
    <s v="C Y G INTERNATIONAL BUSINESS GROUP S.A.C."/>
    <s v="202506, 202505, 202507"/>
    <d v="2025-09-11T00:00:00"/>
    <n v="393.53999999999996"/>
    <x v="0"/>
    <x v="3"/>
  </r>
  <r>
    <s v="FLUJO"/>
    <n v="20605570047"/>
    <s v="LABORATORIO SR DE QOYLLUR RITTI J B E.I.R.L."/>
    <s v="202506, 202507"/>
    <d v="2025-09-11T00:00:00"/>
    <n v="346.9"/>
    <x v="0"/>
    <x v="3"/>
  </r>
  <r>
    <s v="FLUJO"/>
    <n v="20609450712"/>
    <s v="IMPACTA PUBLICIDAD GRAFICA E.I.R.L."/>
    <s v="202506, 202505"/>
    <d v="2025-09-11T00:00:00"/>
    <n v="263.26"/>
    <x v="0"/>
    <x v="3"/>
  </r>
  <r>
    <s v="FLUJO"/>
    <n v="20610906371"/>
    <s v="Cooperativa Agraria Lideres Emprendedores en  Banano"/>
    <s v="202506, 202505, 202504, 202503"/>
    <d v="2025-09-11T00:00:00"/>
    <n v="345.19000000000005"/>
    <x v="0"/>
    <x v="3"/>
  </r>
  <r>
    <s v="FLUJO"/>
    <n v="20470871475"/>
    <s v="EMP. DE TRANSPORTES SOL DE AMERICA EIRL"/>
    <s v="202505"/>
    <d v="2025-09-11T00:00:00"/>
    <n v="150.81"/>
    <x v="0"/>
    <x v="3"/>
  </r>
  <r>
    <s v="FLUJO"/>
    <n v="20606636050"/>
    <s v="INTERVENCION  SOCIAL   ERICSSON  E.I.R.L"/>
    <s v="202504, 202503"/>
    <d v="2025-09-11T00:00:00"/>
    <n v="305.58"/>
    <x v="0"/>
    <x v="3"/>
  </r>
  <r>
    <s v="FLUJO"/>
    <n v="20608204807"/>
    <s v="INDUSTRIAS PERUANAS UNIDAS S.A.C."/>
    <s v="202504, 202503, 202502"/>
    <d v="2025-09-11T00:00:00"/>
    <n v="443.90999999999997"/>
    <x v="0"/>
    <x v="3"/>
  </r>
  <r>
    <s v="FLUJO"/>
    <n v="20611039825"/>
    <s v="JUVENUS CAPITAL SAC"/>
    <s v="202504, 202503"/>
    <d v="2025-09-11T00:00:00"/>
    <n v="267.88"/>
    <x v="0"/>
    <x v="3"/>
  </r>
  <r>
    <s v="FLUJO"/>
    <n v="20612906123"/>
    <s v="ATLANTA CONSULTORES Y EJECUTORES E.I.R.L."/>
    <s v="202502, 202504, 202503"/>
    <d v="2025-09-11T00:00:00"/>
    <n v="536.72"/>
    <x v="0"/>
    <x v="3"/>
  </r>
  <r>
    <s v="FLUJO"/>
    <n v="20603940696"/>
    <s v="CONSTRUCTORA MAKENA SAC"/>
    <s v="202104"/>
    <d v="2025-09-11T00:00:00"/>
    <n v="735.71"/>
    <x v="0"/>
    <x v="3"/>
  </r>
  <r>
    <s v="PRESUNTA"/>
    <n v="20449318693"/>
    <s v="GESCONP SRL"/>
    <s v="202507"/>
    <d v="2025-09-11T00:00:00"/>
    <n v="208.82999999999998"/>
    <x v="0"/>
    <x v="3"/>
  </r>
  <r>
    <s v="PRESUNTA"/>
    <n v="20451800184"/>
    <s v="PARROQUIA SANTA ROSA DEL MAR"/>
    <s v="202507"/>
    <d v="2025-09-11T00:00:00"/>
    <n v="137.80000000000001"/>
    <x v="0"/>
    <x v="3"/>
  </r>
  <r>
    <s v="PRESUNTA"/>
    <n v="20606794143"/>
    <s v="ICS PACK S.A.C."/>
    <s v="202506, 202507"/>
    <d v="2025-09-11T00:00:00"/>
    <n v="298.10000000000002"/>
    <x v="0"/>
    <x v="3"/>
  </r>
  <r>
    <s v="PRESUNTA"/>
    <n v="20498129065"/>
    <s v="MICRODATA SRL"/>
    <s v="202504"/>
    <d v="2025-09-11T00:00:00"/>
    <n v="495.6"/>
    <x v="0"/>
    <x v="3"/>
  </r>
  <r>
    <s v="REAL TOTAL"/>
    <n v="20155770881"/>
    <s v="Asociacion CEP Peruano Chino Diez De Octubre"/>
    <s v="202410"/>
    <d v="2025-09-11T00:00:00"/>
    <n v="5006.3900000000003"/>
    <x v="0"/>
    <x v="3"/>
  </r>
  <r>
    <s v="FLUJO"/>
    <n v="10097470559"/>
    <s v="CEP BF SKINNER"/>
    <s v="202507"/>
    <d v="2025-09-12T00:00:00"/>
    <n v="1295.4000000000001"/>
    <x v="0"/>
    <x v="4"/>
  </r>
  <r>
    <s v="FLUJO"/>
    <n v="20108213630"/>
    <s v="NEGOCIACION SANTA ANGELA S.A.C."/>
    <s v="202507"/>
    <d v="2025-09-12T00:00:00"/>
    <n v="278.07"/>
    <x v="0"/>
    <x v="4"/>
  </r>
  <r>
    <s v="FLUJO"/>
    <n v="20393693119"/>
    <s v="OLEAGINOSAS PUCALLPA SAC"/>
    <s v="202507"/>
    <d v="2025-09-12T00:00:00"/>
    <n v="3767.46"/>
    <x v="0"/>
    <x v="4"/>
  </r>
  <r>
    <s v="FLUJO"/>
    <n v="20451592131"/>
    <s v="TRANSDAM  SRL"/>
    <s v="202507"/>
    <d v="2025-09-12T00:00:00"/>
    <n v="196.69"/>
    <x v="0"/>
    <x v="4"/>
  </r>
  <r>
    <s v="FLUJO"/>
    <n v="20495669999"/>
    <s v="TRANSPORTES HERRERA EIRL"/>
    <s v="202507, 202506, 202505"/>
    <d v="2025-09-12T00:00:00"/>
    <n v="393.15"/>
    <x v="0"/>
    <x v="4"/>
  </r>
  <r>
    <s v="FLUJO"/>
    <n v="20510156812"/>
    <s v="ALLIANCE AIRFREIGHT Y OCEAN PERU SOCIEDAD ANONIMA"/>
    <s v="202507, 202506"/>
    <d v="2025-09-12T00:00:00"/>
    <n v="692.77"/>
    <x v="0"/>
    <x v="4"/>
  </r>
  <r>
    <s v="FLUJO"/>
    <n v="20513336676"/>
    <s v="CONCESIONARIO DE ALIMENTOS LUCE MIR EIRL"/>
    <s v="202507, 202506"/>
    <d v="2025-09-12T00:00:00"/>
    <n v="277.11"/>
    <x v="0"/>
    <x v="4"/>
  </r>
  <r>
    <s v="FLUJO"/>
    <n v="20602829198"/>
    <s v="SAHURT INGENIEROS EIRL"/>
    <s v="202507"/>
    <d v="2025-09-12T00:00:00"/>
    <n v="148.16999999999999"/>
    <x v="0"/>
    <x v="4"/>
  </r>
  <r>
    <s v="FLUJO"/>
    <n v="20602926703"/>
    <s v="CSICAP COMPANY E.I.R.L."/>
    <s v="202507"/>
    <d v="2025-09-12T00:00:00"/>
    <n v="150.81"/>
    <x v="0"/>
    <x v="4"/>
  </r>
  <r>
    <s v="FLUJO"/>
    <n v="20603082941"/>
    <s v="Servicios Industriales Ruben S.A.C."/>
    <s v="202507, 202506"/>
    <d v="2025-09-12T00:00:00"/>
    <n v="260.94"/>
    <x v="0"/>
    <x v="4"/>
  </r>
  <r>
    <s v="FLUJO"/>
    <n v="20603257058"/>
    <s v="CALETA DOLSA SAC"/>
    <s v="202507, 202506"/>
    <d v="2025-09-12T00:00:00"/>
    <n v="5878.41"/>
    <x v="0"/>
    <x v="4"/>
  </r>
  <r>
    <s v="FLUJO"/>
    <n v="20603751044"/>
    <s v="CORPORACION COMERCIO SEGURO SAC"/>
    <s v="202507, 202506, 202505"/>
    <d v="2025-09-12T00:00:00"/>
    <n v="479.74"/>
    <x v="0"/>
    <x v="4"/>
  </r>
  <r>
    <s v="FLUJO"/>
    <n v="20605639136"/>
    <s v="F Y S MARTINEZ SAC"/>
    <s v="202507"/>
    <d v="2025-09-12T00:00:00"/>
    <n v="280.7"/>
    <x v="0"/>
    <x v="4"/>
  </r>
  <r>
    <s v="FLUJO"/>
    <n v="20606395681"/>
    <s v="INVERSIONES KAMILA IYARI E.I.R.L."/>
    <s v="202507, 202506, 202505, 202504"/>
    <d v="2025-09-12T00:00:00"/>
    <n v="579.16999999999996"/>
    <x v="0"/>
    <x v="4"/>
  </r>
  <r>
    <s v="FLUJO"/>
    <n v="20606545551"/>
    <s v="PERUVIAN NORTH FOOD S.A.C."/>
    <s v="202507"/>
    <d v="2025-09-12T00:00:00"/>
    <n v="250.85000000000002"/>
    <x v="0"/>
    <x v="4"/>
  </r>
  <r>
    <s v="FLUJO"/>
    <n v="20607031682"/>
    <s v="HIELO Y CONGELADOS PARACHIQUE SOCIEDAD ANONIMA CERRADA"/>
    <s v="202507, 202506, 202505"/>
    <d v="2025-09-12T00:00:00"/>
    <n v="393.15"/>
    <x v="0"/>
    <x v="4"/>
  </r>
  <r>
    <s v="FLUJO"/>
    <n v="20607058831"/>
    <s v="CORPORACION R TOMAS E.I.R.L."/>
    <s v="202507"/>
    <d v="2025-09-12T00:00:00"/>
    <n v="196.69"/>
    <x v="0"/>
    <x v="4"/>
  </r>
  <r>
    <s v="FLUJO"/>
    <n v="20607154423"/>
    <s v="LABORATORIO LABMIN SAC"/>
    <s v="202507, 202506, 202505, 202504"/>
    <d v="2025-09-12T00:00:00"/>
    <n v="605.74"/>
    <x v="0"/>
    <x v="4"/>
  </r>
  <r>
    <s v="FLUJO"/>
    <n v="20607894958"/>
    <s v="DIGITAL CITY S.A.C."/>
    <s v="202507, 202506, 202505, 202504"/>
    <d v="2025-09-12T00:00:00"/>
    <n v="574.79"/>
    <x v="0"/>
    <x v="4"/>
  </r>
  <r>
    <s v="FLUJO"/>
    <n v="20609009021"/>
    <s v="SERVICIOS DE ALIMENTOS GENERALES Y AFINES SAC"/>
    <s v="202507"/>
    <d v="2025-09-12T00:00:00"/>
    <n v="148.16999999999999"/>
    <x v="0"/>
    <x v="4"/>
  </r>
  <r>
    <s v="FLUJO"/>
    <n v="20609154676"/>
    <s v="GRUPO HR E INGENIEROS EIRL"/>
    <s v="202507, 202506, 202505, 202504"/>
    <d v="2025-09-12T00:00:00"/>
    <n v="526.51"/>
    <x v="0"/>
    <x v="4"/>
  </r>
  <r>
    <s v="FLUJO"/>
    <n v="20610855912"/>
    <s v="PERUVIAN ORGANIC LANDS S.A.C."/>
    <s v="202507, 202506"/>
    <d v="2025-09-12T00:00:00"/>
    <n v="519.98"/>
    <x v="0"/>
    <x v="4"/>
  </r>
  <r>
    <s v="FLUJO"/>
    <n v="20613076680"/>
    <s v="BRAF PERU LOGISTIC S.A.C."/>
    <s v="202507, 202506, 202505, 202504"/>
    <d v="2025-09-12T00:00:00"/>
    <n v="526.51"/>
    <x v="0"/>
    <x v="4"/>
  </r>
  <r>
    <s v="FLUJO"/>
    <n v="20506204683"/>
    <s v="SJW SRL"/>
    <s v="202506"/>
    <d v="2025-09-12T00:00:00"/>
    <n v="2913.71"/>
    <x v="0"/>
    <x v="4"/>
  </r>
  <r>
    <s v="FLUJO"/>
    <n v="20600888103"/>
    <s v="Gear Computer SCRL"/>
    <s v="202506, 202507, 202505"/>
    <d v="2025-09-12T00:00:00"/>
    <n v="978.96"/>
    <x v="0"/>
    <x v="4"/>
  </r>
  <r>
    <s v="FLUJO"/>
    <n v="20605882359"/>
    <s v="CENTRO DE INVESTIGACION Y ASESORIA TRIBUTARIA ICHPAS SAC"/>
    <s v="202506"/>
    <d v="2025-09-12T00:00:00"/>
    <n v="131.05000000000001"/>
    <x v="0"/>
    <x v="4"/>
  </r>
  <r>
    <s v="FLUJO"/>
    <n v="20608194534"/>
    <s v="MGP SERVYPARTS E.I.R.L."/>
    <s v="202506, 202507"/>
    <d v="2025-09-12T00:00:00"/>
    <n v="487.95000000000005"/>
    <x v="0"/>
    <x v="4"/>
  </r>
  <r>
    <s v="FLUJO"/>
    <n v="20477419390"/>
    <s v="CLINICA IMPLANTES DEL NORTE SRL"/>
    <s v="202505, 202504, 202506, 202507"/>
    <d v="2025-09-12T00:00:00"/>
    <n v="527.92000000000007"/>
    <x v="0"/>
    <x v="4"/>
  </r>
  <r>
    <s v="FLUJO"/>
    <n v="20543608271"/>
    <s v="INVERSIONES GORRION SAC"/>
    <s v="202505"/>
    <d v="2025-09-12T00:00:00"/>
    <n v="145.42000000000002"/>
    <x v="0"/>
    <x v="4"/>
  </r>
  <r>
    <s v="FLUJO"/>
    <n v="20602083030"/>
    <s v="COMERCIAL LA CRUZ Y MENDEZ SAC"/>
    <s v="202505, 202506"/>
    <d v="2025-09-12T00:00:00"/>
    <n v="264.02999999999997"/>
    <x v="0"/>
    <x v="4"/>
  </r>
  <r>
    <s v="FLUJO"/>
    <n v="10418000703"/>
    <s v="SANDRA RAMIREZ CARLOS"/>
    <s v="202504, 202503, 202502, 202501"/>
    <d v="2025-09-12T00:00:00"/>
    <n v="574"/>
    <x v="0"/>
    <x v="4"/>
  </r>
  <r>
    <s v="FLUJO"/>
    <n v="20607576484"/>
    <s v="JHUMAJER S.A.C."/>
    <s v="202504"/>
    <d v="2025-09-12T00:00:00"/>
    <n v="101.41"/>
    <x v="0"/>
    <x v="4"/>
  </r>
  <r>
    <s v="FLUJO"/>
    <n v="20602549241"/>
    <s v="SERVICIOS DE SALUD YACC S.R.L"/>
    <s v="202503, 202504"/>
    <d v="2025-09-12T00:00:00"/>
    <n v="220.68"/>
    <x v="0"/>
    <x v="4"/>
  </r>
  <r>
    <s v="FLUJO"/>
    <n v="20543073491"/>
    <s v="GCY GROUP SAC"/>
    <s v="202502"/>
    <d v="2025-09-12T00:00:00"/>
    <n v="330.51"/>
    <x v="0"/>
    <x v="4"/>
  </r>
  <r>
    <s v="PRESUNTA"/>
    <n v="20602466737"/>
    <s v="THABNA CONTRATISTAS S.A.C."/>
    <s v="202507"/>
    <d v="2025-09-12T00:00:00"/>
    <n v="539.31999999999994"/>
    <x v="0"/>
    <x v="4"/>
  </r>
  <r>
    <s v="PRESUNTA"/>
    <n v="20272827681"/>
    <s v="REFRISA S.R.LTDA."/>
    <s v="202412, 202411"/>
    <d v="2025-09-12T00:00:00"/>
    <n v="1004.55"/>
    <x v="0"/>
    <x v="4"/>
  </r>
  <r>
    <s v="REAL TOTAL"/>
    <n v="20198459748"/>
    <s v="buzos del pacifico eirl"/>
    <s v="202502, 202501"/>
    <d v="2025-09-12T00:00:00"/>
    <n v="3859.25"/>
    <x v="0"/>
    <x v="4"/>
  </r>
  <r>
    <s v="REAL TOTAL"/>
    <n v="20494179262"/>
    <s v="JYP CONSTRUCTORES GENERALES SAC"/>
    <s v="202410"/>
    <d v="2025-09-12T00:00:00"/>
    <n v="130.96"/>
    <x v="0"/>
    <x v="4"/>
  </r>
  <r>
    <s v="REAL TOTAL"/>
    <n v="20554078789"/>
    <s v="HEXYTOSA EIRL"/>
    <s v="201803, 201804, 201810, 201809, 201808, 201807, 201806, 201805"/>
    <d v="2025-09-12T00:00:00"/>
    <n v="1560.0800000000002"/>
    <x v="0"/>
    <x v="4"/>
  </r>
  <r>
    <s v="FLUJO"/>
    <n v="20117182640"/>
    <s v="EMP TRANSP VIRGEN DE LA PUERTA SA"/>
    <s v="202507"/>
    <d v="2025-09-13T00:00:00"/>
    <n v="129.88999999999999"/>
    <x v="0"/>
    <x v="4"/>
  </r>
  <r>
    <s v="FLUJO"/>
    <n v="20550010900"/>
    <s v="CALDERAS PERUANAS Y DERIVADOS SOCIEDAD ANONIMA CERRADA"/>
    <s v="202506, 202504"/>
    <d v="2025-09-13T00:00:00"/>
    <n v="264.67"/>
    <x v="0"/>
    <x v="4"/>
  </r>
  <r>
    <s v="FLUJO"/>
    <n v="20610120874"/>
    <s v="CORPORACION GUIMEL SAC"/>
    <s v="202506, 202507, 202505"/>
    <d v="2025-09-13T00:00:00"/>
    <n v="420.47"/>
    <x v="0"/>
    <x v="4"/>
  </r>
  <r>
    <s v="PRESUNTA"/>
    <n v="20601443831"/>
    <s v="ZARAGOZA LOGISTICA Y TRANSPORTES E.I.R.L."/>
    <s v="202507"/>
    <d v="2025-09-13T00:00:00"/>
    <n v="129.88999999999999"/>
    <x v="0"/>
    <x v="4"/>
  </r>
  <r>
    <s v="FLUJO"/>
    <n v="10218025451"/>
    <s v="CASTILLO LEON REYNALDO PASTOR"/>
    <s v="202507"/>
    <d v="2025-09-14T00:00:00"/>
    <n v="148.16999999999999"/>
    <x v="0"/>
    <x v="4"/>
  </r>
  <r>
    <s v="FLUJO"/>
    <n v="20606470054"/>
    <s v="GRUPO D'PALMA SAC"/>
    <s v="202507, 202506, 202505"/>
    <d v="2025-09-14T00:00:00"/>
    <n v="393.4"/>
    <x v="0"/>
    <x v="4"/>
  </r>
  <r>
    <s v="FLUJO"/>
    <n v="20610622080"/>
    <s v="HANDFLUID TRADING S.A.C."/>
    <s v="202507"/>
    <d v="2025-09-14T00:00:00"/>
    <n v="148.16999999999999"/>
    <x v="0"/>
    <x v="4"/>
  </r>
  <r>
    <s v="PRESUNTA"/>
    <n v="20549673491"/>
    <s v="GRAFITEX ISRAEL EIRL"/>
    <s v="201708, 201707"/>
    <d v="2025-09-14T00:00:00"/>
    <n v="390.4"/>
    <x v="0"/>
    <x v="4"/>
  </r>
  <r>
    <s v="REAL TOTAL"/>
    <n v="20603338481"/>
    <s v="JNAVARRO INSTALACIONES E INGENIERIA SAC"/>
    <s v="202305"/>
    <d v="2025-09-14T00:00:00"/>
    <n v="221.82"/>
    <x v="0"/>
    <x v="4"/>
  </r>
  <r>
    <s v="FLUJO"/>
    <n v="10293974875"/>
    <s v="REYMER MORALES DARIA BEATRIZ"/>
    <s v="202507, 202506, 202505, 202504, 202503"/>
    <d v="2025-09-15T00:00:00"/>
    <n v="661.53"/>
    <x v="0"/>
    <x v="5"/>
  </r>
  <r>
    <s v="FLUJO"/>
    <n v="20517418545"/>
    <s v="DISTRIBUIDORA MULTIUTILES SAC"/>
    <s v="202507, 202506"/>
    <d v="2025-09-15T00:00:00"/>
    <n v="229.61"/>
    <x v="0"/>
    <x v="5"/>
  </r>
  <r>
    <s v="FLUJO"/>
    <n v="20524079586"/>
    <s v="electro comercial karol srl"/>
    <s v="202507"/>
    <d v="2025-09-15T00:00:00"/>
    <n v="278.07"/>
    <x v="0"/>
    <x v="5"/>
  </r>
  <r>
    <s v="FLUJO"/>
    <n v="20543398790"/>
    <s v="LINK CORREDORES DE SEGUROS S.A.C."/>
    <s v="202507, 202506"/>
    <d v="2025-09-15T00:00:00"/>
    <n v="693.11"/>
    <x v="0"/>
    <x v="5"/>
  </r>
  <r>
    <s v="FLUJO"/>
    <n v="20549204075"/>
    <s v="JLB CORPORACION EIRL"/>
    <s v="202507, 202506"/>
    <d v="2025-09-15T00:00:00"/>
    <n v="1582.29"/>
    <x v="0"/>
    <x v="5"/>
  </r>
  <r>
    <s v="FLUJO"/>
    <n v="20559311198"/>
    <s v="CRISERVIS E.I.R.L."/>
    <s v="202507"/>
    <d v="2025-09-15T00:00:00"/>
    <n v="148.16999999999999"/>
    <x v="0"/>
    <x v="5"/>
  </r>
  <r>
    <s v="FLUJO"/>
    <n v="20603902425"/>
    <s v="Inversiones Cevhal SAC"/>
    <s v="202507, 202506, 202505"/>
    <d v="2025-09-15T00:00:00"/>
    <n v="393.4"/>
    <x v="0"/>
    <x v="5"/>
  </r>
  <r>
    <s v="FLUJO"/>
    <n v="20604810575"/>
    <s v="INDUSTRIA FG SOCIEDAD ANONIMA CERRADA"/>
    <s v="202507, 202506"/>
    <d v="2025-09-15T00:00:00"/>
    <n v="287.19"/>
    <x v="0"/>
    <x v="5"/>
  </r>
  <r>
    <s v="FLUJO"/>
    <n v="20605441077"/>
    <s v="ACVET PERU E.I.R.L."/>
    <s v="202507"/>
    <d v="2025-09-15T00:00:00"/>
    <n v="244.48"/>
    <x v="0"/>
    <x v="5"/>
  </r>
  <r>
    <s v="FLUJO"/>
    <n v="20605947728"/>
    <s v="SERVICIO INTEGRAL PIERO ALDO E.I.R.L."/>
    <s v="202507, 202506"/>
    <d v="2025-09-15T00:00:00"/>
    <n v="261.07"/>
    <x v="0"/>
    <x v="5"/>
  </r>
  <r>
    <s v="FLUJO"/>
    <n v="20608740288"/>
    <s v="LIKA - EPICERIE SAC"/>
    <s v="202507, 202506, 202505, 202504, 202503"/>
    <d v="2025-09-15T00:00:00"/>
    <n v="581.82999999999993"/>
    <x v="0"/>
    <x v="5"/>
  </r>
  <r>
    <s v="FLUJO"/>
    <n v="20609715007"/>
    <s v="GRUPO CORPORATIVO CHAVEZ EIRL"/>
    <s v="202507, 202506"/>
    <d v="2025-09-15T00:00:00"/>
    <n v="261.07"/>
    <x v="0"/>
    <x v="5"/>
  </r>
  <r>
    <s v="FLUJO"/>
    <n v="20611262966"/>
    <s v="IH FASHION"/>
    <s v="202507, 202506, 202505, 202504"/>
    <d v="2025-09-15T00:00:00"/>
    <n v="699.43000000000006"/>
    <x v="0"/>
    <x v="5"/>
  </r>
  <r>
    <s v="FLUJO"/>
    <n v="20610234101"/>
    <s v="MORVIDIESEL S.A.C."/>
    <s v="202506, 202505, 202504, 202503"/>
    <d v="2025-09-15T00:00:00"/>
    <n v="4435.6499999999996"/>
    <x v="0"/>
    <x v="5"/>
  </r>
  <r>
    <s v="FLUJO"/>
    <n v="10072623873"/>
    <s v="CALDERON ALTAMIRANO"/>
    <s v="202505"/>
    <d v="2025-09-15T00:00:00"/>
    <n v="262.71000000000004"/>
    <x v="0"/>
    <x v="5"/>
  </r>
  <r>
    <s v="FLUJO"/>
    <n v="10418892612"/>
    <s v="VILLANUEVA GARCIA CARMEN JANNET"/>
    <s v="202505"/>
    <d v="2025-09-15T00:00:00"/>
    <n v="128.01"/>
    <x v="0"/>
    <x v="5"/>
  </r>
  <r>
    <s v="PRESUNTA"/>
    <n v="10336768735"/>
    <s v="QUIROZ DELGADO NANCY"/>
    <s v="202507"/>
    <d v="2025-09-15T00:00:00"/>
    <n v="129.88999999999999"/>
    <x v="0"/>
    <x v="5"/>
  </r>
  <r>
    <s v="REAL TOTAL"/>
    <n v="20551703712"/>
    <s v="NM TELECOM SAC"/>
    <s v="202205"/>
    <d v="2025-09-15T00:00:00"/>
    <n v="362.58000000000004"/>
    <x v="0"/>
    <x v="5"/>
  </r>
  <r>
    <s v="REAL TOTAL"/>
    <n v="20204156060"/>
    <s v="G &amp; G ARQUITECTOS"/>
    <s v="200211"/>
    <d v="2025-09-15T00:00:00"/>
    <n v="1388.59"/>
    <x v="0"/>
    <x v="5"/>
  </r>
  <r>
    <s v="FLUJO"/>
    <n v="10292472477"/>
    <s v="SUC MORON VALDA ELENA ILDA"/>
    <s v="202507"/>
    <d v="2025-09-16T00:00:00"/>
    <n v="278.34000000000003"/>
    <x v="0"/>
    <x v="6"/>
  </r>
  <r>
    <s v="FLUJO"/>
    <n v="10462120031"/>
    <s v="PEÃ‘A CHIPANA NILTON ANDRES"/>
    <s v="202507"/>
    <d v="2025-09-16T00:00:00"/>
    <n v="148.32"/>
    <x v="0"/>
    <x v="6"/>
  </r>
  <r>
    <s v="FLUJO"/>
    <n v="20480594143"/>
    <s v="DRUGSTORE DIFAPAG EIRL"/>
    <s v="202507"/>
    <d v="2025-09-16T00:00:00"/>
    <n v="148.32"/>
    <x v="0"/>
    <x v="6"/>
  </r>
  <r>
    <s v="FLUJO"/>
    <n v="20522135764"/>
    <s v="CORPORACION ROSSE S.A.C."/>
    <s v="202507"/>
    <d v="2025-09-16T00:00:00"/>
    <n v="211.72"/>
    <x v="0"/>
    <x v="6"/>
  </r>
  <r>
    <s v="FLUJO"/>
    <n v="20529442956"/>
    <s v="SAN MIGUEL ARCANGEL CONTRATISTAS GENERALES"/>
    <s v="202507"/>
    <d v="2025-09-16T00:00:00"/>
    <n v="225.34"/>
    <x v="0"/>
    <x v="6"/>
  </r>
  <r>
    <s v="FLUJO"/>
    <n v="20556395820"/>
    <s v="MEDIA IMPACT PERU SAC"/>
    <s v="202507"/>
    <d v="2025-09-16T00:00:00"/>
    <n v="3145.4"/>
    <x v="0"/>
    <x v="6"/>
  </r>
  <r>
    <s v="FLUJO"/>
    <n v="20600054717"/>
    <s v="RR RAMIREZ SAC"/>
    <s v="202507"/>
    <d v="2025-09-16T00:00:00"/>
    <n v="3073.4500000000003"/>
    <x v="0"/>
    <x v="6"/>
  </r>
  <r>
    <s v="FLUJO"/>
    <n v="20600472233"/>
    <s v="EFF INGENIEROS EIRL"/>
    <s v="202507"/>
    <d v="2025-09-16T00:00:00"/>
    <n v="1290.8499999999999"/>
    <x v="0"/>
    <x v="6"/>
  </r>
  <r>
    <s v="FLUJO"/>
    <n v="20601238676"/>
    <s v="PLANTACIONES ORGANICAS DEL  PERU SAC"/>
    <s v="202507, 202506, 202505"/>
    <d v="2025-09-16T00:00:00"/>
    <n v="433.03000000000009"/>
    <x v="0"/>
    <x v="6"/>
  </r>
  <r>
    <s v="FLUJO"/>
    <n v="20601886392"/>
    <s v="JMM INGENIERIA &amp; SERVICIOS GENERALES S.A.C."/>
    <s v="202507"/>
    <d v="2025-09-16T00:00:00"/>
    <n v="148.32"/>
    <x v="0"/>
    <x v="6"/>
  </r>
  <r>
    <s v="FLUJO"/>
    <n v="20602659683"/>
    <s v="FRIGORIFICO SANTA ESPERANZA SAC"/>
    <s v="202507, 202506, 202505"/>
    <d v="2025-09-16T00:00:00"/>
    <n v="617.18000000000006"/>
    <x v="0"/>
    <x v="6"/>
  </r>
  <r>
    <s v="FLUJO"/>
    <n v="20602867065"/>
    <s v="SERVICIOS GENERALES ARFAV E.I.R.L."/>
    <s v="202507, 202506, 202504, 202503, 202502, 202501"/>
    <d v="2025-09-16T00:00:00"/>
    <n v="1072.81"/>
    <x v="0"/>
    <x v="6"/>
  </r>
  <r>
    <s v="FLUJO"/>
    <n v="20605270817"/>
    <s v="SUSAN CAMILO VICTOR INGENIEROS S.A.C."/>
    <s v="202507, 202506"/>
    <d v="2025-09-16T00:00:00"/>
    <n v="261.21000000000004"/>
    <x v="0"/>
    <x v="6"/>
  </r>
  <r>
    <s v="FLUJO"/>
    <n v="20605352091"/>
    <s v="CORPORACION LIKER E.I.R.L."/>
    <s v="202507, 202506, 202505"/>
    <d v="2025-09-16T00:00:00"/>
    <n v="393.67000000000007"/>
    <x v="0"/>
    <x v="6"/>
  </r>
  <r>
    <s v="FLUJO"/>
    <n v="20605809414"/>
    <s v="PANIFICADORA SAC"/>
    <s v="202507"/>
    <d v="2025-09-16T00:00:00"/>
    <n v="170.47"/>
    <x v="0"/>
    <x v="6"/>
  </r>
  <r>
    <s v="FLUJO"/>
    <n v="20609389533"/>
    <s v="HATSUR EIRL"/>
    <s v="202507, 202506"/>
    <d v="2025-09-16T00:00:00"/>
    <n v="277.39"/>
    <x v="0"/>
    <x v="6"/>
  </r>
  <r>
    <s v="FLUJO"/>
    <n v="20611423251"/>
    <s v="DD COFFEE BAKERY GROUP S.A.C."/>
    <s v="202507, 202506"/>
    <d v="2025-09-16T00:00:00"/>
    <n v="261.21000000000004"/>
    <x v="0"/>
    <x v="6"/>
  </r>
  <r>
    <s v="FLUJO"/>
    <n v="20542731851"/>
    <s v="ORGANIZACION EDUCATIVA DANIEL GOLEMAN EIRL"/>
    <s v="202506, 202505"/>
    <d v="2025-09-16T00:00:00"/>
    <n v="263.64"/>
    <x v="0"/>
    <x v="6"/>
  </r>
  <r>
    <s v="FLUJO"/>
    <n v="20609308746"/>
    <s v="LOPEZHER S.R.L."/>
    <s v="202506"/>
    <d v="2025-09-16T00:00:00"/>
    <n v="164.61"/>
    <x v="0"/>
    <x v="6"/>
  </r>
  <r>
    <s v="FLUJO"/>
    <n v="20600625692"/>
    <s v="CONAGAS SAC"/>
    <s v="202505, 202506"/>
    <d v="2025-09-16T00:00:00"/>
    <n v="533.06999999999994"/>
    <x v="0"/>
    <x v="6"/>
  </r>
  <r>
    <s v="FLUJO"/>
    <n v="20608676725"/>
    <s v="Encalada MS S.A.C."/>
    <s v="202505"/>
    <d v="2025-09-16T00:00:00"/>
    <n v="1102.9099999999999"/>
    <x v="0"/>
    <x v="6"/>
  </r>
  <r>
    <s v="PRESUNTA"/>
    <n v="20560188324"/>
    <s v="JEHOVA JIREH ELIENAI GRUPO CORPORATIVO SAC"/>
    <s v="202507, 202506"/>
    <d v="2025-09-16T00:00:00"/>
    <n v="560.33000000000004"/>
    <x v="0"/>
    <x v="6"/>
  </r>
  <r>
    <s v="PRESUNTA"/>
    <n v="20606970928"/>
    <s v="TRANSPORTE MC Y LH SRL"/>
    <s v="202507"/>
    <d v="2025-09-16T00:00:00"/>
    <n v="138.07999999999998"/>
    <x v="0"/>
    <x v="6"/>
  </r>
  <r>
    <s v="REAL TOTAL"/>
    <n v="10071815426"/>
    <s v="ALCAZAR SERNA GUSTAVO GOTARDO"/>
    <s v="202502, 202501"/>
    <d v="2025-09-16T00:00:00"/>
    <n v="338.1"/>
    <x v="0"/>
    <x v="6"/>
  </r>
  <r>
    <s v="REAL TOTAL"/>
    <n v="20510520212"/>
    <s v="LITOTRICIA JAVIER PRADO SAC"/>
    <s v="202412, 202411, 202410"/>
    <d v="2025-09-16T00:00:00"/>
    <n v="1013.88"/>
    <x v="0"/>
    <x v="6"/>
  </r>
  <r>
    <s v="REAL TOTAL"/>
    <n v="20111857467"/>
    <s v="academia de natacion angel romero srl"/>
    <s v="201801"/>
    <d v="2025-09-16T00:00:00"/>
    <n v="1272.45"/>
    <x v="0"/>
    <x v="6"/>
  </r>
  <r>
    <s v="FLUJO"/>
    <n v="10026192400"/>
    <s v="SILVESTRE NUEZ SAAVEDRA"/>
    <s v="202507"/>
    <d v="2025-09-17T00:00:00"/>
    <n v="389.61"/>
    <x v="0"/>
    <x v="7"/>
  </r>
  <r>
    <s v="FLUJO"/>
    <n v="10192313045"/>
    <s v="RIOS VERASTEGUI MANUEL GENARO"/>
    <s v="202507, 202506"/>
    <d v="2025-09-17T00:00:00"/>
    <n v="229.85"/>
    <x v="0"/>
    <x v="7"/>
  </r>
  <r>
    <s v="FLUJO"/>
    <n v="10406333707"/>
    <s v="BARRIOS LUQUE KARINA"/>
    <s v="202507, 202506"/>
    <d v="2025-09-17T00:00:00"/>
    <n v="261.34000000000003"/>
    <x v="0"/>
    <x v="7"/>
  </r>
  <r>
    <s v="FLUJO"/>
    <n v="10471707851"/>
    <s v="FLORES SORIA KARL LODBER"/>
    <s v="202507"/>
    <d v="2025-09-17T00:00:00"/>
    <n v="796.13"/>
    <x v="0"/>
    <x v="7"/>
  </r>
  <r>
    <s v="FLUJO"/>
    <n v="10802563308"/>
    <s v="SAMPEN FLORES CARLOS HERNAN"/>
    <s v="202507, 202506"/>
    <d v="2025-09-17T00:00:00"/>
    <n v="261.34000000000003"/>
    <x v="0"/>
    <x v="7"/>
  </r>
  <r>
    <s v="FLUJO"/>
    <n v="10804722179"/>
    <s v="AGUILAR CENTURION RENE OMAR"/>
    <s v="202507, 202506, 202505, 202504, 202503"/>
    <d v="2025-09-17T00:00:00"/>
    <n v="1477.85"/>
    <x v="0"/>
    <x v="7"/>
  </r>
  <r>
    <s v="FLUJO"/>
    <n v="20343493984"/>
    <s v="ALAYZA CONSULTORES LEGALES ASOCIADOS SOC. CIVIL DE RESPONSAB"/>
    <s v="202507"/>
    <d v="2025-09-17T00:00:00"/>
    <n v="210.01"/>
    <x v="0"/>
    <x v="7"/>
  </r>
  <r>
    <s v="FLUJO"/>
    <n v="20452624487"/>
    <s v="INVERSIONES MAJORO SAC"/>
    <s v="202507, 202506"/>
    <d v="2025-09-17T00:00:00"/>
    <n v="161.87"/>
    <x v="0"/>
    <x v="7"/>
  </r>
  <r>
    <s v="FLUJO"/>
    <n v="20509607657"/>
    <s v="LAN TRADING SA"/>
    <s v="202507"/>
    <d v="2025-09-17T00:00:00"/>
    <n v="249.39"/>
    <x v="0"/>
    <x v="7"/>
  </r>
  <r>
    <s v="FLUJO"/>
    <n v="20520774352"/>
    <s v="REPRESENTACIONES JHOSEP SAC"/>
    <s v="202507, 202506"/>
    <d v="2025-09-17T00:00:00"/>
    <n v="261.34000000000003"/>
    <x v="0"/>
    <x v="7"/>
  </r>
  <r>
    <s v="FLUJO"/>
    <n v="20545373441"/>
    <s v="VETERINARIA MI CACHORRITO SAC"/>
    <s v="202507"/>
    <d v="2025-09-17T00:00:00"/>
    <n v="132.66"/>
    <x v="0"/>
    <x v="7"/>
  </r>
  <r>
    <s v="FLUJO"/>
    <n v="20600230108"/>
    <s v="DANCAR CONTRATISTAS EIRL"/>
    <s v="202507, 202506"/>
    <d v="2025-09-17T00:00:00"/>
    <n v="325.82"/>
    <x v="0"/>
    <x v="7"/>
  </r>
  <r>
    <s v="FLUJO"/>
    <n v="20602293930"/>
    <s v="LOGISTICA &amp; SERVICIOS GENERALES DE LA CRUZ S.A.C."/>
    <s v="202507"/>
    <d v="2025-09-17T00:00:00"/>
    <n v="366.28999999999996"/>
    <x v="0"/>
    <x v="7"/>
  </r>
  <r>
    <s v="FLUJO"/>
    <n v="20602443885"/>
    <s v="FAHLA CALL SAC"/>
    <s v="202507"/>
    <d v="2025-09-17T00:00:00"/>
    <n v="148.32"/>
    <x v="0"/>
    <x v="7"/>
  </r>
  <r>
    <s v="FLUJO"/>
    <n v="20602782264"/>
    <s v="GRUPO FACVRIL EIRL"/>
    <s v="202507, 202506, 202505, 202504, 202503, 202502"/>
    <d v="2025-09-17T00:00:00"/>
    <n v="776.92999999999984"/>
    <x v="0"/>
    <x v="7"/>
  </r>
  <r>
    <s v="FLUJO"/>
    <n v="20606820501"/>
    <s v="INNOVAGRO BIOSCIENCE SAC"/>
    <s v="202507, 202506"/>
    <d v="2025-09-17T00:00:00"/>
    <n v="288.23"/>
    <x v="0"/>
    <x v="7"/>
  </r>
  <r>
    <s v="FLUJO"/>
    <n v="20607944840"/>
    <s v="ESTUDIO JURIDICO MENENDEZ Y ASOCIADOS SRL"/>
    <s v="202507, 202503, 202502"/>
    <d v="2025-09-17T00:00:00"/>
    <n v="608.25"/>
    <x v="0"/>
    <x v="7"/>
  </r>
  <r>
    <s v="FLUJO"/>
    <n v="20607980251"/>
    <s v="KING DESIGN C Y G SOCIEDAD ANONIMA CERRADA"/>
    <s v="202507, 202506"/>
    <d v="2025-09-17T00:00:00"/>
    <n v="458.30000000000007"/>
    <x v="0"/>
    <x v="7"/>
  </r>
  <r>
    <s v="FLUJO"/>
    <n v="20608060686"/>
    <s v="EVOLUCION PERU TELECOMUNICACIONES S.A.C."/>
    <s v="202507"/>
    <d v="2025-09-17T00:00:00"/>
    <n v="209.42000000000002"/>
    <x v="0"/>
    <x v="7"/>
  </r>
  <r>
    <s v="FLUJO"/>
    <n v="20608727338"/>
    <s v="ACN TRANSPORTES SAC"/>
    <s v="202507, 202506"/>
    <d v="2025-09-17T00:00:00"/>
    <n v="346.90000000000003"/>
    <x v="0"/>
    <x v="7"/>
  </r>
  <r>
    <s v="FLUJO"/>
    <n v="20608844415"/>
    <s v="DISTRIBUIDORA FERREMA S.A.C."/>
    <s v="202507, 202506"/>
    <d v="2025-09-17T00:00:00"/>
    <n v="793.78"/>
    <x v="0"/>
    <x v="7"/>
  </r>
  <r>
    <s v="FLUJO"/>
    <n v="20611853077"/>
    <s v="DENT IMPORTACIONES SAYCA SAC."/>
    <s v="202507"/>
    <d v="2025-09-17T00:00:00"/>
    <n v="143.02000000000001"/>
    <x v="0"/>
    <x v="7"/>
  </r>
  <r>
    <s v="FLUJO"/>
    <n v="20612451410"/>
    <s v="FORTI CONSTRUCTORES PERU S.A.C"/>
    <s v="202507"/>
    <d v="2025-09-17T00:00:00"/>
    <n v="148.32"/>
    <x v="0"/>
    <x v="7"/>
  </r>
  <r>
    <s v="FLUJO"/>
    <n v="10011467852"/>
    <s v="ALFONSO ENRIQUE GARCIA GARCIA"/>
    <s v="202506"/>
    <d v="2025-09-17T00:00:00"/>
    <n v="149.79"/>
    <x v="0"/>
    <x v="7"/>
  </r>
  <r>
    <s v="FLUJO"/>
    <n v="20334314732"/>
    <s v="ABASTECEDORA DE PRODUCTOS Y SERVICIOS EIRL"/>
    <s v="202506, 202505, 202507"/>
    <d v="2025-09-17T00:00:00"/>
    <n v="393.91999999999996"/>
    <x v="0"/>
    <x v="7"/>
  </r>
  <r>
    <s v="FLUJO"/>
    <n v="20533210385"/>
    <s v="JALD INVERSIONES EIRL"/>
    <s v="202506, 202505, 202504, 202503, 202507"/>
    <d v="2025-09-17T00:00:00"/>
    <n v="1805.68"/>
    <x v="0"/>
    <x v="7"/>
  </r>
  <r>
    <s v="FLUJO"/>
    <n v="20603283512"/>
    <s v="elda e hijos consultores peru sac"/>
    <s v="202506, 202507"/>
    <d v="2025-09-17T00:00:00"/>
    <n v="4196.92"/>
    <x v="0"/>
    <x v="7"/>
  </r>
  <r>
    <s v="FLUJO"/>
    <n v="20606309806"/>
    <s v="SEGURABG S.A.C"/>
    <s v="202506"/>
    <d v="2025-09-17T00:00:00"/>
    <n v="2000.37"/>
    <x v="0"/>
    <x v="7"/>
  </r>
  <r>
    <s v="FLUJO"/>
    <n v="20610806873"/>
    <s v="SOLUCIONES D Y Z HOSSO EIRL"/>
    <s v="202506, 202505, 202504, 202503, 202502, 202507"/>
    <d v="2025-09-17T00:00:00"/>
    <n v="798.24999999999989"/>
    <x v="0"/>
    <x v="7"/>
  </r>
  <r>
    <s v="FLUJO"/>
    <n v="20605735585"/>
    <s v="SEGURIDAD Y SERVICIOS CLAVE 2 AREQUIPA EIRL"/>
    <s v="202505, 202507, 202506"/>
    <d v="2025-09-17T00:00:00"/>
    <n v="500.25"/>
    <x v="0"/>
    <x v="7"/>
  </r>
  <r>
    <s v="FLUJO"/>
    <n v="20513790393"/>
    <s v="Export Fashion Peruana SAC"/>
    <s v="202504, 202503, 202502"/>
    <d v="2025-09-17T00:00:00"/>
    <n v="790.79000000000008"/>
    <x v="0"/>
    <x v="7"/>
  </r>
  <r>
    <s v="FLUJO"/>
    <n v="20609530589"/>
    <s v="INVERSIONES TURISTICAS GALLO E.I.R.L"/>
    <s v="202503, 202502"/>
    <d v="2025-09-17T00:00:00"/>
    <n v="270.71000000000004"/>
    <x v="0"/>
    <x v="7"/>
  </r>
  <r>
    <s v="FLUJO"/>
    <n v="20611193891"/>
    <s v="CASA DE REPOSO MI GRAN ABUELO E.I.R.L."/>
    <s v="202503, 202504"/>
    <d v="2025-09-17T00:00:00"/>
    <n v="268.39999999999998"/>
    <x v="0"/>
    <x v="7"/>
  </r>
  <r>
    <s v="FLUJO"/>
    <n v="20509889610"/>
    <s v="INTERANDINA VIAJES Y TURISMO SRL"/>
    <s v="202502"/>
    <d v="2025-09-17T00:00:00"/>
    <n v="155.06"/>
    <x v="0"/>
    <x v="7"/>
  </r>
  <r>
    <s v="PRESUNTA"/>
    <n v="10329385553"/>
    <s v="MARIA ELENA ALFARO RODRIGUEZ"/>
    <s v="202507"/>
    <d v="2025-09-17T00:00:00"/>
    <n v="172.60000000000002"/>
    <x v="0"/>
    <x v="7"/>
  </r>
  <r>
    <s v="PRESUNTA"/>
    <n v="10454288683"/>
    <s v="MENDOZA RODRIGUEZ LUIS PABLO"/>
    <s v="202507, 202506"/>
    <d v="2025-09-17T00:00:00"/>
    <n v="298.11"/>
    <x v="0"/>
    <x v="7"/>
  </r>
  <r>
    <s v="PRESUNTA"/>
    <n v="20481784132"/>
    <s v="SAN RAMON SAC"/>
    <s v="202507"/>
    <d v="2025-09-17T00:00:00"/>
    <n v="148.32"/>
    <x v="0"/>
    <x v="7"/>
  </r>
  <r>
    <s v="PRESUNTA"/>
    <n v="20609228173"/>
    <s v="Escuela de Servicios y GestiÃ³n de Riesgos SAC"/>
    <s v="202507"/>
    <d v="2025-09-17T00:00:00"/>
    <n v="148.32"/>
    <x v="0"/>
    <x v="7"/>
  </r>
  <r>
    <s v="PRESUNTA"/>
    <n v="20611609311"/>
    <s v="TRANSPORTES RUIZ VILLENA E.I.R.L"/>
    <s v="202507"/>
    <d v="2025-09-17T00:00:00"/>
    <n v="149.41999999999999"/>
    <x v="0"/>
    <x v="7"/>
  </r>
  <r>
    <s v="PRESUNTA"/>
    <n v="20613865609"/>
    <s v="AGROLEYKA SRL"/>
    <s v="202507"/>
    <d v="2025-09-17T00:00:00"/>
    <n v="230.13"/>
    <x v="0"/>
    <x v="7"/>
  </r>
  <r>
    <s v="PRESUNTA"/>
    <n v="10071815426"/>
    <s v="ALCAZAR SERNA GUSTAVO GOTARDO"/>
    <s v="202505, 202504, 202503, 202507, 202506"/>
    <d v="2025-09-17T00:00:00"/>
    <n v="820.56999999999994"/>
    <x v="0"/>
    <x v="7"/>
  </r>
  <r>
    <s v="PRESUNTA"/>
    <n v="20609754894"/>
    <s v="BREAD MILLS S.A.C"/>
    <s v="202504, 202505"/>
    <d v="2025-09-17T00:00:00"/>
    <n v="451.03999999999996"/>
    <x v="0"/>
    <x v="7"/>
  </r>
  <r>
    <s v="REAL TOTAL"/>
    <n v="20602710280"/>
    <s v="NORTHWEST SECURITY S.A.C"/>
    <s v="202501"/>
    <d v="2025-09-17T00:00:00"/>
    <n v="1075.2"/>
    <x v="0"/>
    <x v="7"/>
  </r>
  <r>
    <s v="REAL TOTAL"/>
    <n v="20526450851"/>
    <s v="SOLIMAR INDUSTRIA EIRL"/>
    <s v="202208"/>
    <d v="2025-09-17T00:00:00"/>
    <n v="313.48"/>
    <x v="0"/>
    <x v="7"/>
  </r>
  <r>
    <s v="REAL TOTAL"/>
    <n v="20100002206"/>
    <s v="ESTABLECIMIENTOS INCA S.A.C."/>
    <s v="201406, 200512"/>
    <d v="2025-09-17T00:00:00"/>
    <n v="877.31999999999994"/>
    <x v="0"/>
    <x v="7"/>
  </r>
  <r>
    <s v="FLUJO"/>
    <n v="10079521863"/>
    <s v="DE LAMA RISCO MARTHA AVELINA"/>
    <s v="202507"/>
    <d v="2025-09-18T00:00:00"/>
    <n v="148.32"/>
    <x v="0"/>
    <x v="8"/>
  </r>
  <r>
    <s v="FLUJO"/>
    <n v="10266846695"/>
    <s v="ALEGRIA AGUERO LUZMILA DEL CARMEN"/>
    <s v="202507"/>
    <d v="2025-09-18T00:00:00"/>
    <n v="211.72"/>
    <x v="0"/>
    <x v="8"/>
  </r>
  <r>
    <s v="FLUJO"/>
    <n v="10414641488"/>
    <s v="JOSE LUIS VILLAJUAN TOMAS"/>
    <s v="202507"/>
    <d v="2025-09-18T00:00:00"/>
    <n v="148.32"/>
    <x v="0"/>
    <x v="8"/>
  </r>
  <r>
    <s v="FLUJO"/>
    <n v="10730370259"/>
    <s v="ROJAS ORDOÃ‘EZ FIORELLA NICOLE"/>
    <s v="202507, 202506"/>
    <d v="2025-09-18T00:00:00"/>
    <n v="130.66000000000003"/>
    <x v="0"/>
    <x v="8"/>
  </r>
  <r>
    <s v="FLUJO"/>
    <n v="10766626934"/>
    <s v="AZABACHE NORIEGA JORGE LUIS"/>
    <s v="202507, 202506"/>
    <d v="2025-09-18T00:00:00"/>
    <n v="261.34000000000003"/>
    <x v="0"/>
    <x v="8"/>
  </r>
  <r>
    <s v="FLUJO"/>
    <n v="20481923949"/>
    <s v="Huaca Larga SAC"/>
    <s v="202507"/>
    <d v="2025-09-18T00:00:00"/>
    <n v="148.32"/>
    <x v="0"/>
    <x v="8"/>
  </r>
  <r>
    <s v="FLUJO"/>
    <n v="20530945201"/>
    <s v="PERUVIAN FOOD COMPANY SAC"/>
    <s v="202507"/>
    <d v="2025-09-18T00:00:00"/>
    <n v="148.32"/>
    <x v="0"/>
    <x v="8"/>
  </r>
  <r>
    <s v="FLUJO"/>
    <n v="20559954943"/>
    <s v="RIZAM CONTRATISTAS Y SERVICIOS GENERALES SAC"/>
    <s v="202507"/>
    <d v="2025-09-18T00:00:00"/>
    <n v="148.32"/>
    <x v="0"/>
    <x v="8"/>
  </r>
  <r>
    <s v="FLUJO"/>
    <n v="20602445047"/>
    <s v="Ã‘AÃ‘OCUY SAC"/>
    <s v="202507"/>
    <d v="2025-09-18T00:00:00"/>
    <n v="118.13"/>
    <x v="0"/>
    <x v="8"/>
  </r>
  <r>
    <s v="FLUJO"/>
    <n v="20602821090"/>
    <s v="GRUPO RV INGENIEROS ASOCIADOS S.R.L."/>
    <s v="202507, 202506"/>
    <d v="2025-09-18T00:00:00"/>
    <n v="261.34000000000003"/>
    <x v="0"/>
    <x v="8"/>
  </r>
  <r>
    <s v="FLUJO"/>
    <n v="20603252137"/>
    <s v="FRIO KLEN E.I.R.L"/>
    <s v="202507, 202506"/>
    <d v="2025-09-18T00:00:00"/>
    <n v="287.45000000000005"/>
    <x v="0"/>
    <x v="8"/>
  </r>
  <r>
    <s v="FLUJO"/>
    <n v="20604539596"/>
    <s v="LA FRUTTA S.R.L."/>
    <s v="202507, 202506, 202505, 202504, 202503"/>
    <d v="2025-09-18T00:00:00"/>
    <n v="728.3900000000001"/>
    <x v="0"/>
    <x v="8"/>
  </r>
  <r>
    <s v="FLUJO"/>
    <n v="20605158693"/>
    <s v="MELA MENICA EIRL"/>
    <s v="202507, 202504, 202503, 202502, 202506, 202505"/>
    <d v="2025-09-18T00:00:00"/>
    <n v="1418.97"/>
    <x v="0"/>
    <x v="8"/>
  </r>
  <r>
    <s v="FLUJO"/>
    <n v="20606007214"/>
    <s v="FABRICA DE COLCHONES Y PRODUCTOS RELACIONADOS TORRES y TORRE"/>
    <s v="202507, 202506, 202505, 202504, 202503"/>
    <d v="2025-09-18T00:00:00"/>
    <n v="755.37"/>
    <x v="0"/>
    <x v="8"/>
  </r>
  <r>
    <s v="FLUJO"/>
    <n v="20607434183"/>
    <s v="CORPORACION Y INVERSIONES ELAMERICANO  S.A.C."/>
    <s v="202507, 202506, 202505"/>
    <d v="2025-09-18T00:00:00"/>
    <n v="393.80000000000007"/>
    <x v="0"/>
    <x v="8"/>
  </r>
  <r>
    <s v="FLUJO"/>
    <n v="20610185640"/>
    <s v="AGRO EXPORTACION MIKAL SOCIEDAD ANONIMA CERRADA"/>
    <s v="202507, 202506, 202505"/>
    <d v="2025-09-18T00:00:00"/>
    <n v="393.80000000000007"/>
    <x v="0"/>
    <x v="8"/>
  </r>
  <r>
    <s v="FLUJO"/>
    <n v="20611146125"/>
    <s v="NEGOCIOS ALIMENTICIOS REYES S.R.L."/>
    <s v="202507, 202506"/>
    <d v="2025-09-18T00:00:00"/>
    <n v="647.54"/>
    <x v="0"/>
    <x v="8"/>
  </r>
  <r>
    <s v="FLUJO"/>
    <n v="20612400017"/>
    <s v="TEXTILES JMK S.A.C."/>
    <s v="202507, 202506"/>
    <d v="2025-09-18T00:00:00"/>
    <n v="578.16"/>
    <x v="0"/>
    <x v="8"/>
  </r>
  <r>
    <s v="FLUJO"/>
    <n v="20603577788"/>
    <s v="KCR SOCIO EMPRESARIAL S.A.C."/>
    <s v="202506, 202507"/>
    <d v="2025-09-18T00:00:00"/>
    <n v="242.87"/>
    <x v="0"/>
    <x v="8"/>
  </r>
  <r>
    <s v="FLUJO"/>
    <n v="20603834462"/>
    <s v="MOL EL PIRATA DE CHICLAYO FUTBOL CLUB"/>
    <s v="202506, 202507"/>
    <d v="2025-09-18T00:00:00"/>
    <n v="780.72"/>
    <x v="0"/>
    <x v="8"/>
  </r>
  <r>
    <s v="FLUJO"/>
    <n v="20611557541"/>
    <s v="ASESORES VEYSA SAC"/>
    <s v="202505"/>
    <d v="2025-09-18T00:00:00"/>
    <n v="132.46"/>
    <x v="0"/>
    <x v="8"/>
  </r>
  <r>
    <s v="FLUJO"/>
    <n v="10408830228"/>
    <s v="VARGAS ESTRADA JOHJAN"/>
    <s v="202504, 202503"/>
    <d v="2025-09-18T00:00:00"/>
    <n v="134.19999999999999"/>
    <x v="0"/>
    <x v="8"/>
  </r>
  <r>
    <s v="FLUJO"/>
    <n v="20601537118"/>
    <s v="JJ CORREA E.I.R.L."/>
    <s v="202504"/>
    <d v="2025-09-18T00:00:00"/>
    <n v="153.67000000000002"/>
    <x v="0"/>
    <x v="8"/>
  </r>
  <r>
    <s v="PRESUNTA"/>
    <n v="20510332483"/>
    <s v="IMAD PERU SAC"/>
    <s v="202507"/>
    <d v="2025-09-18T00:00:00"/>
    <n v="1939.1200000000001"/>
    <x v="0"/>
    <x v="8"/>
  </r>
  <r>
    <s v="PRESUNTA"/>
    <n v="20516138051"/>
    <s v="Integradores de Soluciones Linux SAC"/>
    <s v="202507"/>
    <d v="2025-09-18T00:00:00"/>
    <n v="147.99"/>
    <x v="0"/>
    <x v="8"/>
  </r>
  <r>
    <s v="PRESUNTA"/>
    <n v="20604725608"/>
    <s v="SERVICIOS MIRSA E.I.R.L"/>
    <s v="202507, 202506, 202505, 202504, 202503, 202502"/>
    <d v="2025-09-18T00:00:00"/>
    <n v="798.26"/>
    <x v="0"/>
    <x v="8"/>
  </r>
  <r>
    <s v="PRESUNTA"/>
    <n v="20608353233"/>
    <s v="EMPRESA DE SEGURIDAD VIP PERU SRL"/>
    <s v="202507, 202506"/>
    <d v="2025-09-18T00:00:00"/>
    <n v="298.11"/>
    <x v="0"/>
    <x v="8"/>
  </r>
  <r>
    <s v="REAL TOTAL"/>
    <n v="20610483462"/>
    <s v="LUCIANO SS E.I.R.L"/>
    <s v="202404"/>
    <d v="2025-09-18T00:00:00"/>
    <n v="137.80000000000001"/>
    <x v="0"/>
    <x v="8"/>
  </r>
  <r>
    <s v="REAL TOTAL"/>
    <n v="20491071533"/>
    <s v="laboratorio  diesel G  A scrltda"/>
    <s v="202301"/>
    <d v="2025-09-18T00:00:00"/>
    <n v="247.32"/>
    <x v="0"/>
    <x v="8"/>
  </r>
  <r>
    <s v="REAL TOTAL"/>
    <n v="20565209290"/>
    <s v="FRANSU TRADING SAC"/>
    <s v="201907, 201906"/>
    <d v="2025-09-18T00:00:00"/>
    <n v="509.23"/>
    <x v="0"/>
    <x v="8"/>
  </r>
  <r>
    <s v="REAL TOTAL"/>
    <n v="20481629161"/>
    <s v="YOVIC S.A.C."/>
    <s v="201804, 201803"/>
    <d v="2025-09-18T00:00:00"/>
    <n v="1914.1100000000001"/>
    <x v="0"/>
    <x v="8"/>
  </r>
  <r>
    <s v="REAL TOTAL"/>
    <n v="20101333940"/>
    <s v="OSTIM S.A."/>
    <s v="200812"/>
    <d v="2025-09-18T00:00:00"/>
    <n v="41.7"/>
    <x v="0"/>
    <x v="8"/>
  </r>
  <r>
    <s v="REAL TOTAL"/>
    <n v="20513540362"/>
    <s v="PERUVIAN SUN SAC"/>
    <s v="200612"/>
    <d v="2025-09-18T00:00:00"/>
    <n v="519.55999999999995"/>
    <x v="0"/>
    <x v="8"/>
  </r>
  <r>
    <s v="FLUJO"/>
    <n v="20518304233"/>
    <s v="POTENZA GAS SAC"/>
    <s v="202507, 202506, 202505"/>
    <d v="2025-09-19T00:00:00"/>
    <n v="394.06000000000006"/>
    <x v="0"/>
    <x v="9"/>
  </r>
  <r>
    <s v="FLUJO"/>
    <n v="20554520678"/>
    <s v="REDES MULTIMEDIA PERU SAC"/>
    <s v="202507, 202506, 202505, 202504"/>
    <d v="2025-09-19T00:00:00"/>
    <n v="693.9"/>
    <x v="0"/>
    <x v="9"/>
  </r>
  <r>
    <s v="FLUJO"/>
    <n v="20601480345"/>
    <s v="PROGRAMA DE CAPACITACION Y FORMACION DOCENTE E.I.R.L."/>
    <s v="202507"/>
    <d v="2025-09-19T00:00:00"/>
    <n v="389.58"/>
    <x v="0"/>
    <x v="9"/>
  </r>
  <r>
    <s v="FLUJO"/>
    <n v="20602146902"/>
    <s v="SAN IGNACIO DE NUEVA ESPERANZA SAC"/>
    <s v="202507, 202506, 202505"/>
    <d v="2025-09-19T00:00:00"/>
    <n v="394.06000000000006"/>
    <x v="0"/>
    <x v="9"/>
  </r>
  <r>
    <s v="FLUJO"/>
    <n v="20603213301"/>
    <s v="SOLUCIONES EN TRANSPORTES MELIS SAC"/>
    <s v="202507"/>
    <d v="2025-09-19T00:00:00"/>
    <n v="148.47"/>
    <x v="0"/>
    <x v="9"/>
  </r>
  <r>
    <s v="FLUJO"/>
    <n v="20604758301"/>
    <s v="EDITORIAL MUCHIK S.A.C."/>
    <s v="202507, 202506"/>
    <d v="2025-09-19T00:00:00"/>
    <n v="289.24"/>
    <x v="0"/>
    <x v="9"/>
  </r>
  <r>
    <s v="FLUJO"/>
    <n v="20609136279"/>
    <s v="AGRO SOLUTA S.A.C."/>
    <s v="202507"/>
    <d v="2025-09-19T00:00:00"/>
    <n v="148.47"/>
    <x v="0"/>
    <x v="9"/>
  </r>
  <r>
    <s v="FLUJO"/>
    <n v="20610209832"/>
    <s v="SOPLIN E.I.R.L"/>
    <s v="202507, 202506"/>
    <d v="2025-09-19T00:00:00"/>
    <n v="372.36"/>
    <x v="0"/>
    <x v="9"/>
  </r>
  <r>
    <s v="FLUJO"/>
    <n v="20611285796"/>
    <s v="CORPORACION ELMAZ S.A.C."/>
    <s v="202507, 202506"/>
    <d v="2025-09-19T00:00:00"/>
    <n v="1062.0300000000002"/>
    <x v="0"/>
    <x v="9"/>
  </r>
  <r>
    <s v="FLUJO"/>
    <n v="20612751367"/>
    <s v="CORPORACION Y SERVICIOS MULTIPLES FLOR FR Y A SAC"/>
    <s v="202507, 202506"/>
    <d v="2025-09-19T00:00:00"/>
    <n v="270.39"/>
    <x v="0"/>
    <x v="9"/>
  </r>
  <r>
    <s v="FLUJO"/>
    <n v="20614114399"/>
    <s v="MAQUINARIA KOMIR SAC"/>
    <s v="202507, 202506, 202505"/>
    <d v="2025-09-19T00:00:00"/>
    <n v="394.06000000000006"/>
    <x v="0"/>
    <x v="9"/>
  </r>
  <r>
    <s v="FLUJO"/>
    <n v="20602059236"/>
    <s v="Celeste Mar S.A.C."/>
    <s v="202506, 202505, 202504, 202507"/>
    <d v="2025-09-19T00:00:00"/>
    <n v="527.66999999999996"/>
    <x v="0"/>
    <x v="9"/>
  </r>
  <r>
    <s v="FLUJO"/>
    <n v="20602210082"/>
    <s v="TALENT PEOPLE OUTSOURCING S.A.C"/>
    <s v="202506"/>
    <d v="2025-09-19T00:00:00"/>
    <n v="407.06"/>
    <x v="0"/>
    <x v="9"/>
  </r>
  <r>
    <s v="FLUJO"/>
    <n v="20515072587"/>
    <s v="CORPORACION ARCOS S.A.C."/>
    <s v="202505, 202504"/>
    <d v="2025-09-19T00:00:00"/>
    <n v="342.83000000000004"/>
    <x v="0"/>
    <x v="9"/>
  </r>
  <r>
    <s v="FLUJO"/>
    <n v="20607151688"/>
    <s v="METIS DREG S.A.C."/>
    <s v="202505, 202504, 202503"/>
    <d v="2025-09-19T00:00:00"/>
    <n v="536.03"/>
    <x v="0"/>
    <x v="9"/>
  </r>
  <r>
    <s v="FLUJO"/>
    <n v="20611118750"/>
    <s v="AGRONEGOCIOS SUSY EIRL"/>
    <s v="202505, 202504"/>
    <d v="2025-09-19T00:00:00"/>
    <n v="266.22000000000003"/>
    <x v="0"/>
    <x v="9"/>
  </r>
  <r>
    <s v="FLUJO"/>
    <n v="20523759087"/>
    <s v="PACHAMAMA TRADITIONAL BANQUETS SAC"/>
    <s v="202504, 202507, 202506, 202505"/>
    <d v="2025-09-19T00:00:00"/>
    <n v="2516.2799999999997"/>
    <x v="0"/>
    <x v="9"/>
  </r>
  <r>
    <s v="FLUJO"/>
    <n v="20612460575"/>
    <s v="SERVICIOS BURGA EIRL"/>
    <s v="202503"/>
    <d v="2025-09-19T00:00:00"/>
    <n v="63"/>
    <x v="0"/>
    <x v="9"/>
  </r>
  <r>
    <s v="PRESUNTA"/>
    <n v="20516024551"/>
    <s v="MEDICAL MED SAC"/>
    <s v="202507"/>
    <d v="2025-09-19T00:00:00"/>
    <n v="253.39000000000001"/>
    <x v="0"/>
    <x v="9"/>
  </r>
  <r>
    <s v="PRESUNTA"/>
    <n v="20603610769"/>
    <s v="ACABADOS EXCLUSIVOS LUZ S.A.C."/>
    <s v="202507"/>
    <d v="2025-09-19T00:00:00"/>
    <n v="260.3"/>
    <x v="0"/>
    <x v="9"/>
  </r>
  <r>
    <s v="PRESUNTA"/>
    <n v="20498260366"/>
    <s v="MONTAJE, INGENIERIA Y MANTENIMIENTO SCRL"/>
    <s v="202504, 202503, 202502, 202501, 202412, 202411, 202410, 202409, 202408, 202407, 202406, 202405"/>
    <d v="2025-09-19T00:00:00"/>
    <n v="27302.470000000005"/>
    <x v="0"/>
    <x v="9"/>
  </r>
  <r>
    <s v="REAL TOTAL"/>
    <n v="20217254125"/>
    <s v="MUNICIPALIDAD DISTRITAL DE SAN ANTONIO"/>
    <s v="202410"/>
    <d v="2025-09-19T00:00:00"/>
    <n v="2970.65"/>
    <x v="0"/>
    <x v="9"/>
  </r>
  <r>
    <s v="REAL TOTAL"/>
    <n v="20555177110"/>
    <s v="TRANSPORTES Y SERVICIOS GERALD SAC"/>
    <s v="202405"/>
    <d v="2025-09-19T00:00:00"/>
    <n v="545.03"/>
    <x v="0"/>
    <x v="9"/>
  </r>
  <r>
    <s v="FLUJO"/>
    <n v="10435515172"/>
    <s v="JUANA IRIS GUTIERREZ VEGA"/>
    <s v="202507, 202506, 202505"/>
    <d v="2025-09-20T00:00:00"/>
    <n v="137.1"/>
    <x v="0"/>
    <x v="9"/>
  </r>
  <r>
    <s v="FLUJO"/>
    <n v="20532083126"/>
    <s v="SERVICIOS GENERALES DORBEC E.I.R.L"/>
    <s v="202507, 202506, 202505"/>
    <d v="2025-09-20T00:00:00"/>
    <n v="2539.88"/>
    <x v="0"/>
    <x v="9"/>
  </r>
  <r>
    <s v="FLUJO"/>
    <n v="20539765061"/>
    <s v="POLIFLEX GROUP SAC"/>
    <s v="202507"/>
    <d v="2025-09-20T00:00:00"/>
    <n v="288.10000000000002"/>
    <x v="0"/>
    <x v="9"/>
  </r>
  <r>
    <s v="FLUJO"/>
    <n v="20566572665"/>
    <s v="DISTRIBUIDORA HUARIPUMA SAC"/>
    <s v="202507"/>
    <d v="2025-09-20T00:00:00"/>
    <n v="293.75"/>
    <x v="0"/>
    <x v="9"/>
  </r>
  <r>
    <s v="FLUJO"/>
    <n v="20610742174"/>
    <s v="INVERSIONES TOMAS GUTARRA SAC"/>
    <s v="202507, 202506, 202505, 202504"/>
    <d v="2025-09-20T00:00:00"/>
    <n v="747.69"/>
    <x v="0"/>
    <x v="9"/>
  </r>
  <r>
    <s v="FLUJO"/>
    <n v="20603634684"/>
    <s v="CONFECCIONES TANTA SAC"/>
    <s v="202506"/>
    <d v="2025-09-20T00:00:00"/>
    <n v="131.44"/>
    <x v="0"/>
    <x v="9"/>
  </r>
  <r>
    <s v="FLUJO"/>
    <n v="10725778380"/>
    <s v="CALDERON NAVEZ EDITH KATHERIN"/>
    <s v="202505"/>
    <d v="2025-09-20T00:00:00"/>
    <n v="70.400000000000006"/>
    <x v="0"/>
    <x v="9"/>
  </r>
  <r>
    <s v="FLUJO"/>
    <n v="20606031034"/>
    <s v="GRUPO EDUCATIVO CULTURAL JESA S.R.L."/>
    <s v="202505"/>
    <d v="2025-09-20T00:00:00"/>
    <n v="132.6"/>
    <x v="0"/>
    <x v="9"/>
  </r>
  <r>
    <s v="FLUJO"/>
    <n v="20518001176"/>
    <s v="M Y 3A CORPORACION ELECTRO INDUSTRIAL EIRL"/>
    <s v="202504, 202507, 202506, 202505"/>
    <d v="2025-09-20T00:00:00"/>
    <n v="677.73"/>
    <x v="0"/>
    <x v="9"/>
  </r>
  <r>
    <s v="FLUJO"/>
    <n v="20611143509"/>
    <s v="COMERCIALIZACION DE FIERROS Y METALES SAC"/>
    <s v="202503, 202502, 202507, 202506, 202505, 202504"/>
    <d v="2025-09-20T00:00:00"/>
    <n v="800.68"/>
    <x v="0"/>
    <x v="9"/>
  </r>
  <r>
    <s v="FLUJO"/>
    <n v="20601480655"/>
    <s v="ADHESIVOS PERUVIAN YMAN SAC"/>
    <s v="202501, 202504"/>
    <d v="2025-09-20T00:00:00"/>
    <n v="2583.54"/>
    <x v="0"/>
    <x v="9"/>
  </r>
  <r>
    <s v="PRESUNTA"/>
    <n v="20600491891"/>
    <s v="THE WINE COMPANY S.A.C."/>
    <s v="202507"/>
    <d v="2025-09-20T00:00:00"/>
    <n v="1407.6"/>
    <x v="0"/>
    <x v="9"/>
  </r>
  <r>
    <s v="REAL TOTAL"/>
    <n v="20440355707"/>
    <s v="J  J REPRESENTACIONES Y TURISTISTICAS SRL"/>
    <s v="202008"/>
    <d v="2025-09-20T00:00:00"/>
    <n v="35.93"/>
    <x v="0"/>
    <x v="9"/>
  </r>
  <r>
    <s v="PRESUNTA"/>
    <n v="20612958123"/>
    <s v="RODRIGO GALLO OROPEZA TRAUMA EIRL"/>
    <s v="202507, 202506"/>
    <d v="2025-09-21T00:00:00"/>
    <n v="261.72000000000003"/>
    <x v="0"/>
    <x v="9"/>
  </r>
  <r>
    <s v="FLUJO"/>
    <n v="10097572289"/>
    <s v="ARREDONDO SEGOVIA ROCIO"/>
    <s v="202507"/>
    <d v="2025-09-22T00:00:00"/>
    <n v="260.55"/>
    <x v="0"/>
    <x v="10"/>
  </r>
  <r>
    <s v="FLUJO"/>
    <n v="20303795431"/>
    <s v="ERSI IMPORTACIONES SRL."/>
    <s v="202507, 202506"/>
    <d v="2025-09-22T00:00:00"/>
    <n v="277.93000000000006"/>
    <x v="0"/>
    <x v="10"/>
  </r>
  <r>
    <s v="FLUJO"/>
    <n v="20479541184"/>
    <s v="GRANDA CONTRATISTAS SRL"/>
    <s v="202507"/>
    <d v="2025-09-22T00:00:00"/>
    <n v="263.03000000000003"/>
    <x v="0"/>
    <x v="10"/>
  </r>
  <r>
    <s v="FLUJO"/>
    <n v="20507828087"/>
    <s v="J &amp; M  CONSTRUCTORES S.R.L."/>
    <s v="202507, 202506, 202505, 202504"/>
    <d v="2025-09-22T00:00:00"/>
    <n v="346.52"/>
    <x v="0"/>
    <x v="10"/>
  </r>
  <r>
    <s v="FLUJO"/>
    <n v="20544254651"/>
    <s v="MECC CONSULTORES Y CONTRATISTAS GENERALES SAC"/>
    <s v="202507, 202506"/>
    <d v="2025-09-22T00:00:00"/>
    <n v="462.62"/>
    <x v="0"/>
    <x v="10"/>
  </r>
  <r>
    <s v="FLUJO"/>
    <n v="20602084087"/>
    <s v="CONSTRUCCIONES Y ACABADOS FUENTES E.I.R.L."/>
    <s v="202507"/>
    <d v="2025-09-22T00:00:00"/>
    <n v="148.61000000000001"/>
    <x v="0"/>
    <x v="10"/>
  </r>
  <r>
    <s v="FLUJO"/>
    <n v="20610528334"/>
    <s v="HHM MAQUINARIAS Y SERVICIOS E.I.R.L."/>
    <s v="202507, 202506, 202505"/>
    <d v="2025-09-22T00:00:00"/>
    <n v="872.37"/>
    <x v="0"/>
    <x v="10"/>
  </r>
  <r>
    <s v="FLUJO"/>
    <n v="20610764411"/>
    <s v="AKM LOGISTIC S.A.C."/>
    <s v="202507, 202506, 202505, 202504, 202503"/>
    <d v="2025-09-22T00:00:00"/>
    <n v="1290.7199999999998"/>
    <x v="0"/>
    <x v="10"/>
  </r>
  <r>
    <s v="FLUJO"/>
    <n v="20611598867"/>
    <s v="UNICOS COMPANY S.R.L."/>
    <s v="202507, 202506, 202505"/>
    <d v="2025-09-22T00:00:00"/>
    <n v="677.26"/>
    <x v="0"/>
    <x v="10"/>
  </r>
  <r>
    <s v="FLUJO"/>
    <n v="20601364361"/>
    <s v="HOGA  MODA EIRL"/>
    <s v="202506"/>
    <d v="2025-09-22T00:00:00"/>
    <n v="131.44"/>
    <x v="0"/>
    <x v="10"/>
  </r>
  <r>
    <s v="FLUJO"/>
    <n v="20612132373"/>
    <s v="CONSORCIO LUBARU S.A.C."/>
    <s v="202505, 202504, 202507, 202506"/>
    <d v="2025-09-22T00:00:00"/>
    <n v="701.81000000000006"/>
    <x v="0"/>
    <x v="10"/>
  </r>
  <r>
    <s v="FLUJO"/>
    <n v="20454096194"/>
    <s v="FIBRAS DEL SUR SAC"/>
    <s v="202504, 202503, 202502"/>
    <d v="2025-09-22T00:00:00"/>
    <n v="537.4"/>
    <x v="0"/>
    <x v="10"/>
  </r>
  <r>
    <s v="PRESUNTA"/>
    <n v="20409418865"/>
    <s v="Institucion Educativa Privada Juan Pablo II SRL Zarumilla"/>
    <s v="202507"/>
    <d v="2025-09-22T00:00:00"/>
    <n v="130.28"/>
    <x v="0"/>
    <x v="10"/>
  </r>
  <r>
    <s v="REAL TOTAL"/>
    <n v="20138529445"/>
    <s v="ASOC DE PROPIETARIOS DEL MCO MODELO PARTICULAR SAN JUAN"/>
    <s v="200701"/>
    <d v="2025-09-22T00:00:00"/>
    <n v="65.099999999999994"/>
    <x v="0"/>
    <x v="10"/>
  </r>
  <r>
    <s v="FLUJO"/>
    <n v="10102239003"/>
    <s v="BLANCAS LAVADO EVELYN"/>
    <s v="202507, 202506"/>
    <d v="2025-09-23T00:00:00"/>
    <n v="162.12"/>
    <x v="0"/>
    <x v="11"/>
  </r>
  <r>
    <s v="FLUJO"/>
    <n v="10420382001"/>
    <s v="CANO ARBIETO MARIO"/>
    <s v="202507, 202506, 202505, 202504, 202503"/>
    <d v="2025-09-23T00:00:00"/>
    <n v="829.02"/>
    <x v="0"/>
    <x v="11"/>
  </r>
  <r>
    <s v="FLUJO"/>
    <n v="20432846491"/>
    <s v="ESBARI SAC"/>
    <s v="202507"/>
    <d v="2025-09-23T00:00:00"/>
    <n v="715.46999999999991"/>
    <x v="0"/>
    <x v="11"/>
  </r>
  <r>
    <s v="FLUJO"/>
    <n v="20525925693"/>
    <s v="INVERSIONES ROSANT SAC"/>
    <s v="202507, 202506"/>
    <d v="2025-09-23T00:00:00"/>
    <n v="261.72000000000003"/>
    <x v="0"/>
    <x v="11"/>
  </r>
  <r>
    <s v="FLUJO"/>
    <n v="20549009965"/>
    <s v="INVERSIONES SANTIAGO EIRL"/>
    <s v="202507"/>
    <d v="2025-09-23T00:00:00"/>
    <n v="347.26"/>
    <x v="0"/>
    <x v="11"/>
  </r>
  <r>
    <s v="FLUJO"/>
    <n v="20552011377"/>
    <s v="ASOCIACION DE DIFUSION CULTURAL UNIDA  ADCUNI"/>
    <s v="202507"/>
    <d v="2025-09-23T00:00:00"/>
    <n v="272.84000000000003"/>
    <x v="0"/>
    <x v="11"/>
  </r>
  <r>
    <s v="FLUJO"/>
    <n v="20557467964"/>
    <s v="CLASS PARKING SAC"/>
    <s v="202507"/>
    <d v="2025-09-23T00:00:00"/>
    <n v="148.61000000000001"/>
    <x v="0"/>
    <x v="11"/>
  </r>
  <r>
    <s v="FLUJO"/>
    <n v="20600114370"/>
    <s v="PAOLA SIZA PERU SAC"/>
    <s v="202507"/>
    <d v="2025-09-23T00:00:00"/>
    <n v="291.92"/>
    <x v="0"/>
    <x v="11"/>
  </r>
  <r>
    <s v="FLUJO"/>
    <n v="20604060479"/>
    <s v="CAFÃ‰ SANGUCHON FELIZ E.I.R.L."/>
    <s v="202507"/>
    <d v="2025-09-23T00:00:00"/>
    <n v="130.28"/>
    <x v="0"/>
    <x v="11"/>
  </r>
  <r>
    <s v="FLUJO"/>
    <n v="20605875841"/>
    <s v="HAPPY MUNDO KIDS E.I.R.L."/>
    <s v="202507, 202506"/>
    <d v="2025-09-23T00:00:00"/>
    <n v="298.69"/>
    <x v="0"/>
    <x v="11"/>
  </r>
  <r>
    <s v="FLUJO"/>
    <n v="20606642955"/>
    <s v="CORPORACIÃ“N MINERA ACME S.A.C."/>
    <s v="202507, 202506"/>
    <d v="2025-09-23T00:00:00"/>
    <n v="523.42000000000007"/>
    <x v="0"/>
    <x v="11"/>
  </r>
  <r>
    <s v="FLUJO"/>
    <n v="20610237844"/>
    <s v="PPPERU SERVICIOS GENERALES S.A.C."/>
    <s v="202507"/>
    <d v="2025-09-23T00:00:00"/>
    <n v="243.31"/>
    <x v="0"/>
    <x v="11"/>
  </r>
  <r>
    <s v="FLUJO"/>
    <n v="10178800979"/>
    <s v="ANGELES RODRIGUEZ EDWIN SANTIAGO"/>
    <s v="202506, 202505"/>
    <d v="2025-09-23T00:00:00"/>
    <n v="152.06"/>
    <x v="0"/>
    <x v="11"/>
  </r>
  <r>
    <s v="FLUJO"/>
    <n v="20553238103"/>
    <s v="IMDIMEX E.I.R.L."/>
    <s v="202506"/>
    <d v="2025-09-23T00:00:00"/>
    <n v="262.87"/>
    <x v="0"/>
    <x v="11"/>
  </r>
  <r>
    <s v="FLUJO"/>
    <n v="20572123228"/>
    <s v="JAS CONSULTORIA Y SERVICIOS GENERALES EIRL"/>
    <s v="202505"/>
    <d v="2025-09-23T00:00:00"/>
    <n v="2093.7399999999998"/>
    <x v="0"/>
    <x v="11"/>
  </r>
  <r>
    <s v="FLUJO"/>
    <n v="20602495168"/>
    <s v="NEGOCIOS Y SERVICIOS ANCAR EIRL"/>
    <s v="202503"/>
    <d v="2025-09-23T00:00:00"/>
    <n v="244.98000000000002"/>
    <x v="0"/>
    <x v="11"/>
  </r>
  <r>
    <s v="PRESUNTA"/>
    <n v="20461111174"/>
    <s v="CIECLANCE SAC"/>
    <s v="202507"/>
    <d v="2025-09-23T00:00:00"/>
    <n v="40.700000000000003"/>
    <x v="0"/>
    <x v="11"/>
  </r>
  <r>
    <s v="PRESUNTA"/>
    <n v="20505805713"/>
    <s v="EL HUERTO COMERCIAL EIRL"/>
    <s v="202507, 202506"/>
    <d v="2025-09-23T00:00:00"/>
    <n v="365.94"/>
    <x v="0"/>
    <x v="11"/>
  </r>
  <r>
    <s v="PRESUNTA"/>
    <n v="20607653217"/>
    <s v="INVERSIONES Y REPRESENTACIONES LATINOAMERICA S.A.C."/>
    <s v="202507, 202506, 202505"/>
    <d v="2025-09-23T00:00:00"/>
    <n v="844.38"/>
    <x v="0"/>
    <x v="11"/>
  </r>
  <r>
    <s v="PRESUNTA"/>
    <n v="20604339953"/>
    <s v="HABITAT OASIS S.A.C."/>
    <s v="202410, 202412, 202411"/>
    <d v="2025-09-23T00:00:00"/>
    <n v="902.22"/>
    <x v="0"/>
    <x v="11"/>
  </r>
  <r>
    <s v="REAL TOTAL"/>
    <n v="20474001122"/>
    <s v="AVINEY CARGO SAC"/>
    <s v="201508, 201507"/>
    <d v="2025-09-23T00:00:00"/>
    <n v="1744.73"/>
    <x v="0"/>
    <x v="11"/>
  </r>
  <r>
    <s v="REAL TOTAL"/>
    <n v="20327004973"/>
    <s v="macro service srl"/>
    <s v="200812"/>
    <d v="2025-09-23T00:00:00"/>
    <n v="42.07"/>
    <x v="0"/>
    <x v="11"/>
  </r>
  <r>
    <s v="REAL TOTAL"/>
    <n v="20349488958"/>
    <s v="PERU TECHNOLOGY S.A.C"/>
    <s v="199809"/>
    <d v="2025-09-23T00:00:00"/>
    <n v="608.04"/>
    <x v="0"/>
    <x v="11"/>
  </r>
  <r>
    <s v="FLUJO"/>
    <n v="10046347728"/>
    <s v="PAREDES VILCA VICTORIA DAMIANA"/>
    <s v="202507"/>
    <d v="2025-09-24T00:00:00"/>
    <n v="263.19"/>
    <x v="0"/>
    <x v="12"/>
  </r>
  <r>
    <s v="FLUJO"/>
    <n v="10305645945"/>
    <s v="Huanaco Flores Gregorio Luciano"/>
    <s v="202507"/>
    <d v="2025-09-24T00:00:00"/>
    <n v="148.61000000000001"/>
    <x v="0"/>
    <x v="12"/>
  </r>
  <r>
    <s v="FLUJO"/>
    <n v="20493824563"/>
    <s v="MyL DISTRIBUIDORA EIRL"/>
    <s v="202507, 202506"/>
    <d v="2025-09-24T00:00:00"/>
    <n v="523.67000000000007"/>
    <x v="0"/>
    <x v="12"/>
  </r>
  <r>
    <s v="FLUJO"/>
    <n v="20498132449"/>
    <s v="ESTABLO LOS MEDANOS EIRL"/>
    <s v="202507, 202506, 202505, 202504, 202503, 202502, 202501"/>
    <d v="2025-09-24T00:00:00"/>
    <n v="937.0100000000001"/>
    <x v="0"/>
    <x v="12"/>
  </r>
  <r>
    <s v="FLUJO"/>
    <n v="20559979695"/>
    <s v="A Y P ABOGADOS Y CONSULTORES EIRL"/>
    <s v="202507, 202506, 202505, 202502"/>
    <d v="2025-09-24T00:00:00"/>
    <n v="657.56999999999994"/>
    <x v="0"/>
    <x v="12"/>
  </r>
  <r>
    <s v="FLUJO"/>
    <n v="20601474973"/>
    <s v="CALLE LOS CASTAÃ‘OS NUMERO 432-440-446 URBANIZACION COUNTRY"/>
    <s v="202507"/>
    <d v="2025-09-24T00:00:00"/>
    <n v="182.9"/>
    <x v="0"/>
    <x v="12"/>
  </r>
  <r>
    <s v="FLUJO"/>
    <n v="20603215771"/>
    <s v="EXUS SAC"/>
    <s v="202507, 202506, 202505"/>
    <d v="2025-09-24T00:00:00"/>
    <n v="530.13"/>
    <x v="0"/>
    <x v="12"/>
  </r>
  <r>
    <s v="FLUJO"/>
    <n v="20605412450"/>
    <s v="CHIFA POLLERIA BUFETT EXPRESS E.I.R.L."/>
    <s v="202507, 202506, 202505, 202504, 202503, 202502"/>
    <d v="2025-09-24T00:00:00"/>
    <n v="732.8"/>
    <x v="0"/>
    <x v="12"/>
  </r>
  <r>
    <s v="FLUJO"/>
    <n v="20610838147"/>
    <s v="SERVICIOS GENERALES DEL PERU A Y B S.A.C."/>
    <s v="202507"/>
    <d v="2025-09-24T00:00:00"/>
    <n v="130.28"/>
    <x v="0"/>
    <x v="12"/>
  </r>
  <r>
    <s v="FLUJO"/>
    <n v="20611461021"/>
    <s v="JIREH SOLUCIONES LOGISTICAS INTEGRALES S.A.C."/>
    <s v="202507, 202506, 202505"/>
    <d v="2025-09-24T00:00:00"/>
    <n v="698.34"/>
    <x v="0"/>
    <x v="12"/>
  </r>
  <r>
    <s v="FLUJO"/>
    <n v="20614064332"/>
    <s v="AGORA EDUCORP S.A.C. BIC"/>
    <s v="202507, 202506, 202505"/>
    <d v="2025-09-24T00:00:00"/>
    <n v="838.0200000000001"/>
    <x v="0"/>
    <x v="12"/>
  </r>
  <r>
    <s v="FLUJO"/>
    <n v="20602500021"/>
    <s v="Inversiones Petroleras del Oriente Peruano S.A.C."/>
    <s v="202506"/>
    <d v="2025-09-24T00:00:00"/>
    <n v="187.79999999999998"/>
    <x v="0"/>
    <x v="12"/>
  </r>
  <r>
    <s v="FLUJO"/>
    <n v="20604712654"/>
    <s v="ELECTRO FERIA EIRL"/>
    <s v="202506, 202505, 202504"/>
    <d v="2025-09-24T00:00:00"/>
    <n v="704.71"/>
    <x v="0"/>
    <x v="12"/>
  </r>
  <r>
    <s v="FLUJO"/>
    <n v="20409498958"/>
    <s v="COMERCIAL MODA KISS EIRL"/>
    <s v="202505"/>
    <d v="2025-09-24T00:00:00"/>
    <n v="151.4"/>
    <x v="0"/>
    <x v="12"/>
  </r>
  <r>
    <s v="FLUJO"/>
    <n v="20504508723"/>
    <s v="EVENTIVA SAC"/>
    <s v="202504"/>
    <d v="2025-09-24T00:00:00"/>
    <n v="338.2"/>
    <x v="0"/>
    <x v="12"/>
  </r>
  <r>
    <s v="FLUJO"/>
    <n v="20524413826"/>
    <s v="inversiones luxemsac sac"/>
    <s v="202412, 202411, 202410, 202409, 202408"/>
    <d v="2025-09-24T00:00:00"/>
    <n v="320.76000000000005"/>
    <x v="0"/>
    <x v="12"/>
  </r>
  <r>
    <s v="FLUJO"/>
    <n v="20612677639"/>
    <s v="EL REY CHICKEN GRILL S.A.C."/>
    <s v="202412"/>
    <d v="2025-09-24T00:00:00"/>
    <n v="129.29"/>
    <x v="0"/>
    <x v="12"/>
  </r>
  <r>
    <s v="PRESUNTA"/>
    <n v="20571604974"/>
    <s v="GANADERIA Y TRANSPORTE EL BUEN PASTOR SAC"/>
    <s v="202505, 202506"/>
    <d v="2025-09-24T00:00:00"/>
    <n v="251.01"/>
    <x v="0"/>
    <x v="12"/>
  </r>
  <r>
    <s v="PRESUNTA"/>
    <n v="20604720215"/>
    <s v="CENTRO COMERCIAL ECO PLAZA SAC"/>
    <s v="202407"/>
    <d v="2025-09-24T00:00:00"/>
    <n v="1410.04"/>
    <x v="0"/>
    <x v="12"/>
  </r>
  <r>
    <s v="REAL TOTAL"/>
    <n v="20609932776"/>
    <s v="PM FRUITS S.A.C."/>
    <s v="202412, 202411"/>
    <d v="2025-09-24T00:00:00"/>
    <n v="3505.89"/>
    <x v="0"/>
    <x v="12"/>
  </r>
  <r>
    <s v="REAL TOTAL"/>
    <n v="20601421586"/>
    <s v="CONSTRUCTORA E INGENIERIA Y EJECUTORES GENERALES C &amp; D S.A.C"/>
    <s v="202312, 202311"/>
    <d v="2025-09-24T00:00:00"/>
    <n v="523.53"/>
    <x v="0"/>
    <x v="12"/>
  </r>
  <r>
    <s v="FLUJO"/>
    <n v="10072414590"/>
    <s v="MERZTHAL COLLAZOS LUIS MIGUEL"/>
    <s v="202507"/>
    <d v="2025-09-25T00:00:00"/>
    <n v="148.61000000000001"/>
    <x v="0"/>
    <x v="13"/>
  </r>
  <r>
    <s v="FLUJO"/>
    <n v="10723532111"/>
    <s v="PAMELA KATHERINE URSULA LAZARTE REY"/>
    <s v="202507"/>
    <d v="2025-09-25T00:00:00"/>
    <n v="148.61000000000001"/>
    <x v="0"/>
    <x v="13"/>
  </r>
  <r>
    <s v="FLUJO"/>
    <n v="10736127364"/>
    <s v="BRAVO AMPUERO WILSON JAVIER"/>
    <s v="202507, 202506, 202505"/>
    <d v="2025-09-25T00:00:00"/>
    <n v="942.77"/>
    <x v="0"/>
    <x v="13"/>
  </r>
  <r>
    <s v="FLUJO"/>
    <n v="20480547901"/>
    <s v="COLONIA HERRERA &amp; ASOCIADOS S.A.C."/>
    <s v="202507"/>
    <d v="2025-09-25T00:00:00"/>
    <n v="148.61000000000001"/>
    <x v="0"/>
    <x v="13"/>
  </r>
  <r>
    <s v="FLUJO"/>
    <n v="20487476634"/>
    <s v="CONSORCIO EDUCATIVO MARIELS  S.R.L."/>
    <s v="202507, 202506"/>
    <d v="2025-09-25T00:00:00"/>
    <n v="261.84000000000003"/>
    <x v="0"/>
    <x v="13"/>
  </r>
  <r>
    <s v="FLUJO"/>
    <n v="20548615241"/>
    <s v="TRANSPORTE LINZOR SAC"/>
    <s v="202507, 202506"/>
    <d v="2025-09-25T00:00:00"/>
    <n v="270.57"/>
    <x v="0"/>
    <x v="13"/>
  </r>
  <r>
    <s v="FLUJO"/>
    <n v="20549591176"/>
    <s v="SOLUCIONES MEDICAS MACI EIRL"/>
    <s v="202507, 202506"/>
    <d v="2025-09-25T00:00:00"/>
    <n v="715.44"/>
    <x v="0"/>
    <x v="13"/>
  </r>
  <r>
    <s v="FLUJO"/>
    <n v="20550545170"/>
    <s v="TECNOMIN PERU S.A.C."/>
    <s v="202507"/>
    <d v="2025-09-25T00:00:00"/>
    <n v="263.03000000000003"/>
    <x v="0"/>
    <x v="13"/>
  </r>
  <r>
    <s v="FLUJO"/>
    <n v="20550636728"/>
    <s v="REFRACTARIOS SUPPLY SAC"/>
    <s v="202507"/>
    <d v="2025-09-25T00:00:00"/>
    <n v="739.42"/>
    <x v="0"/>
    <x v="13"/>
  </r>
  <r>
    <s v="FLUJO"/>
    <n v="20601245974"/>
    <s v="INVERSIONES Y SERVICIOS FORESTALES N Y M EIRL"/>
    <s v="202507, 202506, 202505"/>
    <d v="2025-09-25T00:00:00"/>
    <n v="1086.98"/>
    <x v="0"/>
    <x v="13"/>
  </r>
  <r>
    <s v="FLUJO"/>
    <n v="20602727816"/>
    <s v="RH SERVICIOS GENERALES EIRL"/>
    <s v="202507, 202506, 202505"/>
    <d v="2025-09-25T00:00:00"/>
    <n v="247.51999999999998"/>
    <x v="0"/>
    <x v="13"/>
  </r>
  <r>
    <s v="FLUJO"/>
    <n v="20605124691"/>
    <s v="F &amp; Y SAC"/>
    <s v="202507, 202506, 202505"/>
    <d v="2025-09-25T00:00:00"/>
    <n v="651.16000000000008"/>
    <x v="0"/>
    <x v="13"/>
  </r>
  <r>
    <s v="FLUJO"/>
    <n v="20608900757"/>
    <s v="PACHACAMAC SPV I LIMA E.I.R.L."/>
    <s v="202507"/>
    <d v="2025-09-25T00:00:00"/>
    <n v="126.82000000000001"/>
    <x v="0"/>
    <x v="13"/>
  </r>
  <r>
    <s v="FLUJO"/>
    <n v="20610217584"/>
    <s v="ASESORIA Y SERVICIOS EMPRESARIALES CONTRILAB E.I.R.L."/>
    <s v="202507, 202506"/>
    <d v="2025-09-25T00:00:00"/>
    <n v="185.37"/>
    <x v="0"/>
    <x v="13"/>
  </r>
  <r>
    <s v="FLUJO"/>
    <n v="20613029622"/>
    <s v="GRIFO MARANATHA SAC"/>
    <s v="202507, 202506, 202505, 202504"/>
    <d v="2025-09-25T00:00:00"/>
    <n v="528.44000000000005"/>
    <x v="0"/>
    <x v="13"/>
  </r>
  <r>
    <s v="FLUJO"/>
    <n v="20613535111"/>
    <s v="CONSORCIO SAN MARTIN DE PORRES"/>
    <s v="202507"/>
    <d v="2025-09-25T00:00:00"/>
    <n v="935.04"/>
    <x v="0"/>
    <x v="13"/>
  </r>
  <r>
    <s v="FLUJO"/>
    <n v="20603296487"/>
    <s v="FENIX TECHNOLOGY S.A.C."/>
    <s v="202506"/>
    <d v="2025-09-25T00:00:00"/>
    <n v="256.14"/>
    <x v="0"/>
    <x v="13"/>
  </r>
  <r>
    <s v="FLUJO"/>
    <n v="20606224614"/>
    <s v="SECURITY CRISS SOCIEDAD COMERCIAL DE RESPONSABILIDAD LIMITAD"/>
    <s v="202506, 202507"/>
    <d v="2025-09-25T00:00:00"/>
    <n v="231.32000000000002"/>
    <x v="0"/>
    <x v="13"/>
  </r>
  <r>
    <s v="FLUJO"/>
    <n v="20610741763"/>
    <s v="STEEL DIAMOND SAC"/>
    <s v="202506, 202505"/>
    <d v="2025-09-25T00:00:00"/>
    <n v="264.27999999999997"/>
    <x v="0"/>
    <x v="13"/>
  </r>
  <r>
    <s v="FLUJO"/>
    <n v="20510797109"/>
    <s v="CORPORACION JESHUA SAC"/>
    <s v="202504"/>
    <d v="2025-09-25T00:00:00"/>
    <n v="94.78"/>
    <x v="0"/>
    <x v="13"/>
  </r>
  <r>
    <s v="FLUJO"/>
    <n v="20609358913"/>
    <s v="CORPORACION WHU S.A.C."/>
    <s v="202503"/>
    <d v="2025-09-25T00:00:00"/>
    <n v="270.07"/>
    <x v="0"/>
    <x v="13"/>
  </r>
  <r>
    <s v="PRESUNTA"/>
    <n v="20539365551"/>
    <s v="VIRTUAL LABS SAC"/>
    <s v="202507"/>
    <d v="2025-09-25T00:00:00"/>
    <n v="333.79"/>
    <x v="0"/>
    <x v="13"/>
  </r>
  <r>
    <s v="PRESUNTA"/>
    <n v="20604729433"/>
    <s v="TRADING FOODS COMPANY PERU S.A.C."/>
    <s v="202507"/>
    <d v="2025-09-25T00:00:00"/>
    <n v="197.26999999999998"/>
    <x v="0"/>
    <x v="13"/>
  </r>
  <r>
    <s v="PRESUNTA"/>
    <n v="20608321714"/>
    <s v="VCM MEDICAL STAR LABS SAC"/>
    <s v="202507"/>
    <d v="2025-09-25T00:00:00"/>
    <n v="143.31"/>
    <x v="0"/>
    <x v="13"/>
  </r>
  <r>
    <s v="PRESUNTA"/>
    <n v="20571521254"/>
    <s v="TRANSPORTES Y SERVICIOS JOSMAR E.I.R.L."/>
    <s v="202506"/>
    <d v="2025-09-25T00:00:00"/>
    <n v="1393.35"/>
    <x v="0"/>
    <x v="13"/>
  </r>
  <r>
    <s v="REAL TOTAL"/>
    <n v="20291847049"/>
    <s v="HNOS LAY MELLY SRLTDA"/>
    <s v="200311"/>
    <d v="2025-09-25T00:00:00"/>
    <n v="70.06"/>
    <x v="0"/>
    <x v="13"/>
  </r>
  <r>
    <s v="FLUJO"/>
    <n v="10028218228"/>
    <s v="CASTILLO ROSILLO NOLE"/>
    <s v="202507, 202506, 202505, 202504, 202503, 202502"/>
    <d v="2025-09-26T00:00:00"/>
    <n v="678.47"/>
    <x v="0"/>
    <x v="14"/>
  </r>
  <r>
    <s v="FLUJO"/>
    <n v="10402950167"/>
    <s v="ANDY FRANKS CABRERA IRIGOIN"/>
    <s v="202507, 202506"/>
    <d v="2025-09-26T00:00:00"/>
    <n v="261.97000000000003"/>
    <x v="0"/>
    <x v="14"/>
  </r>
  <r>
    <s v="FLUJO"/>
    <n v="10405612165"/>
    <s v="BOBADILLA SANCHEZ MONICA DEL PILAR"/>
    <s v="202507, 202506, 202505, 202504"/>
    <d v="2025-09-26T00:00:00"/>
    <n v="398.04"/>
    <x v="0"/>
    <x v="14"/>
  </r>
  <r>
    <s v="FLUJO"/>
    <n v="10426357238"/>
    <s v="DENIS ARMANDO VARGAS ANAYA"/>
    <s v="202507"/>
    <d v="2025-09-26T00:00:00"/>
    <n v="130.41"/>
    <x v="0"/>
    <x v="14"/>
  </r>
  <r>
    <s v="FLUJO"/>
    <n v="20512827013"/>
    <s v="CONVERT GROUP SAC"/>
    <s v="202507"/>
    <d v="2025-09-26T00:00:00"/>
    <n v="148.76"/>
    <x v="0"/>
    <x v="14"/>
  </r>
  <r>
    <s v="FLUJO"/>
    <n v="20529522399"/>
    <s v="INVERSIONES CABALLERO HERMANOS SAC"/>
    <s v="202507"/>
    <d v="2025-09-26T00:00:00"/>
    <n v="279.16999999999996"/>
    <x v="0"/>
    <x v="14"/>
  </r>
  <r>
    <s v="FLUJO"/>
    <n v="20530276105"/>
    <s v="EMPRESA DE TRANSPORTES GREYBE S.A.C"/>
    <s v="202507"/>
    <d v="2025-09-26T00:00:00"/>
    <n v="327.88"/>
    <x v="0"/>
    <x v="14"/>
  </r>
  <r>
    <s v="FLUJO"/>
    <n v="20556709786"/>
    <s v="GRUPO FERCOM INDUSTRIAL SAC"/>
    <s v="202507"/>
    <d v="2025-09-26T00:00:00"/>
    <n v="157.97"/>
    <x v="0"/>
    <x v="14"/>
  </r>
  <r>
    <s v="FLUJO"/>
    <n v="20559135284"/>
    <s v="SOLUCIONES INGENIERIA CONSULTORIA SEGURIDAD Y AMBIENTE SAC"/>
    <s v="202507"/>
    <d v="2025-09-26T00:00:00"/>
    <n v="148.76"/>
    <x v="0"/>
    <x v="14"/>
  </r>
  <r>
    <s v="FLUJO"/>
    <n v="20600954131"/>
    <s v="ELEVACION Y AUTOMATIZACION S.A.C."/>
    <s v="202507"/>
    <d v="2025-09-26T00:00:00"/>
    <n v="148.76"/>
    <x v="0"/>
    <x v="14"/>
  </r>
  <r>
    <s v="FLUJO"/>
    <n v="10401291364"/>
    <s v="MAITA VIVANCO WILBER DANIEL"/>
    <s v="202506"/>
    <d v="2025-09-26T00:00:00"/>
    <n v="199.22"/>
    <x v="0"/>
    <x v="14"/>
  </r>
  <r>
    <s v="FLUJO"/>
    <n v="20515921746"/>
    <s v="BRACK IMPORT EIRL"/>
    <s v="202506, 202505, 202507"/>
    <d v="2025-09-26T00:00:00"/>
    <n v="739.49"/>
    <x v="0"/>
    <x v="14"/>
  </r>
  <r>
    <s v="FLUJO"/>
    <n v="20534397993"/>
    <s v="DISTRIBUIDORA KERAMIK F &amp; G E.I.R.L."/>
    <s v="202506"/>
    <d v="2025-09-26T00:00:00"/>
    <n v="271.27999999999997"/>
    <x v="0"/>
    <x v="14"/>
  </r>
  <r>
    <s v="FLUJO"/>
    <n v="20610026151"/>
    <s v="INVERSIONES Y SERVICIOS GRLES MILANO EIRL"/>
    <s v="202506, 202507"/>
    <d v="2025-09-26T00:00:00"/>
    <n v="131.05000000000001"/>
    <x v="0"/>
    <x v="14"/>
  </r>
  <r>
    <s v="FLUJO"/>
    <n v="20612731773"/>
    <s v="HFK COMBUSTIBLES S.A.C."/>
    <s v="202506, 202505"/>
    <d v="2025-09-26T00:00:00"/>
    <n v="646.71"/>
    <x v="0"/>
    <x v="14"/>
  </r>
  <r>
    <s v="FLUJO"/>
    <n v="20602241069"/>
    <s v="GAES REPRESENTACIONES E.I.R.L."/>
    <s v="202505, 202506, 202507"/>
    <d v="2025-09-26T00:00:00"/>
    <n v="2808.4700000000003"/>
    <x v="0"/>
    <x v="14"/>
  </r>
  <r>
    <s v="FLUJO"/>
    <n v="20605955763"/>
    <s v="CENTRO REGIONAL DE NOTICIAS S.R.L."/>
    <s v="202502, 202501"/>
    <d v="2025-09-26T00:00:00"/>
    <n v="279.2"/>
    <x v="0"/>
    <x v="14"/>
  </r>
  <r>
    <s v="PRESUNTA"/>
    <n v="10011615738"/>
    <s v="JUAN CARLOS MUÃ‘ANTE CARDENAS"/>
    <s v="202507"/>
    <d v="2025-09-26T00:00:00"/>
    <n v="138.49"/>
    <x v="0"/>
    <x v="14"/>
  </r>
  <r>
    <s v="PRESUNTA"/>
    <n v="20600598857"/>
    <s v="SHILCAYO TRANSPORTES SRL"/>
    <s v="202507"/>
    <d v="2025-09-26T00:00:00"/>
    <n v="279.16999999999996"/>
    <x v="0"/>
    <x v="14"/>
  </r>
  <r>
    <s v="PRESUNTA"/>
    <n v="20611469064"/>
    <s v="CHIFA CANTON JAEN E.I.R.L."/>
    <s v="202507, 202506"/>
    <d v="2025-09-26T00:00:00"/>
    <n v="261.97000000000003"/>
    <x v="0"/>
    <x v="14"/>
  </r>
  <r>
    <s v="REAL TOTAL"/>
    <n v="10407160881"/>
    <s v="VALDERRAMA SALAZAR HERACLIDES"/>
    <s v="201905, 201904, 201903, 201902, 201901, 201812, 201806, 201805, 201804, 201803, 201802, 201801, 201712, 201711, 201710"/>
    <d v="2025-09-26T00:00:00"/>
    <n v="2875.6"/>
    <x v="0"/>
    <x v="14"/>
  </r>
  <r>
    <s v="REAL TOTAL"/>
    <n v="20285204501"/>
    <s v="C.E.I.P. MI PEQUENO MUNDO"/>
    <s v="200608"/>
    <d v="2025-09-26T00:00:00"/>
    <n v="14.29"/>
    <x v="0"/>
    <x v="14"/>
  </r>
  <r>
    <s v="FLUJO"/>
    <n v="17149598405"/>
    <s v="GONZALES DEL VALLE LEIVA JULIO CESAR"/>
    <s v="202507"/>
    <d v="2025-09-27T00:00:00"/>
    <n v="148.91"/>
    <x v="0"/>
    <x v="14"/>
  </r>
  <r>
    <s v="FLUJO"/>
    <n v="20531455313"/>
    <s v="CONSTRUCTORA GUERRERO EIRL"/>
    <s v="202507, 202506"/>
    <d v="2025-09-27T00:00:00"/>
    <n v="782.57999999999993"/>
    <x v="0"/>
    <x v="14"/>
  </r>
  <r>
    <s v="FLUJO"/>
    <n v="20609409666"/>
    <s v="ROJMIN MAQUINARIAS PERÃš S.A.C."/>
    <s v="202507"/>
    <d v="2025-09-27T00:00:00"/>
    <n v="173.28"/>
    <x v="0"/>
    <x v="14"/>
  </r>
  <r>
    <s v="FLUJO"/>
    <n v="20611800356"/>
    <s v="ENZOS TEKNOLOGI   CONSTRUCCION E.I.R.L."/>
    <s v="202507, 202506, 202505"/>
    <d v="2025-09-27T00:00:00"/>
    <n v="395.22"/>
    <x v="0"/>
    <x v="14"/>
  </r>
  <r>
    <s v="FLUJO"/>
    <n v="20538779238"/>
    <s v="EMPRESA DE SERVICIOS GENERALES PAOLO LO  EIRL"/>
    <s v="202505, 202504, 202503"/>
    <d v="2025-09-27T00:00:00"/>
    <n v="363"/>
    <x v="0"/>
    <x v="14"/>
  </r>
  <r>
    <s v="FLUJO"/>
    <n v="20609092107"/>
    <s v="L Y L PATINES E.I.R.L."/>
    <s v="202505, 202506"/>
    <d v="2025-09-27T00:00:00"/>
    <n v="264.67999999999995"/>
    <x v="0"/>
    <x v="14"/>
  </r>
  <r>
    <s v="FLUJO"/>
    <n v="20612279455"/>
    <s v="CONSORCIO PRIMAVERA"/>
    <s v="202503"/>
    <d v="2025-09-27T00:00:00"/>
    <n v="2208.9299999999998"/>
    <x v="0"/>
    <x v="14"/>
  </r>
  <r>
    <s v="PRESUNTA"/>
    <n v="20472604423"/>
    <s v="TRANSP DE CARGA Y SERV SANTA ROSA SRL"/>
    <s v="202507"/>
    <d v="2025-09-27T00:00:00"/>
    <n v="2474.58"/>
    <x v="0"/>
    <x v="14"/>
  </r>
  <r>
    <s v="REAL TOTAL"/>
    <n v="20101414940"/>
    <s v="INDUSTRIAS EL CISNE SAC"/>
    <s v="202501"/>
    <d v="2025-09-27T00:00:00"/>
    <n v="79392.31"/>
    <x v="0"/>
    <x v="14"/>
  </r>
  <r>
    <s v="FLUJO"/>
    <n v="10086786678"/>
    <s v="ORIA CUSTODIO ROGER ZENON"/>
    <s v="202507, 202506"/>
    <d v="2025-09-29T00:00:00"/>
    <n v="262.24"/>
    <x v="0"/>
    <x v="15"/>
  </r>
  <r>
    <s v="FLUJO"/>
    <n v="10166567535"/>
    <s v="JIMENEZ CARRASCO JUAN ANTONIO"/>
    <s v="202507, 202506"/>
    <d v="2025-09-29T00:00:00"/>
    <n v="131.10000000000002"/>
    <x v="0"/>
    <x v="15"/>
  </r>
  <r>
    <s v="FLUJO"/>
    <n v="10462453251"/>
    <s v="Loayza Yupanqui France"/>
    <s v="202507, 202506, 202505"/>
    <d v="2025-09-29T00:00:00"/>
    <n v="395.22"/>
    <x v="0"/>
    <x v="15"/>
  </r>
  <r>
    <s v="FLUJO"/>
    <n v="10735756643"/>
    <s v="CRUZ POLO JAVIER WILDER"/>
    <s v="202507, 202506"/>
    <d v="2025-09-29T00:00:00"/>
    <n v="262.24"/>
    <x v="0"/>
    <x v="15"/>
  </r>
  <r>
    <s v="FLUJO"/>
    <n v="20452775001"/>
    <s v="INVERSIONES LUCIERNAGA E.I.R.L."/>
    <s v="202507"/>
    <d v="2025-09-29T00:00:00"/>
    <n v="197.66"/>
    <x v="0"/>
    <x v="15"/>
  </r>
  <r>
    <s v="FLUJO"/>
    <n v="20522086968"/>
    <s v="EGUREN SERVICIOS SOCIEDAD ANONIMA CERRADA"/>
    <s v="202507"/>
    <d v="2025-09-29T00:00:00"/>
    <n v="163.80000000000001"/>
    <x v="0"/>
    <x v="15"/>
  </r>
  <r>
    <s v="FLUJO"/>
    <n v="20551261272"/>
    <s v="M Y A TIRE SAC"/>
    <s v="202507"/>
    <d v="2025-09-29T00:00:00"/>
    <n v="258.67"/>
    <x v="0"/>
    <x v="15"/>
  </r>
  <r>
    <s v="FLUJO"/>
    <n v="20558317184"/>
    <s v="C3 Extintores SAC"/>
    <s v="202507"/>
    <d v="2025-09-29T00:00:00"/>
    <n v="78.319999999999993"/>
    <x v="0"/>
    <x v="15"/>
  </r>
  <r>
    <s v="FLUJO"/>
    <n v="20568776659"/>
    <s v="INVERSIONES MULTIPLES DORKA  JM  SAC"/>
    <s v="202507, 202506"/>
    <d v="2025-09-29T00:00:00"/>
    <n v="786.68000000000006"/>
    <x v="0"/>
    <x v="15"/>
  </r>
  <r>
    <s v="FLUJO"/>
    <n v="20604959501"/>
    <s v="AC LIMP SERVICIOS GENERALES E.I.R.L."/>
    <s v="202507, 202506, 202505, 202504"/>
    <d v="2025-09-29T00:00:00"/>
    <n v="281"/>
    <x v="0"/>
    <x v="15"/>
  </r>
  <r>
    <s v="FLUJO"/>
    <n v="20605531777"/>
    <s v="FURNINOX S.A.C"/>
    <s v="202507, 202506"/>
    <d v="2025-09-29T00:00:00"/>
    <n v="696.19"/>
    <x v="0"/>
    <x v="15"/>
  </r>
  <r>
    <s v="FLUJO"/>
    <n v="20607319309"/>
    <s v="OROBUS SOCIEDAD ANONIMA CERRADA"/>
    <s v="202507"/>
    <d v="2025-09-29T00:00:00"/>
    <n v="130.54"/>
    <x v="0"/>
    <x v="15"/>
  </r>
  <r>
    <s v="FLUJO"/>
    <n v="20610564845"/>
    <s v="B E MULTISERVICIOS INTEGRALES S.A.C."/>
    <s v="202507"/>
    <d v="2025-09-29T00:00:00"/>
    <n v="148.91"/>
    <x v="0"/>
    <x v="15"/>
  </r>
  <r>
    <s v="FLUJO"/>
    <n v="20611348461"/>
    <s v="ASTRA ELECTRIC PERU E.I.R.L"/>
    <s v="202507"/>
    <d v="2025-09-29T00:00:00"/>
    <n v="224.62"/>
    <x v="0"/>
    <x v="15"/>
  </r>
  <r>
    <s v="FLUJO"/>
    <n v="10404531609"/>
    <s v="RODRIGUEZ BOCANEGRA CHRISTIAN JESUS"/>
    <s v="202506, 202505"/>
    <d v="2025-09-29T00:00:00"/>
    <n v="566.59"/>
    <x v="0"/>
    <x v="15"/>
  </r>
  <r>
    <s v="FLUJO"/>
    <n v="20608880683"/>
    <s v="POLICLINICO GREEN SOCIEDAD ANONIMA CERRADA"/>
    <s v="202505, 202504, 202503, 202502"/>
    <d v="2025-09-29T00:00:00"/>
    <n v="715.11"/>
    <x v="0"/>
    <x v="15"/>
  </r>
  <r>
    <s v="FLUJO"/>
    <n v="20602157327"/>
    <s v="GRUPO MATIC S.A.C."/>
    <s v="202503, 202502"/>
    <d v="2025-09-29T00:00:00"/>
    <n v="1488.1799999999998"/>
    <x v="0"/>
    <x v="15"/>
  </r>
  <r>
    <s v="PRESUNTA"/>
    <n v="20561384801"/>
    <s v="DROGUERIA CORPORACION CENTRALFARMA EIRL"/>
    <s v="202507, 202506"/>
    <d v="2025-09-29T00:00:00"/>
    <n v="21.76"/>
    <x v="0"/>
    <x v="15"/>
  </r>
  <r>
    <s v="REAL TOTAL"/>
    <n v="20425853431"/>
    <s v="AYNE PERU TRINITARIAS SOLIDARIDAD Y DESARROLLO"/>
    <s v="200812"/>
    <d v="2025-09-29T00:00:00"/>
    <n v="41.92"/>
    <x v="0"/>
    <x v="15"/>
  </r>
  <r>
    <s v="REAL TOTAL"/>
    <n v="20385104015"/>
    <s v="JOSE URQUIZO OLAECHEA ABOGADOS SAC"/>
    <s v="200601"/>
    <d v="2025-09-29T00:00:00"/>
    <n v="383.64000000000004"/>
    <x v="0"/>
    <x v="15"/>
  </r>
  <r>
    <s v="REAL TOTAL"/>
    <n v="20101097286"/>
    <s v="PANEZ ISHIDA FAESA"/>
    <s v="200001"/>
    <d v="2025-09-29T00:00:00"/>
    <n v="29715.95"/>
    <x v="0"/>
    <x v="15"/>
  </r>
  <r>
    <s v="FLUJO"/>
    <n v="10400503481"/>
    <s v="ABARCA CARRION MARIBEL"/>
    <s v="202507, 202506"/>
    <d v="2025-09-30T00:00:00"/>
    <n v="262.36"/>
    <x v="0"/>
    <x v="16"/>
  </r>
  <r>
    <s v="FLUJO"/>
    <n v="10432767782"/>
    <s v="ZEVALLOS ADRIANO CLAUDIA GUADALUPE"/>
    <s v="202507, 202506"/>
    <d v="2025-09-30T00:00:00"/>
    <n v="288.59000000000003"/>
    <x v="0"/>
    <x v="16"/>
  </r>
  <r>
    <s v="FLUJO"/>
    <n v="10468388303"/>
    <s v="OBREGON HUAMAN LIZ KATERIN"/>
    <s v="202507"/>
    <d v="2025-09-30T00:00:00"/>
    <n v="394.24"/>
    <x v="0"/>
    <x v="16"/>
  </r>
  <r>
    <s v="FLUJO"/>
    <n v="20454859350"/>
    <s v="TRANSPORTES MIGUEL EIRL"/>
    <s v="202507"/>
    <d v="2025-09-30T00:00:00"/>
    <n v="148.91"/>
    <x v="0"/>
    <x v="16"/>
  </r>
  <r>
    <s v="FLUJO"/>
    <n v="20509066800"/>
    <s v="Boas Inversiones SAC"/>
    <s v="202507"/>
    <d v="2025-09-30T00:00:00"/>
    <n v="212.56"/>
    <x v="0"/>
    <x v="16"/>
  </r>
  <r>
    <s v="FLUJO"/>
    <n v="20513839406"/>
    <s v="RAMIREZ Y ESCURRA DECORACIONES SAC"/>
    <s v="202507"/>
    <d v="2025-09-30T00:00:00"/>
    <n v="279.45"/>
    <x v="0"/>
    <x v="16"/>
  </r>
  <r>
    <s v="FLUJO"/>
    <n v="20602746934"/>
    <s v="M Y A GLOBAL E.I.R.L."/>
    <s v="202507"/>
    <d v="2025-09-30T00:00:00"/>
    <n v="500.72"/>
    <x v="0"/>
    <x v="16"/>
  </r>
  <r>
    <s v="FLUJO"/>
    <n v="20603394080"/>
    <s v="M Y M SERVICIOS DENTALES SAC"/>
    <s v="202507, 202506"/>
    <d v="2025-09-30T00:00:00"/>
    <n v="157.41"/>
    <x v="0"/>
    <x v="16"/>
  </r>
  <r>
    <s v="FLUJO"/>
    <n v="20604411247"/>
    <s v="JEAL SERVICIOS GENERALES E.I.R.L."/>
    <s v="202507"/>
    <d v="2025-09-30T00:00:00"/>
    <n v="148.91"/>
    <x v="0"/>
    <x v="16"/>
  </r>
  <r>
    <s v="FLUJO"/>
    <n v="20605397213"/>
    <s v="AESA GROUP BUSINESS SAC"/>
    <s v="202507"/>
    <d v="2025-09-30T00:00:00"/>
    <n v="148.91"/>
    <x v="0"/>
    <x v="16"/>
  </r>
  <r>
    <s v="FLUJO"/>
    <n v="20605558853"/>
    <s v="FUTURA INVERSION DANA S.A.C."/>
    <s v="202507, 202506, 202505"/>
    <d v="2025-09-30T00:00:00"/>
    <n v="347.71"/>
    <x v="0"/>
    <x v="16"/>
  </r>
  <r>
    <s v="FLUJO"/>
    <n v="20609537486"/>
    <s v="BIENESTAR Y SALUD UNIVERSAL EIRL"/>
    <s v="202507, 202506, 202505"/>
    <d v="2025-09-30T00:00:00"/>
    <n v="419.83000000000004"/>
    <x v="0"/>
    <x v="16"/>
  </r>
  <r>
    <s v="FLUJO"/>
    <n v="10095822245"/>
    <s v="COPARA LLANOS JANET VIOLETA"/>
    <s v="202506"/>
    <d v="2025-09-30T00:00:00"/>
    <n v="527.28"/>
    <x v="0"/>
    <x v="16"/>
  </r>
  <r>
    <s v="FLUJO"/>
    <n v="20553517835"/>
    <s v="SEXAVE PERU EIRL"/>
    <s v="202506, 202505, 202504, 202507"/>
    <d v="2025-09-30T00:00:00"/>
    <n v="3750.2799999999997"/>
    <x v="0"/>
    <x v="16"/>
  </r>
  <r>
    <s v="FLUJO"/>
    <n v="20602820271"/>
    <s v="LUGUAL SAC"/>
    <s v="202506, 202505"/>
    <d v="2025-09-30T00:00:00"/>
    <n v="264.79999999999995"/>
    <x v="0"/>
    <x v="16"/>
  </r>
  <r>
    <s v="FLUJO"/>
    <n v="20524433185"/>
    <s v="TEJICROCH SAC"/>
    <s v="202505, 202507, 202506"/>
    <d v="2025-09-30T00:00:00"/>
    <n v="395.34"/>
    <x v="0"/>
    <x v="16"/>
  </r>
  <r>
    <s v="FLUJO"/>
    <n v="10097684818"/>
    <s v="MENDOZA RAFAEL DAVID"/>
    <s v="202503, 202502"/>
    <d v="2025-09-30T00:00:00"/>
    <n v="271.74"/>
    <x v="0"/>
    <x v="16"/>
  </r>
  <r>
    <s v="PRESUNTA"/>
    <n v="20481214549"/>
    <s v="INGENIERIA EN MANTENIMIENTO Y SANITIZACION SA"/>
    <s v="202507"/>
    <d v="2025-09-30T00:00:00"/>
    <n v="130.54"/>
    <x v="0"/>
    <x v="16"/>
  </r>
  <r>
    <s v="PRESUNTA"/>
    <n v="20555208953"/>
    <s v="HYDRO PUMPS IMPORT SA"/>
    <s v="202412, 202411, 202410, 202409, 202408, 202407, 202406, 202405, 202404, 202403, 202402, 202401, 202312"/>
    <d v="2025-09-30T00:00:00"/>
    <n v="7564.2599999999993"/>
    <x v="0"/>
    <x v="16"/>
  </r>
  <r>
    <s v="REAL TOTAL"/>
    <n v="20510027419"/>
    <s v="RCR CONSORCIO EDUCATIVO SOCIEDAD ANONIMA"/>
    <s v="202505, 202504, 202503"/>
    <d v="2025-09-30T00:00:00"/>
    <n v="8090.4400000000005"/>
    <x v="0"/>
    <x v="16"/>
  </r>
  <r>
    <s v="REAL TOTAL"/>
    <n v="20267366412"/>
    <s v="K Y K TRADING EIRL"/>
    <s v="200206, 200106"/>
    <d v="2025-09-30T00:00:00"/>
    <n v="5233.1299999999992"/>
    <x v="0"/>
    <x v="16"/>
  </r>
  <r>
    <s v="FLUJO"/>
    <n v="10078194966"/>
    <s v="MOEBIUS SINGER MANFRED"/>
    <s v="202507"/>
    <d v="2025-10-01T00:00:00"/>
    <n v="148.91"/>
    <x v="0"/>
    <x v="17"/>
  </r>
  <r>
    <s v="FLUJO"/>
    <n v="20498416986"/>
    <s v="EMPRESA COMERCIAL ELE EIRL"/>
    <s v="202507"/>
    <d v="2025-10-01T00:00:00"/>
    <n v="654.64"/>
    <x v="0"/>
    <x v="17"/>
  </r>
  <r>
    <s v="FLUJO"/>
    <n v="20514805033"/>
    <s v="SOLOIMAGEN EIRL"/>
    <s v="202507"/>
    <d v="2025-10-01T00:00:00"/>
    <n v="197.66"/>
    <x v="0"/>
    <x v="17"/>
  </r>
  <r>
    <s v="FLUJO"/>
    <n v="20524422817"/>
    <s v="DV CONTRATISTA  TECNICOS CONSTRUCTORES SAC"/>
    <s v="202507"/>
    <d v="2025-10-01T00:00:00"/>
    <n v="192.57"/>
    <x v="0"/>
    <x v="17"/>
  </r>
  <r>
    <s v="FLUJO"/>
    <n v="20538270807"/>
    <s v="SGS SERVICIOS GENERALES S.A.C."/>
    <s v="202507"/>
    <d v="2025-10-01T00:00:00"/>
    <n v="130.54"/>
    <x v="0"/>
    <x v="17"/>
  </r>
  <r>
    <s v="FLUJO"/>
    <n v="20602016880"/>
    <s v="YARELY DISTRIBUCIONES DEL SUR EIRL"/>
    <s v="202507, 202506, 202505, 202504"/>
    <d v="2025-10-01T00:00:00"/>
    <n v="603.48"/>
    <x v="0"/>
    <x v="17"/>
  </r>
  <r>
    <s v="FLUJO"/>
    <n v="20603074697"/>
    <s v="VASPER MEDEX SOCIEDAD COMERCIAL DE RESPONSABILIDAD LIMITADA"/>
    <s v="202507"/>
    <d v="2025-10-01T00:00:00"/>
    <n v="148.91"/>
    <x v="0"/>
    <x v="17"/>
  </r>
  <r>
    <s v="FLUJO"/>
    <n v="20603112645"/>
    <s v="BANANOS ORGANICOS SOL DE ORO SAC"/>
    <s v="202507, 202506"/>
    <d v="2025-10-01T00:00:00"/>
    <n v="696.53"/>
    <x v="0"/>
    <x v="17"/>
  </r>
  <r>
    <s v="FLUJO"/>
    <n v="20605320041"/>
    <s v="CAUTIVO INMOBILIARIA y CONSTRUCTORA PIURA SOCIEDAD ANONIMA C"/>
    <s v="202507, 202506, 202505, 202504, 202503"/>
    <d v="2025-10-01T00:00:00"/>
    <n v="1329.51"/>
    <x v="0"/>
    <x v="17"/>
  </r>
  <r>
    <s v="FLUJO"/>
    <n v="20605734261"/>
    <s v="OLAS DEL PACIFICO E.I.R.L."/>
    <s v="202507, 202506, 202505"/>
    <d v="2025-10-01T00:00:00"/>
    <n v="670.65000000000009"/>
    <x v="0"/>
    <x v="17"/>
  </r>
  <r>
    <s v="FLUJO"/>
    <n v="20609905507"/>
    <s v="SERVICIOS LOGISTICOS TJEL S.A.C."/>
    <s v="202507"/>
    <d v="2025-10-01T00:00:00"/>
    <n v="279.44"/>
    <x v="0"/>
    <x v="17"/>
  </r>
  <r>
    <s v="FLUJO"/>
    <n v="20610214186"/>
    <s v="INSTITUCION EDUCATIVA JHON F. KENNEDY S.A.C."/>
    <s v="202505, 202506"/>
    <d v="2025-10-01T00:00:00"/>
    <n v="264.79999999999995"/>
    <x v="0"/>
    <x v="17"/>
  </r>
  <r>
    <s v="FLUJO"/>
    <n v="20613274864"/>
    <s v="RAW BAR SAC"/>
    <s v="202505"/>
    <d v="2025-10-01T00:00:00"/>
    <n v="848.86"/>
    <x v="0"/>
    <x v="17"/>
  </r>
  <r>
    <s v="FLUJO"/>
    <n v="10028996611"/>
    <s v="CORDOVA RIOS PEDRO ALEX"/>
    <s v="202504, 202503"/>
    <d v="2025-10-01T00:00:00"/>
    <n v="468.03"/>
    <x v="0"/>
    <x v="17"/>
  </r>
  <r>
    <s v="FLUJO"/>
    <n v="20613017187"/>
    <s v="SERVICIOS INFORMATICOS CONTABLES ECOCONT S.R.L."/>
    <s v="202504"/>
    <d v="2025-10-01T00:00:00"/>
    <n v="134.13"/>
    <x v="0"/>
    <x v="17"/>
  </r>
  <r>
    <s v="FLUJO"/>
    <n v="20606586982"/>
    <s v="New Life International E.I.R.L."/>
    <s v="202412, 202411, 202410"/>
    <d v="2025-10-01T00:00:00"/>
    <n v="391.94"/>
    <x v="0"/>
    <x v="17"/>
  </r>
  <r>
    <s v="FLUJO"/>
    <n v="20613884743"/>
    <s v="COOPERATIVA AGRARIA DE PRODUCTORES RAIZ Y VIDA JIBITO"/>
    <s v="202507, 202506, 202505"/>
    <d v="2025-10-01T00:00:00"/>
    <n v="480.25"/>
    <x v="0"/>
    <x v="17"/>
  </r>
  <r>
    <s v="PRESUNTA"/>
    <n v="20606858893"/>
    <s v="GASES Y MANUFACTURAS ROMERO DEL NORTE SRL"/>
    <s v="202507, 202506"/>
    <d v="2025-10-01T00:00:00"/>
    <n v="262.36"/>
    <x v="0"/>
    <x v="17"/>
  </r>
  <r>
    <s v="PRESUNTA"/>
    <n v="20609742918"/>
    <s v="OKAY IMPORT S.A.C."/>
    <s v="202507, 202506"/>
    <d v="2025-10-01T00:00:00"/>
    <n v="348.26"/>
    <x v="0"/>
    <x v="17"/>
  </r>
  <r>
    <s v="REAL TOTAL"/>
    <n v="20612393347"/>
    <s v="INVERSIONES JUNDOCA SAC."/>
    <s v="202502"/>
    <d v="2025-10-01T00:00:00"/>
    <n v="194.77"/>
    <x v="0"/>
    <x v="17"/>
  </r>
  <r>
    <s v="REAL TOTAL"/>
    <n v="20506252572"/>
    <s v="DISTRIBUIDORA HORTEGA S.R.L."/>
    <s v="202202, 202201"/>
    <d v="2025-10-01T00:00:00"/>
    <n v="340.34000000000003"/>
    <x v="0"/>
    <x v="17"/>
  </r>
  <r>
    <s v="FLUJO"/>
    <n v="10258474151"/>
    <s v="RODAS CARRION CRISTIAN RULLY"/>
    <s v="202507, 202506, 202505"/>
    <d v="2025-10-02T00:00:00"/>
    <n v="225.57"/>
    <x v="0"/>
    <x v="18"/>
  </r>
  <r>
    <s v="FLUJO"/>
    <n v="20504277659"/>
    <s v="DIGASCOM EIRL"/>
    <s v="202507, 202506"/>
    <d v="2025-10-02T00:00:00"/>
    <n v="285.72000000000003"/>
    <x v="0"/>
    <x v="18"/>
  </r>
  <r>
    <s v="FLUJO"/>
    <n v="20603393857"/>
    <s v="DERMACUORE E.I.R.L."/>
    <s v="202507"/>
    <d v="2025-10-02T00:00:00"/>
    <n v="149.05000000000001"/>
    <x v="0"/>
    <x v="18"/>
  </r>
  <r>
    <s v="FLUJO"/>
    <n v="20606681756"/>
    <s v="CONSTRUCTORA ARA ATLANTIC S.A.C."/>
    <s v="202507, 202506, 202505, 202504, 202503"/>
    <d v="2025-10-02T00:00:00"/>
    <n v="664.88"/>
    <x v="0"/>
    <x v="18"/>
  </r>
  <r>
    <s v="FLUJO"/>
    <n v="20610639420"/>
    <s v="Global Iplus E.I.R.L-"/>
    <s v="202507"/>
    <d v="2025-10-02T00:00:00"/>
    <n v="149.05000000000001"/>
    <x v="0"/>
    <x v="18"/>
  </r>
  <r>
    <s v="FLUJO"/>
    <n v="20567258905"/>
    <s v="COMSERMALU EIRL"/>
    <s v="202506"/>
    <d v="2025-10-02T00:00:00"/>
    <n v="266.14"/>
    <x v="0"/>
    <x v="18"/>
  </r>
  <r>
    <s v="FLUJO"/>
    <n v="20604194271"/>
    <s v="WISA TEC EIRL"/>
    <s v="202503, 202502"/>
    <d v="2025-10-02T00:00:00"/>
    <n v="271.87"/>
    <x v="0"/>
    <x v="18"/>
  </r>
  <r>
    <s v="FLUJO"/>
    <n v="20610776923"/>
    <s v="KMC COMPAÃ‘IA DE ALIMENTOS S.A.C."/>
    <s v="202502"/>
    <d v="2025-10-02T00:00:00"/>
    <n v="171.38"/>
    <x v="0"/>
    <x v="18"/>
  </r>
  <r>
    <s v="FLUJO"/>
    <n v="20535667668"/>
    <s v="NET LOOKING E.I.R.L."/>
    <s v="202507"/>
    <d v="2025-10-02T00:00:00"/>
    <n v="373.49"/>
    <x v="0"/>
    <x v="18"/>
  </r>
  <r>
    <s v="FLUJO"/>
    <n v="10094895150"/>
    <s v="NANCY LAMAN RIVERA"/>
    <s v="202507"/>
    <d v="2025-10-03T00:00:00"/>
    <n v="197.86"/>
    <x v="0"/>
    <x v="19"/>
  </r>
  <r>
    <s v="FLUJO"/>
    <n v="20600646827"/>
    <s v="CREZCO JUGANDO E.I.R.L."/>
    <s v="202507, 202506, 202505"/>
    <d v="2025-10-03T00:00:00"/>
    <n v="395.59000000000003"/>
    <x v="0"/>
    <x v="19"/>
  </r>
  <r>
    <s v="FLUJO"/>
    <n v="20603881517"/>
    <s v="INVERSIONES MACCLA SA"/>
    <s v="202507, 202506, 202505, 202504"/>
    <d v="2025-10-03T00:00:00"/>
    <n v="529.72"/>
    <x v="0"/>
    <x v="19"/>
  </r>
  <r>
    <s v="FLUJO"/>
    <n v="20605704213"/>
    <s v="ASESORES DE SEGURIDAD Y SALUD OCUPACIONAL ASOCIADOS SAC"/>
    <s v="202507, 202506"/>
    <d v="2025-10-03T00:00:00"/>
    <n v="262.48"/>
    <x v="0"/>
    <x v="19"/>
  </r>
  <r>
    <s v="FLUJO"/>
    <n v="20609480867"/>
    <s v="C y R EQUIPOS SOLUCIONES TECNOLOGICAS S.A.C."/>
    <s v="202507"/>
    <d v="2025-10-03T00:00:00"/>
    <n v="328.52000000000004"/>
    <x v="0"/>
    <x v="19"/>
  </r>
  <r>
    <s v="FLUJO"/>
    <n v="20612927635"/>
    <s v="AGROSERVICIOS CONVET E.I.R.L"/>
    <s v="202507, 202506, 202505"/>
    <d v="2025-10-03T00:00:00"/>
    <n v="395.59000000000003"/>
    <x v="0"/>
    <x v="19"/>
  </r>
  <r>
    <s v="FLUJO"/>
    <n v="10727852625"/>
    <s v="LÃ“PEZ FLOR WALTER ALEJANDRO"/>
    <s v="202506"/>
    <d v="2025-10-03T00:00:00"/>
    <n v="67.08"/>
    <x v="0"/>
    <x v="19"/>
  </r>
  <r>
    <s v="FLUJO"/>
    <n v="20602451250"/>
    <s v="D SABORES AQP EIRL"/>
    <s v="202506, 202503, 202507, 202505, 202504, 202502"/>
    <d v="2025-10-03T00:00:00"/>
    <n v="1064.8499999999999"/>
    <x v="0"/>
    <x v="19"/>
  </r>
  <r>
    <s v="FLUJO"/>
    <n v="20603228236"/>
    <s v="INVERSIONES Y NEGOCIOS CALLUPE S.A.C"/>
    <s v="202506, 202505, 202504"/>
    <d v="2025-10-03T00:00:00"/>
    <n v="1387.84"/>
    <x v="0"/>
    <x v="19"/>
  </r>
  <r>
    <s v="PRESUNTA"/>
    <n v="20608448005"/>
    <s v="CEMENTERA PERUANA S.A.C."/>
    <s v="202507, 202506, 202505, 202504, 202503, 202502, 202501, 202412, 202411, 202410, 202409, 202408"/>
    <d v="2025-10-03T00:00:00"/>
    <n v="30213.58"/>
    <x v="0"/>
    <x v="19"/>
  </r>
  <r>
    <s v="PRESUNTA"/>
    <n v="20565641795"/>
    <s v="MATIGLAS EIRL"/>
    <s v="202212, 202211, 202210, 202209, 202208"/>
    <d v="2025-10-03T00:00:00"/>
    <n v="1514.13"/>
    <x v="0"/>
    <x v="19"/>
  </r>
  <r>
    <s v="REAL TOTAL"/>
    <n v="20608909258"/>
    <s v="DIGITAL PROCESS S.A.C."/>
    <s v="202411"/>
    <d v="2025-10-03T00:00:00"/>
    <n v="130.73000000000002"/>
    <x v="0"/>
    <x v="19"/>
  </r>
  <r>
    <s v="REAL TOTAL"/>
    <n v="20460446733"/>
    <s v="INFO EXPERT SAC"/>
    <s v="200812, 200612"/>
    <d v="2025-10-03T00:00:00"/>
    <n v="622.04999999999995"/>
    <x v="0"/>
    <x v="19"/>
  </r>
  <r>
    <s v="REAL TOTAL"/>
    <n v="20255139755"/>
    <s v="COMERCIAL CASA DEL CARPINTERO SAC"/>
    <s v="200603, 200602"/>
    <d v="2025-10-03T00:00:00"/>
    <n v="242.07999999999998"/>
    <x v="0"/>
    <x v="19"/>
  </r>
  <r>
    <s v="FLUJO"/>
    <n v="20222114129"/>
    <s v="CEGNE SAN SEBASTIAN"/>
    <s v="202508, 202507"/>
    <d v="2025-10-03T00:00:00"/>
    <n v="649.1099999999999"/>
    <x v="0"/>
    <x v="19"/>
  </r>
  <r>
    <s v="FLUJO"/>
    <n v="20608413261"/>
    <s v="SUPERDIAG GROUP S.A.C."/>
    <s v="202508, 202507, 202506"/>
    <d v="2025-10-03T00:00:00"/>
    <n v="431.19"/>
    <x v="0"/>
    <x v="19"/>
  </r>
  <r>
    <s v="REAL TOTAL"/>
    <n v="20460446733"/>
    <s v="INFO EXPERT SAC"/>
    <s v="200812, 200612"/>
    <d v="2025-10-03T00:00:00"/>
    <n v="622.04999999999995"/>
    <x v="0"/>
    <x v="19"/>
  </r>
  <r>
    <s v="REAL TOTAL"/>
    <n v="20255139755"/>
    <s v="COMERCIAL CASA DEL CARPINTERO SAC"/>
    <s v="200603, 200602"/>
    <d v="2025-10-03T00:00:00"/>
    <n v="242.07999999999998"/>
    <x v="0"/>
    <x v="19"/>
  </r>
  <r>
    <s v="FLUJO"/>
    <n v="20601323843"/>
    <s v="MAC CONSTRUCTORA SAC"/>
    <s v="202507, 202506"/>
    <d v="2025-10-04T00:00:00"/>
    <n v="34.07"/>
    <x v="0"/>
    <x v="19"/>
  </r>
  <r>
    <s v="FLUJO"/>
    <n v="20607986330"/>
    <s v="INVERSIONES LAVZUR S.A.C."/>
    <s v="202507"/>
    <d v="2025-10-04T00:00:00"/>
    <n v="149.19"/>
    <x v="0"/>
    <x v="19"/>
  </r>
  <r>
    <s v="FLUJO"/>
    <n v="20603124007"/>
    <s v="TRANSPORTES ESTRELLA DE DAVID CARS S.A.C."/>
    <s v="202506"/>
    <d v="2025-10-04T00:00:00"/>
    <n v="124.85000000000001"/>
    <x v="0"/>
    <x v="19"/>
  </r>
  <r>
    <s v="FLUJO"/>
    <n v="20602804837"/>
    <s v="NUTRICION ES ESCENCIAL S.A.C."/>
    <s v="202504, 202503"/>
    <d v="2025-10-04T00:00:00"/>
    <n v="269.82000000000005"/>
    <x v="0"/>
    <x v="19"/>
  </r>
  <r>
    <s v="FLUJO"/>
    <n v="20606276673"/>
    <s v="SAN JOSE INGENIERIA Y PROYECTOS S.A.C."/>
    <s v="202503, 202502"/>
    <d v="2025-10-04T00:00:00"/>
    <n v="397.99"/>
    <x v="0"/>
    <x v="19"/>
  </r>
  <r>
    <s v="REAL TOTAL"/>
    <n v="20527749345"/>
    <s v="ETNIKAS TRAVEL Y CRAFTS SCRLtda."/>
    <s v="200901"/>
    <d v="2025-10-04T00:00:00"/>
    <n v="185.18"/>
    <x v="0"/>
    <x v="19"/>
  </r>
  <r>
    <s v="FLUJO"/>
    <n v="20613206664"/>
    <s v="CORPORACION SEPTIEMBRE S.A.C."/>
    <s v="202508"/>
    <d v="2025-10-04T00:00:00"/>
    <n v="267.31"/>
    <x v="0"/>
    <x v="19"/>
  </r>
  <r>
    <s v="FLUJO"/>
    <n v="20601459630"/>
    <s v="TUNKY SOLUCIONES AMBIENTALES S.A.C."/>
    <s v="202508, 202507, 202506"/>
    <d v="2025-10-04T00:00:00"/>
    <n v="1387.5900000000001"/>
    <x v="0"/>
    <x v="19"/>
  </r>
  <r>
    <s v="FLUJO"/>
    <n v="20611520019"/>
    <s v="ELOHIM SERVICE E.I.R.L."/>
    <s v="202508"/>
    <d v="2025-10-04T00:00:00"/>
    <n v="469.1"/>
    <x v="0"/>
    <x v="19"/>
  </r>
  <r>
    <s v="REAL TOTAL"/>
    <n v="20527749345"/>
    <s v="ETNIKAS TRAVEL Y CRAFTS SCRLtda."/>
    <s v="200901"/>
    <d v="2025-10-04T00:00:00"/>
    <n v="185.18"/>
    <x v="0"/>
    <x v="19"/>
  </r>
  <r>
    <s v="FLUJO"/>
    <n v="20610003096"/>
    <s v="GRUPO DE MERCADEO 360 S.A."/>
    <s v="202508"/>
    <d v="2025-10-05T00:00:00"/>
    <n v="229.45000000000002"/>
    <x v="0"/>
    <x v="19"/>
  </r>
  <r>
    <s v="PRESUNTA"/>
    <n v="20602804055"/>
    <s v="WG HOLZ S.A.C."/>
    <s v="202104, 202103, 202102, 202101, 202012, 202011, 202010, 202009, 202008, 202007, 202006, 202005, 201910, 201909, 201908, 201907, 201906, 201905, 201904, 201903, 201902, 201901, 201812, 201811"/>
    <d v="2025-10-06T00:00:00"/>
    <n v="1172.78"/>
    <x v="1"/>
    <x v="0"/>
  </r>
  <r>
    <s v="FLUJO"/>
    <n v="10106862228"/>
    <s v="JOSE TENORIO GOMEZ"/>
    <s v="202508, 202507, 202506, 202505, 202504, 202503"/>
    <d v="2025-10-06T00:00:00"/>
    <n v="1165.54"/>
    <x v="1"/>
    <x v="0"/>
  </r>
  <r>
    <s v="FLUJO"/>
    <n v="10156862903"/>
    <s v="MAXIMILIANO RAFAEL ALEJO MONTES"/>
    <s v="202508"/>
    <d v="2025-10-06T00:00:00"/>
    <n v="259.27"/>
    <x v="1"/>
    <x v="0"/>
  </r>
  <r>
    <s v="FLUJO"/>
    <n v="10255794383"/>
    <s v="ANA MARIA VALENCIA JIMENEZ"/>
    <s v="202508"/>
    <d v="2025-10-06T00:00:00"/>
    <n v="216.72"/>
    <x v="1"/>
    <x v="0"/>
  </r>
  <r>
    <s v="FLUJO"/>
    <n v="20524658349"/>
    <s v="CIA Z DE MOVILIDAD Y MENSAJERIA SRL"/>
    <s v="202508"/>
    <d v="2025-10-06T00:00:00"/>
    <n v="403.35"/>
    <x v="1"/>
    <x v="0"/>
  </r>
  <r>
    <s v="FLUJO"/>
    <n v="20537337274"/>
    <s v="PIZZAS SANTA CLARA E.I.R.L."/>
    <s v="202508, 202507, 202505, 202506"/>
    <d v="2025-10-06T00:00:00"/>
    <n v="530.17999999999995"/>
    <x v="1"/>
    <x v="0"/>
  </r>
  <r>
    <s v="FLUJO"/>
    <n v="20559536351"/>
    <s v="TRANSPORTES LAMT EIRL"/>
    <s v="202508, 202507"/>
    <d v="2025-10-06T00:00:00"/>
    <n v="520.8599999999999"/>
    <x v="1"/>
    <x v="0"/>
  </r>
  <r>
    <s v="FLUJO"/>
    <n v="20559738655"/>
    <s v="J Y M 1531 S.A.C."/>
    <s v="202508, 201812"/>
    <d v="2025-10-06T00:00:00"/>
    <n v="2389.6999999999998"/>
    <x v="1"/>
    <x v="0"/>
  </r>
  <r>
    <s v="FLUJO"/>
    <n v="20602218652"/>
    <s v="GRUPO CASIR SAC"/>
    <s v="202508, 202507"/>
    <d v="2025-10-06T00:00:00"/>
    <n v="260.95"/>
    <x v="1"/>
    <x v="0"/>
  </r>
  <r>
    <s v="FLUJO"/>
    <n v="20603816952"/>
    <s v="INSTITUTO DE CIENCIA Y TECNOLOGIA ICIT E.I.R.L."/>
    <s v="202508"/>
    <d v="2025-10-06T00:00:00"/>
    <n v="455.39"/>
    <x v="1"/>
    <x v="0"/>
  </r>
  <r>
    <s v="FLUJO"/>
    <n v="20607457388"/>
    <s v="INVERSIONES IKER JOSE M Y M S.A.C."/>
    <s v="202508"/>
    <d v="2025-10-06T00:00:00"/>
    <n v="573.62"/>
    <x v="1"/>
    <x v="0"/>
  </r>
  <r>
    <s v="FLUJO"/>
    <n v="20607855294"/>
    <s v="MG INDUSTRIA Y COMERCIO S.A.C"/>
    <s v="202508"/>
    <d v="2025-10-06T00:00:00"/>
    <n v="232.98999999999998"/>
    <x v="1"/>
    <x v="0"/>
  </r>
  <r>
    <s v="FLUJO"/>
    <n v="20608476688"/>
    <s v="GRUPO CASUVE S.A.C."/>
    <s v="202508"/>
    <d v="2025-10-06T00:00:00"/>
    <n v="482.75"/>
    <x v="1"/>
    <x v="0"/>
  </r>
  <r>
    <s v="FLUJO"/>
    <n v="20610019740"/>
    <s v="INGENIEROS ELECTRICOS DEL NORTE SAC"/>
    <s v="202508"/>
    <d v="2025-10-06T00:00:00"/>
    <n v="259.27"/>
    <x v="1"/>
    <x v="0"/>
  </r>
  <r>
    <s v="FLUJO"/>
    <n v="20610922911"/>
    <s v="CERRITO NORTEÃ‘O FAMILIAR E.I.R.L."/>
    <s v="202508, 202507"/>
    <d v="2025-10-06T00:00:00"/>
    <n v="260.42999999999995"/>
    <x v="1"/>
    <x v="0"/>
  </r>
  <r>
    <s v="FLUJO"/>
    <n v="20612852619"/>
    <s v="MULTITIENDAS DON DURO EIRL"/>
    <s v="202508, 202507, 202506"/>
    <d v="2025-10-06T00:00:00"/>
    <n v="392.37999999999994"/>
    <x v="1"/>
    <x v="0"/>
  </r>
  <r>
    <s v="FLUJO"/>
    <n v="20612868108"/>
    <s v="AGROSUR LA JOYA S.A.C."/>
    <s v="202508"/>
    <d v="2025-10-06T00:00:00"/>
    <n v="286.81"/>
    <x v="1"/>
    <x v="0"/>
  </r>
  <r>
    <s v="FLUJO"/>
    <n v="20613811835"/>
    <s v="MULTIMARKET PARACAS S.A.C."/>
    <s v="202508"/>
    <d v="2025-10-06T00:00:00"/>
    <n v="259.27"/>
    <x v="1"/>
    <x v="0"/>
  </r>
  <r>
    <s v="FLUJO"/>
    <n v="20448083749"/>
    <s v="MAQUINRENT EIRL"/>
    <s v="202507, 202506, 202505, 202504, 202508"/>
    <d v="2025-10-06T00:00:00"/>
    <n v="2253.6000000000004"/>
    <x v="1"/>
    <x v="0"/>
  </r>
  <r>
    <s v="FLUJO"/>
    <n v="20601821312"/>
    <s v="SERVICIOS Y REPUESTOS GENERALES N &amp; N E.I.R.L."/>
    <s v="202507, 202506"/>
    <d v="2025-10-06T00:00:00"/>
    <n v="525.49"/>
    <x v="1"/>
    <x v="0"/>
  </r>
  <r>
    <s v="FLUJO"/>
    <n v="20602473865"/>
    <s v="TAPPOYO FINTECH SAC"/>
    <s v="202507, 202508"/>
    <d v="2025-10-06T00:00:00"/>
    <n v="294.13"/>
    <x v="1"/>
    <x v="0"/>
  </r>
  <r>
    <s v="FLUJO"/>
    <n v="20612093521"/>
    <s v="INVERSIONES ELI MM SAC"/>
    <s v="202507"/>
    <d v="2025-10-06T00:00:00"/>
    <n v="231.49"/>
    <x v="1"/>
    <x v="0"/>
  </r>
  <r>
    <s v="FLUJO"/>
    <n v="20613088874"/>
    <s v="MAREA97 S.A.C."/>
    <s v="202507, 202506"/>
    <d v="2025-10-06T00:00:00"/>
    <n v="262.74"/>
    <x v="1"/>
    <x v="0"/>
  </r>
  <r>
    <s v="FLUJO"/>
    <n v="20454820658"/>
    <s v="TOP LINE TRANSPORTES EIRL"/>
    <s v="202503, 202502, 202504"/>
    <d v="2025-10-06T00:00:00"/>
    <n v="1016.3400000000001"/>
    <x v="1"/>
    <x v="0"/>
  </r>
  <r>
    <s v="PRESUNTA"/>
    <n v="20101362885"/>
    <s v="ABUGATTAS INGENIEROS S.A."/>
    <s v="202507"/>
    <d v="2025-10-07T00:00:00"/>
    <n v="236.92"/>
    <x v="1"/>
    <x v="1"/>
  </r>
  <r>
    <s v="PRESUNTA"/>
    <n v="20536087878"/>
    <s v="FRANCISCO &amp; CRISTOBAL ASOCIADOS SAC"/>
    <s v="202507"/>
    <d v="2025-10-07T00:00:00"/>
    <n v="392.38"/>
    <x v="1"/>
    <x v="1"/>
  </r>
  <r>
    <s v="PRESUNTA"/>
    <n v="20217254125"/>
    <s v="MUNICIPALIDAD DISTRITAL DE SAN ANTONIO"/>
    <s v="202503, 202502, 202505, 202504"/>
    <d v="2025-10-07T00:00:00"/>
    <n v="12183.31"/>
    <x v="1"/>
    <x v="1"/>
  </r>
  <r>
    <s v="PRESUNTA"/>
    <n v="20551703712"/>
    <s v="NM TELECOM SAC"/>
    <s v="202207, 202206"/>
    <d v="2025-10-07T00:00:00"/>
    <n v="721.43000000000006"/>
    <x v="1"/>
    <x v="1"/>
  </r>
  <r>
    <s v="PRESUNTA"/>
    <n v="20604877491"/>
    <s v="TAIPAWER S.A.C."/>
    <s v="202003, 202002, 202001, 201912, 201911, 201910, 201909"/>
    <d v="2025-10-07T00:00:00"/>
    <n v="1338.98"/>
    <x v="1"/>
    <x v="1"/>
  </r>
  <r>
    <s v="REAL TOTAL"/>
    <n v="20604411409"/>
    <s v="JFG CORPORATION SAC"/>
    <s v="202405, 202404"/>
    <d v="2025-10-07T00:00:00"/>
    <n v="2766.29"/>
    <x v="1"/>
    <x v="1"/>
  </r>
  <r>
    <s v="REAL TOTAL"/>
    <n v="20100170681"/>
    <s v="PRODUCTOS QUIMICOS INDUSTRIALES SA"/>
    <s v="200705"/>
    <d v="2025-10-07T00:00:00"/>
    <n v="60.11"/>
    <x v="1"/>
    <x v="1"/>
  </r>
  <r>
    <s v="FLUJO"/>
    <n v="20477767169"/>
    <s v="Professional Quality SRL"/>
    <s v="202508"/>
    <d v="2025-10-07T00:00:00"/>
    <n v="401.93"/>
    <x v="1"/>
    <x v="1"/>
  </r>
  <r>
    <s v="FLUJO"/>
    <n v="20482298916"/>
    <s v="INVERSIONES MELDAR SAC"/>
    <s v="202508"/>
    <d v="2025-10-07T00:00:00"/>
    <n v="887.24"/>
    <x v="1"/>
    <x v="1"/>
  </r>
  <r>
    <s v="FLUJO"/>
    <n v="20505875843"/>
    <s v="XTREME  PLAZA SAC"/>
    <s v="202508"/>
    <d v="2025-10-07T00:00:00"/>
    <n v="444.5"/>
    <x v="1"/>
    <x v="1"/>
  </r>
  <r>
    <s v="FLUJO"/>
    <n v="20524196469"/>
    <s v="ARKHES CONTRATISTAS GENERALES SAC"/>
    <s v="202508, 202507, 202506, 202505, 202504, 202503"/>
    <d v="2025-10-07T00:00:00"/>
    <n v="1640.9100000000003"/>
    <x v="1"/>
    <x v="1"/>
  </r>
  <r>
    <s v="FLUJO"/>
    <n v="20546918310"/>
    <s v="W ANGELES SERVICIOS GENERALES"/>
    <s v="202508"/>
    <d v="2025-10-07T00:00:00"/>
    <n v="263.39"/>
    <x v="1"/>
    <x v="1"/>
  </r>
  <r>
    <s v="FLUJO"/>
    <n v="20547907168"/>
    <s v="EPQ S.A.C."/>
    <s v="202508, 202507, 202506, 202505"/>
    <d v="2025-10-07T00:00:00"/>
    <n v="851.63"/>
    <x v="1"/>
    <x v="1"/>
  </r>
  <r>
    <s v="FLUJO"/>
    <n v="20566225868"/>
    <s v="GRUSEG JIMENEZ S.A.C."/>
    <s v="202508"/>
    <d v="2025-10-07T00:00:00"/>
    <n v="379.62"/>
    <x v="1"/>
    <x v="1"/>
  </r>
  <r>
    <s v="FLUJO"/>
    <n v="20600316851"/>
    <s v="SOLUCIONES INTEGRALES DE FITNESS SAC"/>
    <s v="202508"/>
    <d v="2025-10-07T00:00:00"/>
    <n v="333.26"/>
    <x v="1"/>
    <x v="1"/>
  </r>
  <r>
    <s v="FLUJO"/>
    <n v="20601832781"/>
    <s v="CENTRO NEFROLOGICO ALBERTO SAC"/>
    <s v="202508, 202507"/>
    <d v="2025-10-07T00:00:00"/>
    <n v="484.03999999999996"/>
    <x v="1"/>
    <x v="1"/>
  </r>
  <r>
    <s v="FLUJO"/>
    <n v="20602869564"/>
    <s v="TRANSPORTE Y CONSECIONARIO DE ALIMENTOS EL MANA SAC"/>
    <s v="202508"/>
    <d v="2025-10-07T00:00:00"/>
    <n v="458.64"/>
    <x v="1"/>
    <x v="1"/>
  </r>
  <r>
    <s v="FLUJO"/>
    <n v="20603472242"/>
    <s v="EMBOTELLADORA CAMPO VERDE S.A.C."/>
    <s v="202508, 202507"/>
    <d v="2025-10-07T00:00:00"/>
    <n v="260.54999999999995"/>
    <x v="1"/>
    <x v="1"/>
  </r>
  <r>
    <s v="FLUJO"/>
    <n v="20603513712"/>
    <s v="ENFIVAL TRANSPORTE GENERALES EIRL"/>
    <s v="202508, 202507"/>
    <d v="2025-10-07T00:00:00"/>
    <n v="260.54999999999995"/>
    <x v="1"/>
    <x v="1"/>
  </r>
  <r>
    <s v="FLUJO"/>
    <n v="20604096031"/>
    <s v="VERIM SERVICIOS DE INGENIERIA E.I.R.L."/>
    <s v="202508, 202507, 202506"/>
    <d v="2025-10-07T00:00:00"/>
    <n v="392.61999999999995"/>
    <x v="1"/>
    <x v="1"/>
  </r>
  <r>
    <s v="FLUJO"/>
    <n v="20604118779"/>
    <s v="ENDEAVOR E.I.R.L."/>
    <s v="202508"/>
    <d v="2025-10-07T00:00:00"/>
    <n v="407.56"/>
    <x v="1"/>
    <x v="1"/>
  </r>
  <r>
    <s v="FLUJO"/>
    <n v="20606076895"/>
    <s v="SUMAQ YACHAYWASI CARRION SCRL"/>
    <s v="202508"/>
    <d v="2025-10-07T00:00:00"/>
    <n v="259.52999999999997"/>
    <x v="1"/>
    <x v="1"/>
  </r>
  <r>
    <s v="FLUJO"/>
    <n v="20607936812"/>
    <s v="LIVING GREEN INTERNATIONAL S.A.C."/>
    <s v="202508"/>
    <d v="2025-10-07T00:00:00"/>
    <n v="503.49"/>
    <x v="1"/>
    <x v="1"/>
  </r>
  <r>
    <s v="FLUJO"/>
    <n v="20609313626"/>
    <s v="CS-3 INGENIEROS E.I.R.L."/>
    <s v="202508, 202507, 202506, 202505"/>
    <d v="2025-10-07T00:00:00"/>
    <n v="525.84999999999991"/>
    <x v="1"/>
    <x v="1"/>
  </r>
  <r>
    <s v="FLUJO"/>
    <n v="20609572770"/>
    <s v="IMPORTADORA Y DISTRIBUIDORA ARIANA EIRL"/>
    <s v="202508, 202507"/>
    <d v="2025-10-07T00:00:00"/>
    <n v="287.32"/>
    <x v="1"/>
    <x v="1"/>
  </r>
  <r>
    <s v="FLUJO"/>
    <n v="20610173358"/>
    <s v="ANGELICA S y P E.I.R.L."/>
    <s v="202508"/>
    <d v="2025-10-07T00:00:00"/>
    <n v="429.45"/>
    <x v="1"/>
    <x v="1"/>
  </r>
  <r>
    <s v="FLUJO"/>
    <n v="20611019476"/>
    <s v="TRANSPORTES Y SERVICIOS MELLIZOS S.A.C."/>
    <s v="202508, 202507, 202506, 202505"/>
    <d v="2025-10-07T00:00:00"/>
    <n v="525.84999999999991"/>
    <x v="1"/>
    <x v="1"/>
  </r>
  <r>
    <s v="FLUJO"/>
    <n v="20611513489"/>
    <s v="GEP COMUNICACIONES SAC"/>
    <s v="202508"/>
    <d v="2025-10-07T00:00:00"/>
    <n v="746.44"/>
    <x v="1"/>
    <x v="1"/>
  </r>
  <r>
    <s v="FLUJO"/>
    <n v="20612001775"/>
    <s v="CONECTING RED SACS"/>
    <s v="202508"/>
    <d v="2025-10-07T00:00:00"/>
    <n v="336.47"/>
    <x v="1"/>
    <x v="1"/>
  </r>
  <r>
    <s v="FLUJO"/>
    <n v="20612470562"/>
    <s v="AGRO DISTRIBUIDORA AMARAL PIURA SAC"/>
    <s v="202508"/>
    <d v="2025-10-07T00:00:00"/>
    <n v="549.96"/>
    <x v="1"/>
    <x v="1"/>
  </r>
  <r>
    <s v="FLUJO"/>
    <n v="20612937789"/>
    <s v="AMERICAN LOGISTICS GROUP Y ASSOCIATES SAC"/>
    <s v="202508"/>
    <d v="2025-10-07T00:00:00"/>
    <n v="277.78999999999996"/>
    <x v="1"/>
    <x v="1"/>
  </r>
  <r>
    <s v="FLUJO"/>
    <n v="20613942468"/>
    <s v="INVERSIONES PISCA S.A.C."/>
    <s v="202508"/>
    <d v="2025-10-07T00:00:00"/>
    <n v="545.36"/>
    <x v="1"/>
    <x v="1"/>
  </r>
  <r>
    <s v="FLUJO"/>
    <n v="20614000610"/>
    <s v="CORPORACION OROPEL S.A.C."/>
    <s v="202508"/>
    <d v="2025-10-07T00:00:00"/>
    <n v="459.35"/>
    <x v="1"/>
    <x v="1"/>
  </r>
  <r>
    <s v="FLUJO"/>
    <n v="10055803311"/>
    <s v="ANGULO VDA.DE IDROGO ENITH"/>
    <s v="202507"/>
    <d v="2025-10-07T00:00:00"/>
    <n v="138.9"/>
    <x v="1"/>
    <x v="1"/>
  </r>
  <r>
    <s v="FLUJO"/>
    <n v="10435256711"/>
    <s v="TORRES USCAMAYTA RENE"/>
    <s v="202507, 202508"/>
    <d v="2025-10-07T00:00:00"/>
    <n v="499.71"/>
    <x v="1"/>
    <x v="1"/>
  </r>
  <r>
    <s v="FLUJO"/>
    <n v="20612889989"/>
    <s v="SH ODONTOZ HEALTH S.A.C."/>
    <s v="202507, 202508"/>
    <d v="2025-10-07T00:00:00"/>
    <n v="260.42999999999995"/>
    <x v="1"/>
    <x v="1"/>
  </r>
  <r>
    <s v="FLUJO"/>
    <n v="20602188567"/>
    <s v="CENTRAL SYSTEM S.A.C"/>
    <s v="202506, 202508, 202507"/>
    <d v="2025-10-07T00:00:00"/>
    <n v="655.49"/>
    <x v="1"/>
    <x v="1"/>
  </r>
  <r>
    <s v="FLUJO"/>
    <n v="20607969877"/>
    <s v="SAMIRIA JUNGLE HOTEL EIRL"/>
    <s v="202506, 202505"/>
    <d v="2025-10-07T00:00:00"/>
    <n v="969.79"/>
    <x v="1"/>
    <x v="1"/>
  </r>
  <r>
    <s v="FLUJO"/>
    <n v="20612859435"/>
    <s v="OKANE PERUVIAN AND CHINESE FOOD EIRL"/>
    <s v="202506"/>
    <d v="2025-10-07T00:00:00"/>
    <n v="342.46"/>
    <x v="1"/>
    <x v="1"/>
  </r>
  <r>
    <s v="FLUJO"/>
    <n v="10752224434"/>
    <s v="BACA GOMEZ MARIA SEGUNDA"/>
    <s v="202505, 202508, 202507, 202506"/>
    <d v="2025-10-07T00:00:00"/>
    <n v="526.64"/>
    <x v="1"/>
    <x v="1"/>
  </r>
  <r>
    <s v="FLUJO"/>
    <n v="20600426673"/>
    <s v="UNION GASTRO SAC"/>
    <s v="202505, 202506, 202507"/>
    <d v="2025-10-07T00:00:00"/>
    <n v="696.25"/>
    <x v="1"/>
    <x v="1"/>
  </r>
  <r>
    <s v="FLUJO"/>
    <n v="20610965777"/>
    <s v="J. BUILDING E.I.R.L."/>
    <s v="202504"/>
    <d v="2025-10-07T00:00:00"/>
    <n v="142.72"/>
    <x v="1"/>
    <x v="1"/>
  </r>
  <r>
    <s v="PRESUNTA"/>
    <n v="20551703712"/>
    <s v="NM TELECOM SAC"/>
    <s v="202207, 202206"/>
    <d v="2025-10-07T00:00:00"/>
    <n v="721.43000000000006"/>
    <x v="1"/>
    <x v="1"/>
  </r>
  <r>
    <s v="REAL TOTAL"/>
    <n v="20100170681"/>
    <s v="PRODUCTOS QUIMICOS INDUSTRIALES SA"/>
    <s v="200705"/>
    <d v="2025-10-07T00:00:00"/>
    <n v="60.11"/>
    <x v="1"/>
    <x v="1"/>
  </r>
  <r>
    <s v="FLUJO"/>
    <n v="10076223403"/>
    <s v="OLASCUAGA QUESADA DE AYALA MARIA"/>
    <s v="202508, 202507, 202506, 202505, 202504"/>
    <d v="2025-10-08T00:00:00"/>
    <n v="1311.24"/>
    <x v="1"/>
    <x v="2"/>
  </r>
  <r>
    <s v="FLUJO"/>
    <n v="10422904056"/>
    <s v="ROLANDO CHOQUE ITO"/>
    <s v="202508"/>
    <d v="2025-10-08T00:00:00"/>
    <n v="287.09000000000003"/>
    <x v="1"/>
    <x v="2"/>
  </r>
  <r>
    <s v="FLUJO"/>
    <n v="20567292241"/>
    <s v="N.J.E. CONTRATISTAS SOCIEDAD ANONIMA CERRADA"/>
    <s v="202508, 202507, 202506, 202505"/>
    <d v="2025-10-08T00:00:00"/>
    <n v="526.11"/>
    <x v="1"/>
    <x v="2"/>
  </r>
  <r>
    <s v="FLUJO"/>
    <n v="20568877099"/>
    <s v="YAHVE MINERIA Y CONSTRUCCION EIRL"/>
    <s v="202508"/>
    <d v="2025-10-08T00:00:00"/>
    <n v="442.82"/>
    <x v="1"/>
    <x v="2"/>
  </r>
  <r>
    <s v="FLUJO"/>
    <n v="20612072907"/>
    <s v="SABOR A PERU S.A.C."/>
    <s v="202508"/>
    <d v="2025-10-08T00:00:00"/>
    <n v="532.04999999999995"/>
    <x v="1"/>
    <x v="2"/>
  </r>
  <r>
    <s v="FLUJO"/>
    <n v="20481024171"/>
    <s v="DUBAI S.A.C"/>
    <s v="202505, 202504, 202507, 202506, 202508"/>
    <d v="2025-10-08T00:00:00"/>
    <n v="883.54"/>
    <x v="1"/>
    <x v="2"/>
  </r>
  <r>
    <s v="FLUJO"/>
    <n v="20604444234"/>
    <s v="JS CONSULTORIA &amp; CONSTRUCCION EIRL"/>
    <s v="202503, 202502"/>
    <d v="2025-10-08T00:00:00"/>
    <n v="2738.58"/>
    <x v="1"/>
    <x v="2"/>
  </r>
  <r>
    <s v="PRESUNTA"/>
    <n v="10413443771"/>
    <s v="JIMENEZ LOAYZA LUIS JAVIER"/>
    <s v="202003, 202002, 202001, 201912, 201911, 201910, 201909, 201908, 201907"/>
    <d v="2025-10-09T00:00:00"/>
    <n v="1604.3799999999999"/>
    <x v="1"/>
    <x v="3"/>
  </r>
  <r>
    <s v="FLUJO"/>
    <n v="10091153136"/>
    <s v="EUSEBIO ZAPATA ARAPA"/>
    <s v="202508"/>
    <d v="2025-10-09T00:00:00"/>
    <n v="334.52"/>
    <x v="1"/>
    <x v="3"/>
  </r>
  <r>
    <s v="FLUJO"/>
    <n v="10470198651"/>
    <s v="JOSE LUIS HERNANDEZ CRUZ"/>
    <s v="202508, 202507, 202505, 202504, 202506"/>
    <d v="2025-10-09T00:00:00"/>
    <n v="660.7600000000001"/>
    <x v="1"/>
    <x v="3"/>
  </r>
  <r>
    <s v="FLUJO"/>
    <n v="20477677682"/>
    <s v="MUEBLERIA Y DECORACIONES MAYO E HIJOS EIRL"/>
    <s v="202508"/>
    <d v="2025-10-09T00:00:00"/>
    <n v="229.67000000000002"/>
    <x v="1"/>
    <x v="3"/>
  </r>
  <r>
    <s v="FLUJO"/>
    <n v="20501610306"/>
    <s v="LABORATORIOS NUTRASURE S.A.C."/>
    <s v="202508"/>
    <d v="2025-10-09T00:00:00"/>
    <n v="259.52999999999997"/>
    <x v="1"/>
    <x v="3"/>
  </r>
  <r>
    <s v="FLUJO"/>
    <n v="20506731209"/>
    <s v="COPMEC E.I.R.L."/>
    <s v="202508"/>
    <d v="2025-10-09T00:00:00"/>
    <n v="218.19"/>
    <x v="1"/>
    <x v="3"/>
  </r>
  <r>
    <s v="FLUJO"/>
    <n v="20513644222"/>
    <s v="INTEXJHK S.A.C"/>
    <s v="202508, 202507, 202506"/>
    <d v="2025-10-09T00:00:00"/>
    <n v="2789.93"/>
    <x v="1"/>
    <x v="3"/>
  </r>
  <r>
    <s v="FLUJO"/>
    <n v="20547326513"/>
    <s v="PERUVIAN BUSINESS CONSULTING SAC"/>
    <s v="202508"/>
    <d v="2025-10-09T00:00:00"/>
    <n v="229.67000000000002"/>
    <x v="1"/>
    <x v="3"/>
  </r>
  <r>
    <s v="FLUJO"/>
    <n v="20550330483"/>
    <s v="EDICIONES TECNOLOGICAS Y CIENTIFICAS S.A.C."/>
    <s v="202508"/>
    <d v="2025-10-09T00:00:00"/>
    <n v="287.09000000000003"/>
    <x v="1"/>
    <x v="3"/>
  </r>
  <r>
    <s v="FLUJO"/>
    <n v="20600739540"/>
    <s v="MINERA EL GRAN AMANECER SAC"/>
    <s v="202508"/>
    <d v="2025-10-09T00:00:00"/>
    <n v="344.51"/>
    <x v="1"/>
    <x v="3"/>
  </r>
  <r>
    <s v="FLUJO"/>
    <n v="20601508657"/>
    <s v="MAYADIRI E.I.R.L."/>
    <s v="202508"/>
    <d v="2025-10-09T00:00:00"/>
    <n v="248.39000000000001"/>
    <x v="1"/>
    <x v="3"/>
  </r>
  <r>
    <s v="FLUJO"/>
    <n v="20601952450"/>
    <s v="GRUPO CARTRANSAVILL SAC"/>
    <s v="202508, 202507"/>
    <d v="2025-10-09T00:00:00"/>
    <n v="260.68"/>
    <x v="1"/>
    <x v="3"/>
  </r>
  <r>
    <s v="FLUJO"/>
    <n v="20602428568"/>
    <s v="GRUPO DETECTTO SAC"/>
    <s v="202508"/>
    <d v="2025-10-09T00:00:00"/>
    <n v="287.09000000000003"/>
    <x v="1"/>
    <x v="3"/>
  </r>
  <r>
    <s v="FLUJO"/>
    <n v="20602433138"/>
    <s v="OBRAS Y PROYECTOS J Y M S.A.C."/>
    <s v="202508, 202507"/>
    <d v="2025-10-09T00:00:00"/>
    <n v="1108.44"/>
    <x v="1"/>
    <x v="3"/>
  </r>
  <r>
    <s v="FLUJO"/>
    <n v="20604243263"/>
    <s v="NIMASUR AUTOMOTRIZ S.A.C."/>
    <s v="202508"/>
    <d v="2025-10-09T00:00:00"/>
    <n v="359.27000000000004"/>
    <x v="1"/>
    <x v="3"/>
  </r>
  <r>
    <s v="FLUJO"/>
    <n v="20607390909"/>
    <s v="SERVICIO Y DISTRIBUCION VALENTINA S.A.C."/>
    <s v="202508"/>
    <d v="2025-10-09T00:00:00"/>
    <n v="259.52999999999997"/>
    <x v="1"/>
    <x v="3"/>
  </r>
  <r>
    <s v="FLUJO"/>
    <n v="20608844415"/>
    <s v="DISTRIBUIDORA FERREMA S.A.C."/>
    <s v="202508"/>
    <d v="2025-10-09T00:00:00"/>
    <n v="242.65"/>
    <x v="1"/>
    <x v="3"/>
  </r>
  <r>
    <s v="FLUJO"/>
    <n v="20608946200"/>
    <s v="CONSULTORIA Y SERVICIOS GENERALES R Y V EIRL"/>
    <s v="202508"/>
    <d v="2025-10-09T00:00:00"/>
    <n v="689.02"/>
    <x v="1"/>
    <x v="3"/>
  </r>
  <r>
    <s v="FLUJO"/>
    <n v="20609541203"/>
    <s v="GyM ENERGY SAC"/>
    <s v="202508"/>
    <d v="2025-10-09T00:00:00"/>
    <n v="676.62"/>
    <x v="1"/>
    <x v="3"/>
  </r>
  <r>
    <s v="FLUJO"/>
    <n v="20609694905"/>
    <s v="BARRA FUTURA SAC"/>
    <s v="202508"/>
    <d v="2025-10-09T00:00:00"/>
    <n v="342.25"/>
    <x v="1"/>
    <x v="3"/>
  </r>
  <r>
    <s v="FLUJO"/>
    <n v="20610990747"/>
    <s v="CORPORACION AGRANZA SAC"/>
    <s v="202508"/>
    <d v="2025-10-09T00:00:00"/>
    <n v="272.51"/>
    <x v="1"/>
    <x v="3"/>
  </r>
  <r>
    <s v="FLUJO"/>
    <n v="20611143274"/>
    <s v="TEXTIPLAST SUPPLY S.A.C."/>
    <s v="202508"/>
    <d v="2025-10-09T00:00:00"/>
    <n v="219.68"/>
    <x v="1"/>
    <x v="3"/>
  </r>
  <r>
    <s v="FLUJO"/>
    <n v="20612058572"/>
    <s v="ESTRUCTURAS METALICAS TECD S.A.C."/>
    <s v="202508"/>
    <d v="2025-10-09T00:00:00"/>
    <n v="229.67000000000002"/>
    <x v="1"/>
    <x v="3"/>
  </r>
  <r>
    <s v="FLUJO"/>
    <n v="20613293419"/>
    <s v="LOGISTICA ANDES DEL NORTE SAC"/>
    <s v="202508"/>
    <d v="2025-10-09T00:00:00"/>
    <n v="518.29"/>
    <x v="1"/>
    <x v="3"/>
  </r>
  <r>
    <s v="FLUJO"/>
    <n v="20613624032"/>
    <s v="CONSORCIO HOZEGA"/>
    <s v="202508"/>
    <d v="2025-10-09T00:00:00"/>
    <n v="1097.3499999999999"/>
    <x v="1"/>
    <x v="3"/>
  </r>
  <r>
    <s v="FLUJO"/>
    <n v="20613896288"/>
    <s v="A Y M04 S.A.C."/>
    <s v="202508"/>
    <d v="2025-10-09T00:00:00"/>
    <n v="259.52999999999997"/>
    <x v="1"/>
    <x v="3"/>
  </r>
  <r>
    <s v="FLUJO"/>
    <n v="20605464689"/>
    <s v="CLINT PERU EIRL"/>
    <s v="202507, 202508"/>
    <d v="2025-10-09T00:00:00"/>
    <n v="260.81"/>
    <x v="1"/>
    <x v="3"/>
  </r>
  <r>
    <s v="FLUJO"/>
    <n v="20606376627"/>
    <s v="CONSORCIO VIAL KUELAP"/>
    <s v="202507, 202508"/>
    <d v="2025-10-09T00:00:00"/>
    <n v="3062.7400000000002"/>
    <x v="1"/>
    <x v="3"/>
  </r>
  <r>
    <s v="FLUJO"/>
    <n v="20607525839"/>
    <s v="Wayra transporte de carga sociedad anÃ³nima cerrada"/>
    <s v="202507, 202508"/>
    <d v="2025-10-09T00:00:00"/>
    <n v="462.30000000000007"/>
    <x v="1"/>
    <x v="3"/>
  </r>
  <r>
    <s v="FLUJO"/>
    <n v="20613455893"/>
    <s v="CONSORCIO NINABAMBA"/>
    <s v="202507, 202508"/>
    <d v="2025-10-09T00:00:00"/>
    <n v="480.06999999999994"/>
    <x v="1"/>
    <x v="3"/>
  </r>
  <r>
    <s v="FLUJO"/>
    <n v="20480174951"/>
    <s v="PUBLICACIONES PACIFICO SAC"/>
    <s v="202506"/>
    <d v="2025-10-09T00:00:00"/>
    <n v="134.4"/>
    <x v="1"/>
    <x v="3"/>
  </r>
  <r>
    <s v="FLUJO"/>
    <n v="20493233361"/>
    <s v="CONSORCIO OPTIMUS S.R.L."/>
    <s v="202506, 202508, 202507"/>
    <d v="2025-10-09T00:00:00"/>
    <n v="1302.01"/>
    <x v="1"/>
    <x v="3"/>
  </r>
  <r>
    <s v="FLUJO"/>
    <n v="20565571134"/>
    <s v="CMD CORPORACION AUTOMOTRIZ E.I.R.L."/>
    <s v="202505"/>
    <d v="2025-10-09T00:00:00"/>
    <n v="336.36"/>
    <x v="1"/>
    <x v="3"/>
  </r>
  <r>
    <s v="FLUJO"/>
    <n v="20611460521"/>
    <s v="FRAGGA SERVICES EIRL"/>
    <s v="202505, 202508, 202507, 202506"/>
    <d v="2025-10-09T00:00:00"/>
    <n v="527.54999999999995"/>
    <x v="1"/>
    <x v="3"/>
  </r>
  <r>
    <s v="PRESUNTA"/>
    <n v="20527818762"/>
    <s v="MUNDO DENTAL EIRL"/>
    <s v="202508"/>
    <d v="2025-10-09T00:00:00"/>
    <n v="77.86"/>
    <x v="1"/>
    <x v="3"/>
  </r>
  <r>
    <s v="REAL TOTAL"/>
    <n v="20554078789"/>
    <s v="HEXYTOSA EIRL"/>
    <s v="201904, 201903, 201902, 201901, 201812"/>
    <d v="2025-10-09T00:00:00"/>
    <n v="950.32999999999993"/>
    <x v="1"/>
    <x v="3"/>
  </r>
  <r>
    <s v="FLUJO"/>
    <n v="10001106878"/>
    <s v="FERNANDO GRANDEZ ZARATE"/>
    <s v="202508"/>
    <d v="2025-10-10T00:00:00"/>
    <n v="259.79000000000002"/>
    <x v="1"/>
    <x v="4"/>
  </r>
  <r>
    <s v="FLUJO"/>
    <n v="10181316336"/>
    <s v="MAQUI RUIZ BETTY MILAGROS"/>
    <s v="202508"/>
    <d v="2025-10-10T00:00:00"/>
    <n v="237.95"/>
    <x v="1"/>
    <x v="4"/>
  </r>
  <r>
    <s v="FLUJO"/>
    <n v="10306754535"/>
    <s v="PETRONILA JENNY PARI SOTO"/>
    <s v="202508, 202507, 202506, 202505"/>
    <d v="2025-10-10T00:00:00"/>
    <n v="526.38"/>
    <x v="1"/>
    <x v="4"/>
  </r>
  <r>
    <s v="FLUJO"/>
    <n v="10401937094"/>
    <s v="ALCANTARA TINCO OTILIA"/>
    <s v="202508, 202507, 202506, 202505, 202504"/>
    <d v="2025-10-10T00:00:00"/>
    <n v="1805.42"/>
    <x v="1"/>
    <x v="4"/>
  </r>
  <r>
    <s v="FLUJO"/>
    <n v="10780196594"/>
    <s v="ESCALANTE ROSALES CINTHYA NATALI ENMA"/>
    <s v="202508, 202507, 202506, 202504, 202503"/>
    <d v="2025-10-10T00:00:00"/>
    <n v="663.22"/>
    <x v="1"/>
    <x v="4"/>
  </r>
  <r>
    <s v="FLUJO"/>
    <n v="20103809445"/>
    <s v="AKENPEC TRANSPORTES Y OPERACIONES LOGISTICAS S.A.C"/>
    <s v="202508"/>
    <d v="2025-10-10T00:00:00"/>
    <n v="339.07000000000005"/>
    <x v="1"/>
    <x v="4"/>
  </r>
  <r>
    <s v="FLUJO"/>
    <n v="20448202004"/>
    <s v="COOPERATIVA MINERA SANTA ROSA DE ANANEA LTDA"/>
    <s v="202508"/>
    <d v="2025-10-10T00:00:00"/>
    <n v="344.85"/>
    <x v="1"/>
    <x v="4"/>
  </r>
  <r>
    <s v="FLUJO"/>
    <n v="20509113069"/>
    <s v="TAHUA POTTERY SAC"/>
    <s v="202508"/>
    <d v="2025-10-10T00:00:00"/>
    <n v="210.75"/>
    <x v="1"/>
    <x v="4"/>
  </r>
  <r>
    <s v="FLUJO"/>
    <n v="20513477148"/>
    <s v="Impresos Graficos Comerciales EIRL"/>
    <s v="202508, 202507, 202506, 202505"/>
    <d v="2025-10-10T00:00:00"/>
    <n v="1022.34"/>
    <x v="1"/>
    <x v="4"/>
  </r>
  <r>
    <s v="FLUJO"/>
    <n v="20520834517"/>
    <s v="REMAN CONSTRUCCIONES E INMOBILIARIA SAC"/>
    <s v="202508"/>
    <d v="2025-10-10T00:00:00"/>
    <n v="1079.96"/>
    <x v="1"/>
    <x v="4"/>
  </r>
  <r>
    <s v="FLUJO"/>
    <n v="20530009832"/>
    <s v="CENTRO DE SALUD RENAL SAN MATIAS S.A.C."/>
    <s v="202508, 202507"/>
    <d v="2025-10-10T00:00:00"/>
    <n v="642.81999999999994"/>
    <x v="1"/>
    <x v="4"/>
  </r>
  <r>
    <s v="FLUJO"/>
    <n v="20554095012"/>
    <s v="J Y N GROUP INSTALL WORLD S.A.C. - INSTALL WORLD S.A.C."/>
    <s v="202508, 202507, 202506"/>
    <d v="2025-10-10T00:00:00"/>
    <n v="393.02"/>
    <x v="1"/>
    <x v="4"/>
  </r>
  <r>
    <s v="FLUJO"/>
    <n v="20554557679"/>
    <s v="IEP NUESTRA SENORA DEL ROSARIO SOCIEDAD COMERCIAL DE RESPON"/>
    <s v="202508"/>
    <d v="2025-10-10T00:00:00"/>
    <n v="1357.4499999999998"/>
    <x v="1"/>
    <x v="4"/>
  </r>
  <r>
    <s v="FLUJO"/>
    <n v="20556106496"/>
    <s v="TRANSPORTES OMAR DAGA VALDIVIESO S.A.C."/>
    <s v="202508"/>
    <d v="2025-10-10T00:00:00"/>
    <n v="415.65999999999997"/>
    <x v="1"/>
    <x v="4"/>
  </r>
  <r>
    <s v="FLUJO"/>
    <n v="20558148641"/>
    <s v="GRUPO GOLDEN SERVICE EIRL"/>
    <s v="202508, 202507, 202506"/>
    <d v="2025-10-10T00:00:00"/>
    <n v="393.02"/>
    <x v="1"/>
    <x v="4"/>
  </r>
  <r>
    <s v="FLUJO"/>
    <n v="20558353814"/>
    <s v="TACONSER E.I.R.L."/>
    <s v="202508"/>
    <d v="2025-10-10T00:00:00"/>
    <n v="279.33"/>
    <x v="1"/>
    <x v="4"/>
  </r>
  <r>
    <s v="FLUJO"/>
    <n v="20561130966"/>
    <s v="DAISMOL CONTRATISTAS GENERALES S.A.C."/>
    <s v="202508"/>
    <d v="2025-10-10T00:00:00"/>
    <n v="717.64"/>
    <x v="1"/>
    <x v="4"/>
  </r>
  <r>
    <s v="FLUJO"/>
    <n v="20600042611"/>
    <s v="ARCES SOLUTIONS E.I.R.L."/>
    <s v="202508, 202507, 202506, 202505, 202504, 202503, 202502, 202501"/>
    <d v="2025-10-10T00:00:00"/>
    <n v="1071.4099999999999"/>
    <x v="1"/>
    <x v="4"/>
  </r>
  <r>
    <s v="FLUJO"/>
    <n v="20600234715"/>
    <s v="COMERCIALIZADORA GUIROM SRL"/>
    <s v="202508"/>
    <d v="2025-10-10T00:00:00"/>
    <n v="285.76"/>
    <x v="1"/>
    <x v="4"/>
  </r>
  <r>
    <s v="FLUJO"/>
    <n v="20600493150"/>
    <s v="ANTARES MANTENIMIENTO INDUSTRIAL SAC"/>
    <s v="202508"/>
    <d v="2025-10-10T00:00:00"/>
    <n v="298.52999999999997"/>
    <x v="1"/>
    <x v="4"/>
  </r>
  <r>
    <s v="FLUJO"/>
    <n v="20601404061"/>
    <s v="JHONSON SOLUTIONS S.A.C."/>
    <s v="202508"/>
    <d v="2025-10-10T00:00:00"/>
    <n v="287.38"/>
    <x v="1"/>
    <x v="4"/>
  </r>
  <r>
    <s v="FLUJO"/>
    <n v="20603731507"/>
    <s v="A Y M CONSTRUCTORA SOCIEDAD ANONIMA CERRADA"/>
    <s v="202508, 202507, 202506"/>
    <d v="2025-10-10T00:00:00"/>
    <n v="393.02"/>
    <x v="1"/>
    <x v="4"/>
  </r>
  <r>
    <s v="FLUJO"/>
    <n v="20603981040"/>
    <s v="DISTRIBUIDORA E IMPORTACIONES REYNA S.A.C."/>
    <s v="202508"/>
    <d v="2025-10-10T00:00:00"/>
    <n v="242.89000000000001"/>
    <x v="1"/>
    <x v="4"/>
  </r>
  <r>
    <s v="FLUJO"/>
    <n v="20604662398"/>
    <s v="LPF FRANCHISING S.A.C"/>
    <s v="202508"/>
    <d v="2025-10-10T00:00:00"/>
    <n v="221.48"/>
    <x v="1"/>
    <x v="4"/>
  </r>
  <r>
    <s v="FLUJO"/>
    <n v="20605825061"/>
    <s v="UROGARDI S.A.C."/>
    <s v="202508"/>
    <d v="2025-10-10T00:00:00"/>
    <n v="208.39999999999998"/>
    <x v="1"/>
    <x v="4"/>
  </r>
  <r>
    <s v="FLUJO"/>
    <n v="20608458281"/>
    <s v="INVERSIONES CORAZON PURO PERU E.I.R.L."/>
    <s v="202508"/>
    <d v="2025-10-10T00:00:00"/>
    <n v="246.8"/>
    <x v="1"/>
    <x v="4"/>
  </r>
  <r>
    <s v="FLUJO"/>
    <n v="20608909576"/>
    <s v="CONSTRUCTORA E INMOBILIARIA CHIRA VERDE S.A.C."/>
    <s v="202508, 202507"/>
    <d v="2025-10-10T00:00:00"/>
    <n v="260.81"/>
    <x v="1"/>
    <x v="4"/>
  </r>
  <r>
    <s v="FLUJO"/>
    <n v="20611247886"/>
    <s v="PETGO AGENCIA DE VIAJES DE ANIMALES DE COMPAÃ‘IA E.I.R.L."/>
    <s v="202508"/>
    <d v="2025-10-10T00:00:00"/>
    <n v="620.73"/>
    <x v="1"/>
    <x v="4"/>
  </r>
  <r>
    <s v="FLUJO"/>
    <n v="20613474057"/>
    <s v="SALUD MI AMOR S.A.C."/>
    <s v="202508"/>
    <d v="2025-10-10T00:00:00"/>
    <n v="295.38"/>
    <x v="1"/>
    <x v="4"/>
  </r>
  <r>
    <s v="FLUJO"/>
    <n v="20613925849"/>
    <s v="RODRIGO PLASTICS E.I.R.L."/>
    <s v="202508"/>
    <d v="2025-10-10T00:00:00"/>
    <n v="355.08000000000004"/>
    <x v="1"/>
    <x v="4"/>
  </r>
  <r>
    <s v="FLUJO"/>
    <n v="20613979779"/>
    <s v="TDD INVERSIONES SAC"/>
    <s v="202508, 202507"/>
    <d v="2025-10-10T00:00:00"/>
    <n v="260.81"/>
    <x v="1"/>
    <x v="4"/>
  </r>
  <r>
    <s v="FLUJO"/>
    <n v="20613988492"/>
    <s v="GRUPO BENICK LATAMSERVICE S.A.C"/>
    <s v="202508, 202507"/>
    <d v="2025-10-10T00:00:00"/>
    <n v="598.97"/>
    <x v="1"/>
    <x v="4"/>
  </r>
  <r>
    <s v="FLUJO"/>
    <n v="10316732009"/>
    <s v="ALEGRE TORRES DIANA YESSICA"/>
    <s v="202507"/>
    <d v="2025-10-10T00:00:00"/>
    <n v="246.06"/>
    <x v="1"/>
    <x v="4"/>
  </r>
  <r>
    <s v="FLUJO"/>
    <n v="20601417937"/>
    <s v="AGROPECUARIA DUMAN S.A.C."/>
    <s v="202507"/>
    <d v="2025-10-10T00:00:00"/>
    <n v="210.26999999999998"/>
    <x v="1"/>
    <x v="4"/>
  </r>
  <r>
    <s v="FLUJO"/>
    <n v="20610764691"/>
    <s v="STUDIO 27 CREATING BEAUTY S.A.C."/>
    <s v="202507, 202506, 202505"/>
    <d v="2025-10-10T00:00:00"/>
    <n v="396.49"/>
    <x v="1"/>
    <x v="4"/>
  </r>
  <r>
    <s v="FLUJO"/>
    <n v="20545240212"/>
    <s v="HEPAS MAQUINARIAS EIRL"/>
    <s v="202404, 202403, 202402"/>
    <d v="2025-10-10T00:00:00"/>
    <n v="1145.6200000000001"/>
    <x v="1"/>
    <x v="4"/>
  </r>
  <r>
    <s v="PRESUNTA"/>
    <n v="20545781485"/>
    <s v="GRUPO BAX SAC"/>
    <s v="202305, 202304"/>
    <d v="2025-10-10T00:00:00"/>
    <n v="161.44"/>
    <x v="1"/>
    <x v="4"/>
  </r>
  <r>
    <s v="PRESUNTA"/>
    <n v="20607496430"/>
    <s v="JYM BRUDER S.A.C."/>
    <s v="202205"/>
    <d v="2025-10-10T00:00:00"/>
    <n v="302.85000000000002"/>
    <x v="1"/>
    <x v="4"/>
  </r>
  <r>
    <s v="PRESUNTA"/>
    <n v="20602804055"/>
    <s v="WG HOLZ S.A.C."/>
    <s v="202202, 202201, 202112, 202111, 202110, 202109, 202108, 202107, 202106, 202105, 202004, 202003, 202002, 202001, 201912, 201911, 202212, 202211, 202210, 202209, 202208, 202207, 202206, 202205, 202204, 202203, 202402, 202401, 202312, 202311, 202310, 202309, 202308, 202307, 202306, 202305, 202304, 202303, 202302, 202301, 202501, 202412, 202411, 202410, 202409, 202408, 202407, 202406, 202405, 202404, 202403, 202508, 202507, 202506, 202505, 202504, 202503, 202502"/>
    <d v="2025-10-10T00:00:00"/>
    <n v="10808.81"/>
    <x v="1"/>
    <x v="4"/>
  </r>
  <r>
    <s v="REAL TOTAL"/>
    <n v="20605242937"/>
    <s v="TRANSPÃ“RTES NUEVO HORIZONTE Y.M. EIRL"/>
    <s v="202503"/>
    <d v="2025-10-10T00:00:00"/>
    <n v="682.32999999999993"/>
    <x v="1"/>
    <x v="4"/>
  </r>
  <r>
    <s v="REAL TOTAL"/>
    <n v="10079417616"/>
    <s v="CRUZ MORANTE JOHANNA"/>
    <s v="201101"/>
    <d v="2025-10-10T00:00:00"/>
    <n v="47.129999999999995"/>
    <x v="1"/>
    <x v="4"/>
  </r>
  <r>
    <s v="REDIRECCIONAMIENTO"/>
    <n v="20456334971"/>
    <s v="DISTRIBUIDORA MADEX SOCIEDAD ANONIMA CERRADA"/>
    <s v="201406"/>
    <d v="2025-10-10T00:00:00"/>
    <n v="479.98"/>
    <x v="1"/>
    <x v="4"/>
  </r>
  <r>
    <s v="REDIRECCIONAMIENTO"/>
    <n v="20565246144"/>
    <s v="CORPORACION ELECTRO SVM E.I.R.L."/>
    <s v="201411, 201412, 201501, 201502"/>
    <d v="2025-10-10T00:00:00"/>
    <n v="878.62999999999988"/>
    <x v="1"/>
    <x v="4"/>
  </r>
  <r>
    <s v="REDIRECCIONAMIENTO"/>
    <n v="20503986419"/>
    <s v="LANGUAGE TRAINING CENTER PERU SA"/>
    <s v="200807, 200808, 200809, 200810, 200811, 200812, 200902, 200903, 200904, 201008, 201012"/>
    <d v="2025-10-10T00:00:00"/>
    <n v="11269.519999999999"/>
    <x v="1"/>
    <x v="4"/>
  </r>
  <r>
    <s v="REDIRECCIONAMIENTO"/>
    <n v="20514740152"/>
    <s v="SERVICIOS TECNICOS DE INGENIERIA INDUSTRIAL METALICA SOCIEDAD COMERCIAL DE RESPONSABILIDAD LIMITADA"/>
    <s v="200801, 200802, 200803, 200804"/>
    <d v="2025-10-10T00:00:00"/>
    <n v="13122.090000000002"/>
    <x v="1"/>
    <x v="4"/>
  </r>
  <r>
    <s v="FLUJO"/>
    <n v="10067565148"/>
    <s v="LLERENA CANO DOBERT GUIDO"/>
    <s v="202508"/>
    <d v="2025-10-11T00:00:00"/>
    <n v="283.07"/>
    <x v="1"/>
    <x v="4"/>
  </r>
  <r>
    <s v="FLUJO"/>
    <n v="10105351173"/>
    <s v="VALLADOLID RODRIGUEZ MILAGRITOS PRISVETT"/>
    <s v="202508"/>
    <d v="2025-10-11T00:00:00"/>
    <n v="432.21999999999997"/>
    <x v="1"/>
    <x v="4"/>
  </r>
  <r>
    <s v="FLUJO"/>
    <n v="10413861468"/>
    <s v="Karin Rosario Ticona Barbaran"/>
    <s v="202508"/>
    <d v="2025-10-11T00:00:00"/>
    <n v="236.8"/>
    <x v="1"/>
    <x v="4"/>
  </r>
  <r>
    <s v="FLUJO"/>
    <n v="10455500261"/>
    <s v="ALEJANDRA JAKELINA VENTURA ABAD"/>
    <s v="202508"/>
    <d v="2025-10-11T00:00:00"/>
    <n v="259.79000000000002"/>
    <x v="1"/>
    <x v="4"/>
  </r>
  <r>
    <s v="FLUJO"/>
    <n v="20445722147"/>
    <s v="EMPRESA DE INGENIERIA Y MONTAJE S.A.C."/>
    <s v="202508, 202507"/>
    <d v="2025-10-11T00:00:00"/>
    <n v="208.52999999999997"/>
    <x v="1"/>
    <x v="4"/>
  </r>
  <r>
    <s v="FLUJO"/>
    <n v="20527831432"/>
    <s v="LADRILLOS MURALLA S.C.RLTDA"/>
    <s v="202508, 202507"/>
    <d v="2025-10-11T00:00:00"/>
    <n v="287.04999999999995"/>
    <x v="1"/>
    <x v="4"/>
  </r>
  <r>
    <s v="FLUJO"/>
    <n v="20542410621"/>
    <s v="ALMANZA Y ROJAS CONTRATISTAS EIRL"/>
    <s v="202508, 202507"/>
    <d v="2025-10-11T00:00:00"/>
    <n v="260.94"/>
    <x v="1"/>
    <x v="4"/>
  </r>
  <r>
    <s v="FLUJO"/>
    <n v="20557208195"/>
    <s v="C Y R EDUCA SAC"/>
    <s v="202508"/>
    <d v="2025-10-11T00:00:00"/>
    <n v="229.89999999999998"/>
    <x v="1"/>
    <x v="4"/>
  </r>
  <r>
    <s v="FLUJO"/>
    <n v="20601372933"/>
    <s v="DISTRIBUIDORA NIGXA S.A.C."/>
    <s v="202508"/>
    <d v="2025-10-11T00:00:00"/>
    <n v="574.75"/>
    <x v="1"/>
    <x v="4"/>
  </r>
  <r>
    <s v="FLUJO"/>
    <n v="20603086776"/>
    <s v="grupo gyd sac"/>
    <s v="202508, 202507"/>
    <d v="2025-10-11T00:00:00"/>
    <n v="260.94"/>
    <x v="1"/>
    <x v="4"/>
  </r>
  <r>
    <s v="FLUJO"/>
    <n v="20604251401"/>
    <s v="H L H CONTRATISTA GENERALES SAC"/>
    <s v="202508"/>
    <d v="2025-10-11T00:00:00"/>
    <n v="402.33000000000004"/>
    <x v="1"/>
    <x v="4"/>
  </r>
  <r>
    <s v="FLUJO"/>
    <n v="20608422022"/>
    <s v="AGRONEGOCIOS SOGASIM S.A.C."/>
    <s v="202508"/>
    <d v="2025-10-11T00:00:00"/>
    <n v="229.89999999999998"/>
    <x v="1"/>
    <x v="4"/>
  </r>
  <r>
    <s v="FLUJO"/>
    <n v="20610437916"/>
    <s v="AYLA MEDIC S.A.C."/>
    <s v="202508"/>
    <d v="2025-10-11T00:00:00"/>
    <n v="574.75"/>
    <x v="1"/>
    <x v="4"/>
  </r>
  <r>
    <s v="FLUJO"/>
    <n v="20612047708"/>
    <s v="M Y M RESOLVE SOLUTIONS SAC"/>
    <s v="202508"/>
    <d v="2025-10-11T00:00:00"/>
    <n v="450.5"/>
    <x v="1"/>
    <x v="4"/>
  </r>
  <r>
    <s v="FLUJO"/>
    <n v="20612237183"/>
    <s v="MULTISERVIS CGA S.A.C."/>
    <s v="202508"/>
    <d v="2025-10-11T00:00:00"/>
    <n v="287.38"/>
    <x v="1"/>
    <x v="4"/>
  </r>
  <r>
    <s v="FLUJO"/>
    <n v="20600491211"/>
    <s v="TRANSPORTES Y LIMPIEZA OCCO S.A.C."/>
    <s v="202507, 202506, 202505, 202504"/>
    <d v="2025-10-11T00:00:00"/>
    <n v="940.30000000000007"/>
    <x v="1"/>
    <x v="4"/>
  </r>
  <r>
    <s v="REAL TOTAL"/>
    <n v="20533620443"/>
    <s v="EMPRESA DE TRANSPORTE Y SERVICIOS MULTIPLES  JVG SRL"/>
    <s v="202503"/>
    <d v="2025-10-11T00:00:00"/>
    <n v="27.400000000000002"/>
    <x v="1"/>
    <x v="4"/>
  </r>
  <r>
    <s v="REAL TOTAL"/>
    <n v="20605647856"/>
    <s v="JLP CONTRATISTAS GENERALES S.A.C."/>
    <s v="202503"/>
    <d v="2025-10-11T00:00:00"/>
    <n v="149.38999999999999"/>
    <x v="1"/>
    <x v="4"/>
  </r>
  <r>
    <s v="REAL TOTAL"/>
    <n v="20603840250"/>
    <s v="JRJ PORTATIL PERÃš S.A.C."/>
    <s v="202202, 202201, 202112"/>
    <d v="2025-10-11T00:00:00"/>
    <n v="466.78999999999996"/>
    <x v="1"/>
    <x v="4"/>
  </r>
  <r>
    <s v="FLUJO"/>
    <n v="20506436461"/>
    <s v="CEP CHRISTIAN BARNARD SAC"/>
    <s v="202508"/>
    <d v="2025-10-12T00:00:00"/>
    <n v="278.07"/>
    <x v="1"/>
    <x v="4"/>
  </r>
  <r>
    <s v="FLUJO"/>
    <n v="20607713368"/>
    <s v="INACONS INGENIERIA Y CONSTRUCCION SOCIEDAD ANONIMA CERRADA"/>
    <s v="202508"/>
    <d v="2025-10-12T00:00:00"/>
    <n v="630.1"/>
    <x v="1"/>
    <x v="4"/>
  </r>
  <r>
    <s v="FLUJO"/>
    <n v="20545529123"/>
    <s v="INVERSIONES Y SERVICIOS TARMA SAC"/>
    <s v="202503, 202505, 202504, 202507, 202506"/>
    <d v="2025-10-12T00:00:00"/>
    <n v="1774.76"/>
    <x v="1"/>
    <x v="4"/>
  </r>
  <r>
    <s v="FLUJO"/>
    <n v="10430842094"/>
    <s v="CORONEL NEIRA VANESSA JACQUELINE"/>
    <s v="202508"/>
    <d v="2025-10-13T00:00:00"/>
    <n v="390.61"/>
    <x v="1"/>
    <x v="5"/>
  </r>
  <r>
    <s v="FLUJO"/>
    <n v="20438509039"/>
    <s v="COMPURED SAC"/>
    <s v="202508"/>
    <d v="2025-10-13T00:00:00"/>
    <n v="242.89000000000001"/>
    <x v="1"/>
    <x v="5"/>
  </r>
  <r>
    <s v="FLUJO"/>
    <n v="20449356943"/>
    <s v="CORPORACION TOMMY SAC"/>
    <s v="202508, 202507, 202506, 202505, 202504, 202503"/>
    <d v="2025-10-13T00:00:00"/>
    <n v="1410.56"/>
    <x v="1"/>
    <x v="5"/>
  </r>
  <r>
    <s v="FLUJO"/>
    <n v="20474382924"/>
    <s v="CENTRO DE SERVICIOS PRODUCCION Y ORIENTACION FAMILIAR"/>
    <s v="202508"/>
    <d v="2025-10-13T00:00:00"/>
    <n v="262.42"/>
    <x v="1"/>
    <x v="5"/>
  </r>
  <r>
    <s v="FLUJO"/>
    <n v="20481110760"/>
    <s v="CONSORCIO SALUD EDUCATIVA COBBA SRL"/>
    <s v="202508"/>
    <d v="2025-10-13T00:00:00"/>
    <n v="407.33000000000004"/>
    <x v="1"/>
    <x v="5"/>
  </r>
  <r>
    <s v="FLUJO"/>
    <n v="20488249356"/>
    <s v="EMPRESA DE SERVICIOS MULTIPLES RAMON CASTILLA S.A."/>
    <s v="202508, 202507"/>
    <d v="2025-10-13T00:00:00"/>
    <n v="828.43000000000006"/>
    <x v="1"/>
    <x v="5"/>
  </r>
  <r>
    <s v="FLUJO"/>
    <n v="20521850923"/>
    <s v="GLOBAL SKY SAC"/>
    <s v="202508"/>
    <d v="2025-10-13T00:00:00"/>
    <n v="407.96000000000004"/>
    <x v="1"/>
    <x v="5"/>
  </r>
  <r>
    <s v="FLUJO"/>
    <n v="20555337419"/>
    <s v="NEGOCIACIONES FERRYCENTER SAC"/>
    <s v="202508"/>
    <d v="2025-10-13T00:00:00"/>
    <n v="344.85"/>
    <x v="1"/>
    <x v="5"/>
  </r>
  <r>
    <s v="FLUJO"/>
    <n v="20559743225"/>
    <s v="MOLINOS MAIZAR PERU SAC"/>
    <s v="202508, 202507, 202506, 202505, 202504"/>
    <d v="2025-10-13T00:00:00"/>
    <n v="718.15"/>
    <x v="1"/>
    <x v="5"/>
  </r>
  <r>
    <s v="FLUJO"/>
    <n v="20601232660"/>
    <s v="CONTRATISTAS Y SERVICIOS HEMA S.R.L."/>
    <s v="202508"/>
    <d v="2025-10-13T00:00:00"/>
    <n v="365.21999999999997"/>
    <x v="1"/>
    <x v="5"/>
  </r>
  <r>
    <s v="FLUJO"/>
    <n v="20603361904"/>
    <s v="EMPRESA DE TRANSPORTE A.G. PERU S.A.C."/>
    <s v="202508"/>
    <d v="2025-10-13T00:00:00"/>
    <n v="459.79999999999995"/>
    <x v="1"/>
    <x v="5"/>
  </r>
  <r>
    <s v="FLUJO"/>
    <n v="20608562720"/>
    <s v="AGROINDUSTRIAL AGK TRADING SOCIEDAD ANONIMA CERRADA"/>
    <s v="202508, 202507, 202506, 202505, 202504, 202503, 202502"/>
    <d v="2025-10-13T00:00:00"/>
    <n v="1737.66"/>
    <x v="1"/>
    <x v="5"/>
  </r>
  <r>
    <s v="FLUJO"/>
    <n v="20610289887"/>
    <s v="ACTION MEDIC S.A.C."/>
    <s v="202508"/>
    <d v="2025-10-13T00:00:00"/>
    <n v="402.66999999999996"/>
    <x v="1"/>
    <x v="5"/>
  </r>
  <r>
    <s v="FLUJO"/>
    <n v="20611941375"/>
    <s v="ADVICE Y  MANAGEMENT IN CONSULTANCY E.I.R.L."/>
    <s v="202508, 202507, 202506, 202505, 202504, 202503"/>
    <d v="2025-10-13T00:00:00"/>
    <n v="796.96"/>
    <x v="1"/>
    <x v="5"/>
  </r>
  <r>
    <s v="FLUJO"/>
    <n v="20613337955"/>
    <s v="infinity co Beauty salon sac"/>
    <s v="202508"/>
    <d v="2025-10-13T00:00:00"/>
    <n v="287.38"/>
    <x v="1"/>
    <x v="5"/>
  </r>
  <r>
    <s v="FLUJO"/>
    <n v="20614312166"/>
    <s v="CONSORCIO PAVIMENTADOR DEL NORTE"/>
    <s v="202508"/>
    <d v="2025-10-13T00:00:00"/>
    <n v="584.52"/>
    <x v="1"/>
    <x v="5"/>
  </r>
  <r>
    <s v="FLUJO"/>
    <n v="20603316119"/>
    <s v="MSM GENERACION DE DEMANDA S.A.C."/>
    <s v="202507, 202508"/>
    <d v="2025-10-13T00:00:00"/>
    <n v="1306.6599999999999"/>
    <x v="1"/>
    <x v="5"/>
  </r>
  <r>
    <s v="FLUJO"/>
    <n v="20556100617"/>
    <s v="EMPRESA DE TRANSPORTE MULTISERVICIOS J.P. RACING S.A.C."/>
    <s v="202506, 202507"/>
    <d v="2025-10-13T00:00:00"/>
    <n v="606.90000000000009"/>
    <x v="1"/>
    <x v="5"/>
  </r>
  <r>
    <s v="FLUJO"/>
    <n v="20612208892"/>
    <s v="CORPORACION AMBIOR E.I.R.L."/>
    <s v="202506, 202508"/>
    <d v="2025-10-13T00:00:00"/>
    <n v="464.8"/>
    <x v="1"/>
    <x v="5"/>
  </r>
  <r>
    <s v="REAL TOTAL"/>
    <n v="20462256940"/>
    <s v="ASYM INDUSTRIAL S.A.C."/>
    <s v="202503, 202502"/>
    <d v="2025-10-13T00:00:00"/>
    <n v="2368"/>
    <x v="1"/>
    <x v="5"/>
  </r>
  <r>
    <s v="REAL TOTAL"/>
    <n v="20609241820"/>
    <s v="W VIAL SRL"/>
    <s v="202404"/>
    <d v="2025-10-13T00:00:00"/>
    <n v="416.28"/>
    <x v="1"/>
    <x v="5"/>
  </r>
  <r>
    <s v="REAL TOTAL"/>
    <n v="20107494848"/>
    <s v="ADMINISTRACION DE SERVICIOS MEDICOS SA"/>
    <s v="200812"/>
    <d v="2025-10-13T00:00:00"/>
    <n v="80.569999999999993"/>
    <x v="1"/>
    <x v="5"/>
  </r>
  <r>
    <s v="REDIRECCIONAMIENTO"/>
    <n v="20519499780"/>
    <s v=" COPY FAST TECH S.A.C."/>
    <s v="200908, 200909, 200911, 200912, 201001, 201002, 201003, 201005, 201006, 201007, 201008, 201009, 201011, 201012"/>
    <d v="2025-10-13T00:00:00"/>
    <n v="4455.71"/>
    <x v="1"/>
    <x v="5"/>
  </r>
  <r>
    <s v="FLUJO"/>
    <n v="10104266067"/>
    <s v="HUGO DAVID CALDAS VIA"/>
    <s v="202508, 202507, 202506, 202505, 202504, 202503, 202502"/>
    <d v="2025-10-14T00:00:00"/>
    <n v="1685.08"/>
    <x v="1"/>
    <x v="6"/>
  </r>
  <r>
    <s v="FLUJO"/>
    <n v="10306553297"/>
    <s v="MAGNOLIA ROSARIO SERRANO ABARCA"/>
    <s v="202508, 202507, 202506, 202505, 202504, 202503"/>
    <d v="2025-10-14T00:00:00"/>
    <n v="797.34000000000015"/>
    <x v="1"/>
    <x v="6"/>
  </r>
  <r>
    <s v="FLUJO"/>
    <n v="10417328357"/>
    <s v="PAUCAR YALAN JANETH VIRGINIA"/>
    <s v="202508, 202507"/>
    <d v="2025-10-14T00:00:00"/>
    <n v="366.41"/>
    <x v="1"/>
    <x v="6"/>
  </r>
  <r>
    <s v="FLUJO"/>
    <n v="20498014594"/>
    <s v="HARDWARE AND BUSINESS"/>
    <s v="202508"/>
    <d v="2025-10-14T00:00:00"/>
    <n v="345.19000000000005"/>
    <x v="1"/>
    <x v="6"/>
  </r>
  <r>
    <s v="FLUJO"/>
    <n v="20510017880"/>
    <s v="EMPRESA DE TRANSPORTES PICKMAN SRL"/>
    <s v="202508, 202507"/>
    <d v="2025-10-14T00:00:00"/>
    <n v="415.87"/>
    <x v="1"/>
    <x v="6"/>
  </r>
  <r>
    <s v="FLUJO"/>
    <n v="20522270629"/>
    <s v="MAIDO PERU S.A.C."/>
    <s v="202508, 202507, 202506, 202505"/>
    <d v="2025-10-14T00:00:00"/>
    <n v="526.90000000000009"/>
    <x v="1"/>
    <x v="6"/>
  </r>
  <r>
    <s v="FLUJO"/>
    <n v="20557295730"/>
    <s v="VIGIZA CARGO S A C"/>
    <s v="202508"/>
    <d v="2025-10-14T00:00:00"/>
    <n v="260.04000000000002"/>
    <x v="1"/>
    <x v="6"/>
  </r>
  <r>
    <s v="FLUJO"/>
    <n v="20602260179"/>
    <s v="LABORATORIO CLINICO RSC SAC."/>
    <s v="202508"/>
    <d v="2025-10-14T00:00:00"/>
    <n v="244.38"/>
    <x v="1"/>
    <x v="6"/>
  </r>
  <r>
    <s v="FLUJO"/>
    <n v="20602360670"/>
    <s v="HEALTHY CHOCOLATE S.A.C."/>
    <s v="202508, 202507"/>
    <d v="2025-10-14T00:00:00"/>
    <n v="261.08000000000004"/>
    <x v="1"/>
    <x v="6"/>
  </r>
  <r>
    <s v="FLUJO"/>
    <n v="20605042652"/>
    <s v="CHILIA REPRESENTACIONES ESPINOZA E.I.R.L."/>
    <s v="202508, 202507, 202506"/>
    <d v="2025-10-14T00:00:00"/>
    <n v="665"/>
    <x v="1"/>
    <x v="6"/>
  </r>
  <r>
    <s v="FLUJO"/>
    <n v="20606523778"/>
    <s v="COLEGIO PRIVADO PABLO NERUDA EIRL"/>
    <s v="202508, 202507"/>
    <d v="2025-10-14T00:00:00"/>
    <n v="261.08000000000004"/>
    <x v="1"/>
    <x v="6"/>
  </r>
  <r>
    <s v="FLUJO"/>
    <n v="20607411027"/>
    <s v="LAUSTIN S.A.C."/>
    <s v="202508"/>
    <d v="2025-10-14T00:00:00"/>
    <n v="460.26"/>
    <x v="1"/>
    <x v="6"/>
  </r>
  <r>
    <s v="FLUJO"/>
    <n v="20607589195"/>
    <s v="ESENCIAL ARQUITECTO S.A.C"/>
    <s v="202508"/>
    <d v="2025-10-14T00:00:00"/>
    <n v="329.43"/>
    <x v="1"/>
    <x v="6"/>
  </r>
  <r>
    <s v="FLUJO"/>
    <n v="20609346907"/>
    <s v="MILAGROS TE ASESORA E.I.R.L."/>
    <s v="202508"/>
    <d v="2025-10-14T00:00:00"/>
    <n v="230.52"/>
    <x v="1"/>
    <x v="6"/>
  </r>
  <r>
    <s v="FLUJO"/>
    <n v="20611814446"/>
    <s v="COMPAÃ‘IA DE ALIMENTOS JIMENEZ E.I.R.L"/>
    <s v="202508, 202507, 202506"/>
    <d v="2025-10-14T00:00:00"/>
    <n v="786.81000000000017"/>
    <x v="1"/>
    <x v="6"/>
  </r>
  <r>
    <s v="FLUJO"/>
    <n v="20613483358"/>
    <s v="CONSTRUCMARC EIRL"/>
    <s v="202508"/>
    <d v="2025-10-14T00:00:00"/>
    <n v="232.84"/>
    <x v="1"/>
    <x v="6"/>
  </r>
  <r>
    <s v="FLUJO"/>
    <n v="20608786342"/>
    <s v="YSELMIX S.A.C."/>
    <s v="202507, 202508, 202506"/>
    <d v="2025-10-14T00:00:00"/>
    <n v="3226.45"/>
    <x v="1"/>
    <x v="6"/>
  </r>
  <r>
    <s v="FLUJO"/>
    <n v="20606480513"/>
    <s v="MERCELAB FARMA S.A.C."/>
    <s v="202506, 202505"/>
    <d v="2025-10-14T00:00:00"/>
    <n v="282.28999999999996"/>
    <x v="1"/>
    <x v="6"/>
  </r>
  <r>
    <s v="FLUJO"/>
    <n v="20609540754"/>
    <s v="TIPROC TECNOLOGIA Y PROCESOS E.I.R.L."/>
    <s v="202506"/>
    <d v="2025-10-14T00:00:00"/>
    <n v="264.67"/>
    <x v="1"/>
    <x v="6"/>
  </r>
  <r>
    <s v="PRESUNTA"/>
    <n v="20481285306"/>
    <s v="GLOBAL TRANS SAC"/>
    <s v="202508"/>
    <d v="2025-10-14T00:00:00"/>
    <n v="393.77000000000004"/>
    <x v="1"/>
    <x v="6"/>
  </r>
  <r>
    <s v="REAL TOTAL"/>
    <n v="20601071232"/>
    <s v="NANOTECHNOLOGY SAC"/>
    <s v="202412, 202411, 202410, 202212"/>
    <d v="2025-10-14T00:00:00"/>
    <n v="1220.1100000000001"/>
    <x v="1"/>
    <x v="6"/>
  </r>
  <r>
    <s v="REAL TOTAL"/>
    <n v="10724820226"/>
    <s v="FAYA ASCENCIO MARIA EUGENIA"/>
    <s v="202003"/>
    <d v="2025-10-14T00:00:00"/>
    <n v="9.32"/>
    <x v="1"/>
    <x v="6"/>
  </r>
  <r>
    <s v="REAL TOTAL"/>
    <n v="20267366412"/>
    <s v="K Y K TRADING EIRL"/>
    <s v="200201, 200111, 200110, 200109, 200108, 200106"/>
    <d v="2025-10-14T00:00:00"/>
    <n v="576.91000000000008"/>
    <x v="1"/>
    <x v="6"/>
  </r>
  <r>
    <s v="REDIRECCIONAMIENTO"/>
    <n v="20544273443"/>
    <s v="CORPORACION EBRO ANDES DE INVERSION S.A.C"/>
    <s v="201410, 201411, 201412, 201502, 201503, 201504, 201505, 201506, 201508, 201509, 201510, 201511, 201512"/>
    <d v="2025-10-14T00:00:00"/>
    <n v="2843.47"/>
    <x v="1"/>
    <x v="6"/>
  </r>
  <r>
    <s v="REDIRECCIONAMIENTO"/>
    <n v="20555887672"/>
    <s v="EL AUTENTICO SABOR TRUJILLANO S.A.C."/>
    <s v="201403, 201404, 201405, 201406, 201407, 201409, 201410, 201411, 201412, 201501, 201503, 201504, 201505, 201506, 201507, 201509, 201510, 201511, 201512, 201601"/>
    <d v="2025-10-14T00:00:00"/>
    <n v="4015.7500000000009"/>
    <x v="1"/>
    <x v="6"/>
  </r>
  <r>
    <s v="REDIRECCIONAMIENTO"/>
    <n v="20527601356"/>
    <s v="BELEN DISTRIBUCIONES EMPRESA INDIVIDUAL DE RESPONSABILIDAD LIMITADA"/>
    <s v="201010, 201011, 201101, 201102, 201103, 201104, 201105, 201107, 201108, 201109, 201110, 201111, 201201, 201202, 201203, 201204"/>
    <d v="2025-10-14T00:00:00"/>
    <n v="4709.9699999999993"/>
    <x v="1"/>
    <x v="6"/>
  </r>
  <r>
    <s v="FLUJO"/>
    <n v="10094187597"/>
    <s v="PEPE PAULINO CARPIO ALE"/>
    <s v="202508"/>
    <d v="2025-10-15T00:00:00"/>
    <n v="278.05"/>
    <x v="1"/>
    <x v="7"/>
  </r>
  <r>
    <s v="FLUJO"/>
    <n v="10295907024"/>
    <s v="Augusto Sebastian Quiroz Loza"/>
    <s v="202508"/>
    <d v="2025-10-15T00:00:00"/>
    <n v="316.39"/>
    <x v="1"/>
    <x v="7"/>
  </r>
  <r>
    <s v="FLUJO"/>
    <n v="10478151344"/>
    <s v="VELASQUEZ LORENZO JESUS ABEL"/>
    <s v="202508, 202507"/>
    <d v="2025-10-15T00:00:00"/>
    <n v="300.35000000000002"/>
    <x v="1"/>
    <x v="7"/>
  </r>
  <r>
    <s v="FLUJO"/>
    <n v="20440328726"/>
    <s v="VIMAPE SAC"/>
    <s v="202508"/>
    <d v="2025-10-15T00:00:00"/>
    <n v="260.04000000000002"/>
    <x v="1"/>
    <x v="7"/>
  </r>
  <r>
    <s v="FLUJO"/>
    <n v="20518875061"/>
    <s v="LUSATEX E.I.R.L."/>
    <s v="202508"/>
    <d v="2025-10-15T00:00:00"/>
    <n v="390.07"/>
    <x v="1"/>
    <x v="7"/>
  </r>
  <r>
    <s v="FLUJO"/>
    <n v="20536670158"/>
    <s v="LA ESTRELLA TRADING Y LOGISTICA SAC"/>
    <s v="202508"/>
    <d v="2025-10-15T00:00:00"/>
    <n v="488.21999999999997"/>
    <x v="1"/>
    <x v="7"/>
  </r>
  <r>
    <s v="FLUJO"/>
    <n v="20563643740"/>
    <s v="JUUNTA DE PROPIETARIOS EDIFICIO RESIDENCIAL BONAVISTA"/>
    <s v="202508, 202507"/>
    <d v="2025-10-15T00:00:00"/>
    <n v="1021.0999999999999"/>
    <x v="1"/>
    <x v="7"/>
  </r>
  <r>
    <s v="FLUJO"/>
    <n v="20565971744"/>
    <s v="PROYECTOS Y DISEÃ‘OS EN INGENIERIA PERU S.A.C."/>
    <s v="202508, 202507, 202506, 202505, 202504, 202503, 202502, 202501, 202412"/>
    <d v="2025-10-15T00:00:00"/>
    <n v="3160.29"/>
    <x v="1"/>
    <x v="7"/>
  </r>
  <r>
    <s v="FLUJO"/>
    <n v="20600535171"/>
    <s v="MULTISERVICIOS DENTAL MEDIC S.R.L"/>
    <s v="202508, 202507, 202506"/>
    <d v="2025-10-15T00:00:00"/>
    <n v="522.23"/>
    <x v="1"/>
    <x v="7"/>
  </r>
  <r>
    <s v="FLUJO"/>
    <n v="20601439051"/>
    <s v="LINGYANG SAC"/>
    <s v="202508"/>
    <d v="2025-10-15T00:00:00"/>
    <n v="260.04000000000002"/>
    <x v="1"/>
    <x v="7"/>
  </r>
  <r>
    <s v="FLUJO"/>
    <n v="20601497060"/>
    <s v="TRANSPORTES MINEROS ANDINOS S.A.C"/>
    <s v="202508, 202507"/>
    <d v="2025-10-15T00:00:00"/>
    <n v="261.08000000000004"/>
    <x v="1"/>
    <x v="7"/>
  </r>
  <r>
    <s v="FLUJO"/>
    <n v="20602121501"/>
    <s v="SERVIMAX Y PETROLEOS E.I.R.L."/>
    <s v="202508"/>
    <d v="2025-10-15T00:00:00"/>
    <n v="345.19000000000005"/>
    <x v="1"/>
    <x v="7"/>
  </r>
  <r>
    <s v="FLUJO"/>
    <n v="20602460712"/>
    <s v="COBERTURAS DEL NORTE SRL"/>
    <s v="202508"/>
    <d v="2025-10-15T00:00:00"/>
    <n v="366.32"/>
    <x v="1"/>
    <x v="7"/>
  </r>
  <r>
    <s v="FLUJO"/>
    <n v="20602550291"/>
    <s v="VITAL ALIMENTACION SAC"/>
    <s v="202508"/>
    <d v="2025-10-15T00:00:00"/>
    <n v="672.48"/>
    <x v="1"/>
    <x v="7"/>
  </r>
  <r>
    <s v="FLUJO"/>
    <n v="20603995938"/>
    <s v="RCA CONSULTORES Y ASESORES EMPRESARIALES SAC"/>
    <s v="202508, 202507"/>
    <d v="2025-10-15T00:00:00"/>
    <n v="261.08000000000004"/>
    <x v="1"/>
    <x v="7"/>
  </r>
  <r>
    <s v="FLUJO"/>
    <n v="20604512442"/>
    <s v="PROCESADORA TUEROS S.A.C"/>
    <s v="202508, 202507"/>
    <d v="2025-10-15T00:00:00"/>
    <n v="261.08000000000004"/>
    <x v="1"/>
    <x v="7"/>
  </r>
  <r>
    <s v="FLUJO"/>
    <n v="20605398228"/>
    <s v="MAREAL CORPORACION SOCIEDAD ANONIMA CERRADA"/>
    <s v="202508"/>
    <d v="2025-10-15T00:00:00"/>
    <n v="629.98"/>
    <x v="1"/>
    <x v="7"/>
  </r>
  <r>
    <s v="FLUJO"/>
    <n v="20609429497"/>
    <s v="PROCESADORA CENTRAL DE CHOCOLATES DEL PERU SAC"/>
    <s v="202508"/>
    <d v="2025-10-15T00:00:00"/>
    <n v="242.48"/>
    <x v="1"/>
    <x v="7"/>
  </r>
  <r>
    <s v="FLUJO"/>
    <n v="20612069787"/>
    <s v="HUAROCHIRI MEDIC E.I.R.L."/>
    <s v="202508, 202507, 202506"/>
    <d v="2025-10-15T00:00:00"/>
    <n v="840.09999999999991"/>
    <x v="1"/>
    <x v="7"/>
  </r>
  <r>
    <s v="FLUJO"/>
    <n v="20613086430"/>
    <s v="CONSORCIO NUEVA JERUSALEN 24"/>
    <s v="202508"/>
    <d v="2025-10-15T00:00:00"/>
    <n v="227.54000000000002"/>
    <x v="1"/>
    <x v="7"/>
  </r>
  <r>
    <s v="FLUJO"/>
    <n v="20613429302"/>
    <s v="MARSA MOTORS SAC"/>
    <s v="202508"/>
    <d v="2025-10-15T00:00:00"/>
    <n v="207.12"/>
    <x v="1"/>
    <x v="7"/>
  </r>
  <r>
    <s v="FLUJO"/>
    <n v="20613732897"/>
    <s v="SMART KIDS GLOBAL E.I.R.L."/>
    <s v="202508, 202507, 202506, 202505"/>
    <d v="2025-10-15T00:00:00"/>
    <n v="553.02"/>
    <x v="1"/>
    <x v="7"/>
  </r>
  <r>
    <s v="FLUJO"/>
    <n v="20512535748"/>
    <s v="CORPORACION PERUANA GLOBAL SAC"/>
    <s v="202507"/>
    <d v="2025-10-15T00:00:00"/>
    <n v="533.48"/>
    <x v="1"/>
    <x v="7"/>
  </r>
  <r>
    <s v="FLUJO"/>
    <n v="20539886283"/>
    <s v="INVERSIONES Y NEGOCIOS BRICK S.A.C."/>
    <s v="202507"/>
    <d v="2025-10-15T00:00:00"/>
    <n v="1264.3499999999999"/>
    <x v="1"/>
    <x v="7"/>
  </r>
  <r>
    <s v="FLUJO"/>
    <n v="20607643416"/>
    <s v="CONSTRUCTORA  INMOBILIARIA NAVARRO E.I.R.L."/>
    <s v="202507"/>
    <d v="2025-10-15T00:00:00"/>
    <n v="231.95"/>
    <x v="1"/>
    <x v="7"/>
  </r>
  <r>
    <s v="FLUJO"/>
    <n v="20614016974"/>
    <s v="SERVICIOS GENERALES DE REFRIGERACIÃ“N INDUSTRIAL SAC"/>
    <s v="202507"/>
    <d v="2025-10-15T00:00:00"/>
    <n v="514.63"/>
    <x v="1"/>
    <x v="7"/>
  </r>
  <r>
    <s v="FLUJO"/>
    <n v="20608853830"/>
    <s v="ELECSERTING S.R.L."/>
    <s v="202505, 202504, 202503, 202508, 202507, 202506"/>
    <d v="2025-10-15T00:00:00"/>
    <n v="797.47000000000014"/>
    <x v="1"/>
    <x v="7"/>
  </r>
  <r>
    <s v="FLUJO"/>
    <n v="20611476559"/>
    <s v="PANTERA FITNESS GROUP S.A.C."/>
    <s v="202505, 202506, 202507, 202508"/>
    <d v="2025-10-15T00:00:00"/>
    <n v="1039.29"/>
    <x v="1"/>
    <x v="7"/>
  </r>
  <r>
    <s v="PRESUNTA"/>
    <n v="20516378876"/>
    <s v="ALGARROBOS ORGANICOS DEL PERU SAC"/>
    <s v="202508"/>
    <d v="2025-10-15T00:00:00"/>
    <n v="3477.41"/>
    <x v="1"/>
    <x v="7"/>
  </r>
  <r>
    <s v="PRESUNTA"/>
    <n v="20604712310"/>
    <s v="SOLUCIONES DENTO GENERALES S.A.C."/>
    <s v="202508"/>
    <d v="2025-10-15T00:00:00"/>
    <n v="170.42000000000002"/>
    <x v="1"/>
    <x v="7"/>
  </r>
  <r>
    <s v="PRESUNTA"/>
    <n v="20606861801"/>
    <s v="FLORERIAS FLORES Y DETALLES S.A.C."/>
    <s v="202504"/>
    <d v="2025-10-15T00:00:00"/>
    <n v="134.63999999999999"/>
    <x v="1"/>
    <x v="7"/>
  </r>
  <r>
    <s v="REAL TOTAL"/>
    <n v="20613645897"/>
    <s v="CONSORCIO VIAL BRM"/>
    <s v="202503"/>
    <d v="2025-10-15T00:00:00"/>
    <n v="1120.7"/>
    <x v="1"/>
    <x v="7"/>
  </r>
  <r>
    <s v="REAL TOTAL"/>
    <n v="20601789087"/>
    <s v="REPRESENTACIONES QBAS LU S.A.C."/>
    <s v="202104, 202103, 202102, 202101, 202012"/>
    <d v="2025-10-15T00:00:00"/>
    <n v="829.07999999999993"/>
    <x v="1"/>
    <x v="7"/>
  </r>
  <r>
    <s v="REAL TOTAL"/>
    <n v="20455594911"/>
    <s v="segurinport srl"/>
    <s v="202003, 202002"/>
    <d v="2025-10-15T00:00:00"/>
    <n v="347.86"/>
    <x v="1"/>
    <x v="7"/>
  </r>
  <r>
    <s v="REAL TOTAL"/>
    <n v="10211417779"/>
    <s v="DELFA AMALIA VALERA DAZA"/>
    <s v="201903"/>
    <d v="2025-10-15T00:00:00"/>
    <n v="209.46"/>
    <x v="1"/>
    <x v="7"/>
  </r>
  <r>
    <s v="REAL TOTAL"/>
    <n v="20100574773"/>
    <s v="America International Tours SA"/>
    <s v="201807, 201806, 201805"/>
    <d v="2025-10-15T00:00:00"/>
    <n v="860.64"/>
    <x v="1"/>
    <x v="7"/>
  </r>
  <r>
    <s v="REAL TOTAL"/>
    <n v="20481171807"/>
    <s v="INMOBILIARIA CASAS Y CONSTRUCCIONES SAC"/>
    <s v="201206"/>
    <d v="2025-10-15T00:00:00"/>
    <n v="846.1"/>
    <x v="1"/>
    <x v="7"/>
  </r>
  <r>
    <s v="REAL TOTAL"/>
    <n v="20493824563"/>
    <s v="MyL DISTRIBUIDORA EIRL"/>
    <s v="201008"/>
    <d v="2025-10-15T00:00:00"/>
    <n v="48.97"/>
    <x v="1"/>
    <x v="7"/>
  </r>
  <r>
    <s v="REAL TOTAL"/>
    <n v="20505434804"/>
    <s v="CEVA SALUD ANIMAL SAC"/>
    <s v="200912"/>
    <d v="2025-10-15T00:00:00"/>
    <n v="233.22"/>
    <x v="1"/>
    <x v="7"/>
  </r>
  <r>
    <s v="REDIRECCIONAMIENTO"/>
    <n v="20534144602"/>
    <s v="RSC MULTISERVICIOS S.A.C."/>
    <s v="201408, 201409, 201407"/>
    <d v="2025-10-15T00:00:00"/>
    <n v="1987.99"/>
    <x v="1"/>
    <x v="7"/>
  </r>
  <r>
    <s v="FLUJO"/>
    <n v="10107087881"/>
    <s v="GONZALES DIAZ CAROLA BEATRIZ"/>
    <s v="202508, 202507"/>
    <d v="2025-10-16T00:00:00"/>
    <n v="261.21000000000004"/>
    <x v="1"/>
    <x v="8"/>
  </r>
  <r>
    <s v="FLUJO"/>
    <n v="10475062197"/>
    <s v="CRISTHIAN DAVID LEYVA ZULOETA"/>
    <s v="202508, 202507, 202506, 202505, 202504, 202503, 202502"/>
    <d v="2025-10-16T00:00:00"/>
    <n v="934.82"/>
    <x v="1"/>
    <x v="8"/>
  </r>
  <r>
    <s v="FLUJO"/>
    <n v="20450604381"/>
    <s v="CORPORACION LUOSEM CONSULTORES Y EJECUTORES S.R.L."/>
    <s v="202508, 202507, 202506, 202505"/>
    <d v="2025-10-16T00:00:00"/>
    <n v="480.5"/>
    <x v="1"/>
    <x v="8"/>
  </r>
  <r>
    <s v="FLUJO"/>
    <n v="20503405629"/>
    <s v="INVERSIONES AMPSOES SA"/>
    <s v="202508, 202507, 202506"/>
    <d v="2025-10-16T00:00:00"/>
    <n v="557.41"/>
    <x v="1"/>
    <x v="8"/>
  </r>
  <r>
    <s v="FLUJO"/>
    <n v="20539134150"/>
    <s v="ENVASES SAN NICOLAS SAC"/>
    <s v="202508"/>
    <d v="2025-10-16T00:00:00"/>
    <n v="401.87"/>
    <x v="1"/>
    <x v="8"/>
  </r>
  <r>
    <s v="FLUJO"/>
    <n v="20542850940"/>
    <s v="M &amp; Y SERVICONT SCRL"/>
    <s v="202508, 202507, 202506"/>
    <d v="2025-10-16T00:00:00"/>
    <n v="658.51"/>
    <x v="1"/>
    <x v="8"/>
  </r>
  <r>
    <s v="FLUJO"/>
    <n v="20600495331"/>
    <s v="M Y M MEDICAL SAC"/>
    <s v="202508, 202507, 202506, 202505, 202504"/>
    <d v="2025-10-16T00:00:00"/>
    <n v="756.12"/>
    <x v="1"/>
    <x v="8"/>
  </r>
  <r>
    <s v="FLUJO"/>
    <n v="20601176646"/>
    <s v="GRUPO SQI CONSTRUCTORA E INMOBILIARIA SAC"/>
    <s v="202508"/>
    <d v="2025-10-16T00:00:00"/>
    <n v="530.03"/>
    <x v="1"/>
    <x v="8"/>
  </r>
  <r>
    <s v="FLUJO"/>
    <n v="20601640156"/>
    <s v="ACABADOS GRANIRUMI S.A.C."/>
    <s v="202508, 202507"/>
    <d v="2025-10-16T00:00:00"/>
    <n v="261.21000000000004"/>
    <x v="1"/>
    <x v="8"/>
  </r>
  <r>
    <s v="FLUJO"/>
    <n v="20601820049"/>
    <s v="COPELSUR SAC"/>
    <s v="202508, 202507, 202506, 202505, 202504, 202503"/>
    <d v="2025-10-16T00:00:00"/>
    <n v="2235.02"/>
    <x v="1"/>
    <x v="8"/>
  </r>
  <r>
    <s v="FLUJO"/>
    <n v="20602241069"/>
    <s v="GAES REPRESENTACIONES E.I.R.L."/>
    <s v="202508"/>
    <d v="2025-10-16T00:00:00"/>
    <n v="923.69"/>
    <x v="1"/>
    <x v="8"/>
  </r>
  <r>
    <s v="FLUJO"/>
    <n v="20602411070"/>
    <s v="FIBER BUSINESS SAC"/>
    <s v="202508"/>
    <d v="2025-10-16T00:00:00"/>
    <n v="287.65999999999997"/>
    <x v="1"/>
    <x v="8"/>
  </r>
  <r>
    <s v="FLUJO"/>
    <n v="20602780890"/>
    <s v="MERCALIZ CORPORATION SAC"/>
    <s v="202508, 202507, 202506, 202505"/>
    <d v="2025-10-16T00:00:00"/>
    <n v="2332.56"/>
    <x v="1"/>
    <x v="8"/>
  </r>
  <r>
    <s v="FLUJO"/>
    <n v="20606092050"/>
    <s v="FUJI ELEVATOR TECHNOLOGY E.I.R.L."/>
    <s v="202508"/>
    <d v="2025-10-16T00:00:00"/>
    <n v="289.15999999999997"/>
    <x v="1"/>
    <x v="8"/>
  </r>
  <r>
    <s v="FLUJO"/>
    <n v="20606134577"/>
    <s v="CORPORACION EOSUR E.I.R.L."/>
    <s v="202508, 202507"/>
    <d v="2025-10-16T00:00:00"/>
    <n v="693.45"/>
    <x v="1"/>
    <x v="8"/>
  </r>
  <r>
    <s v="FLUJO"/>
    <n v="20610213091"/>
    <s v="MERCALIZ INVERSIONES S.A.C"/>
    <s v="202508, 202507, 202506, 202505"/>
    <d v="2025-10-16T00:00:00"/>
    <n v="2332.56"/>
    <x v="1"/>
    <x v="8"/>
  </r>
  <r>
    <s v="FLUJO"/>
    <n v="20613275747"/>
    <s v="ALTARIA INFRAESTRUCTURA S.A.C."/>
    <s v="202508"/>
    <d v="2025-10-16T00:00:00"/>
    <n v="417.69"/>
    <x v="1"/>
    <x v="8"/>
  </r>
  <r>
    <s v="FLUJO"/>
    <n v="20613618733"/>
    <s v="CONSORCIO PUENTE MIRAFLORES"/>
    <s v="202508, 202507, 202506"/>
    <d v="2025-10-16T00:00:00"/>
    <n v="694.43999999999994"/>
    <x v="1"/>
    <x v="8"/>
  </r>
  <r>
    <s v="FLUJO"/>
    <n v="20614396173"/>
    <s v="LOGISTICA Y TRANSPORTE MV E.I.R.L."/>
    <s v="202508"/>
    <d v="2025-10-16T00:00:00"/>
    <n v="316.43"/>
    <x v="1"/>
    <x v="8"/>
  </r>
  <r>
    <s v="FLUJO"/>
    <n v="20544680677"/>
    <s v="PLANET CONSULTORES EIRL"/>
    <s v="202507"/>
    <d v="2025-10-16T00:00:00"/>
    <n v="479.44"/>
    <x v="1"/>
    <x v="8"/>
  </r>
  <r>
    <s v="FLUJO"/>
    <n v="20606552191"/>
    <s v="DISTRIBUIDORA DEL PACIFICO DEL PERU SAC"/>
    <s v="202507, 202506, 202505, 202508"/>
    <d v="2025-10-16T00:00:00"/>
    <n v="639.43000000000006"/>
    <x v="1"/>
    <x v="8"/>
  </r>
  <r>
    <s v="FLUJO"/>
    <n v="20607453757"/>
    <s v="CONSTRUCTORA  CONSULTORIA CUEVA S.A.C."/>
    <s v="202507, 202508"/>
    <d v="2025-10-16T00:00:00"/>
    <n v="462.76"/>
    <x v="1"/>
    <x v="8"/>
  </r>
  <r>
    <s v="FLUJO"/>
    <n v="20608066315"/>
    <s v="ACC Y TECNOLOGIA S.A.C"/>
    <s v="202507, 202504, 202503, 202502, 202501, 202412, 202410, 202409, 202408, 202407, 202406, 202405, 202404, 202403"/>
    <d v="2025-10-16T00:00:00"/>
    <n v="6216.8599999999988"/>
    <x v="1"/>
    <x v="8"/>
  </r>
  <r>
    <s v="FLUJO"/>
    <n v="20481599742"/>
    <s v="CONSTRUCCIONES Y NEGOCIOS DEL NORTE S.A.C."/>
    <s v="202506"/>
    <d v="2025-10-16T00:00:00"/>
    <n v="169.82"/>
    <x v="1"/>
    <x v="8"/>
  </r>
  <r>
    <s v="FLUJO"/>
    <n v="20606424125"/>
    <s v="LMT INVERSIONES S.A.C."/>
    <s v="202506, 202505, 202504, 202508, 202507"/>
    <d v="2025-10-16T00:00:00"/>
    <n v="662.18000000000006"/>
    <x v="1"/>
    <x v="8"/>
  </r>
  <r>
    <s v="FLUJO"/>
    <n v="20601628687"/>
    <s v="EXPORTABLES SAC"/>
    <s v="202505, 202504, 202503"/>
    <d v="2025-10-16T00:00:00"/>
    <n v="1999.4099999999999"/>
    <x v="1"/>
    <x v="8"/>
  </r>
  <r>
    <s v="FLUJO"/>
    <n v="10731080441"/>
    <s v="jean carlo brian dominguez del castillo"/>
    <s v="202405"/>
    <d v="2025-10-16T00:00:00"/>
    <n v="137.68"/>
    <x v="1"/>
    <x v="8"/>
  </r>
  <r>
    <s v="PRESUNTA"/>
    <n v="20481851182"/>
    <s v="transportes de agregados romero srl"/>
    <s v="202508, 202507"/>
    <d v="2025-10-16T00:00:00"/>
    <n v="369.84000000000003"/>
    <x v="1"/>
    <x v="8"/>
  </r>
  <r>
    <s v="PRESUNTA"/>
    <n v="20611468823"/>
    <s v="OPERCOM LOGISTICA GLOBAL E.I.R.L."/>
    <s v="202508, 202507, 202506"/>
    <d v="2025-10-16T00:00:00"/>
    <n v="393.54000000000008"/>
    <x v="1"/>
    <x v="8"/>
  </r>
  <r>
    <s v="PRESUNTA"/>
    <n v="20601965756"/>
    <s v="CORPORACION FREDERICK W TAYLOR SAC"/>
    <s v="202505, 202504"/>
    <d v="2025-10-16T00:00:00"/>
    <n v="574.28"/>
    <x v="1"/>
    <x v="8"/>
  </r>
  <r>
    <s v="REAL TOTAL"/>
    <n v="20601293430"/>
    <s v="NEGOCIOS WILLY LLANOS SAC"/>
    <s v="202503"/>
    <d v="2025-10-16T00:00:00"/>
    <n v="164.67"/>
    <x v="1"/>
    <x v="8"/>
  </r>
  <r>
    <s v="REAL TOTAL"/>
    <n v="10092345594"/>
    <s v="ERIQUE GUTIERREZ CARLOS JULIO"/>
    <s v="202412, 202304"/>
    <d v="2025-10-16T00:00:00"/>
    <n v="284"/>
    <x v="1"/>
    <x v="8"/>
  </r>
  <r>
    <s v="REAL TOTAL"/>
    <n v="20491191270"/>
    <s v="TRANSPORTES AMAYCCASA EIRL"/>
    <s v="202007"/>
    <d v="2025-10-16T00:00:00"/>
    <n v="363.43"/>
    <x v="1"/>
    <x v="8"/>
  </r>
  <r>
    <s v="REDIRECCIONAMIENTO"/>
    <n v="20477349243"/>
    <s v="FORESTALES DAXSA S.A.C."/>
    <s v="201201, 201202, 201203, 201204, 201206, 201207, 201208, 201209, 201210, 201212, 201301, 201302, 201303, 201304, 201305"/>
    <d v="2025-10-16T00:00:00"/>
    <n v="19529.679999999993"/>
    <x v="1"/>
    <x v="8"/>
  </r>
  <r>
    <s v="REDIRECCIONAMIENTO"/>
    <n v="20477349243"/>
    <s v="FORESTALES DAXSA E.I.R.L."/>
    <m/>
    <d v="2025-10-16T00:00:00"/>
    <n v="438.40499999999997"/>
    <x v="2"/>
    <x v="8"/>
  </r>
  <r>
    <s v="REDIRECCIONAMIENTO"/>
    <n v="20477349243"/>
    <s v="FORESTALES DAXSA E.I.R.L."/>
    <m/>
    <d v="2025-10-16T00:00:00"/>
    <n v="438.40499999999997"/>
    <x v="2"/>
    <x v="8"/>
  </r>
  <r>
    <s v="REDIRECCIONAMIENTO"/>
    <n v="20477349243"/>
    <s v="FORESTALES DAXSA E.I.R.L."/>
    <m/>
    <d v="2025-10-16T00:00:00"/>
    <n v="432.27499999999998"/>
    <x v="2"/>
    <x v="8"/>
  </r>
  <r>
    <s v="REDIRECCIONAMIENTO"/>
    <n v="20477349243"/>
    <s v="FORESTALES DAXSA E.I.R.L."/>
    <m/>
    <d v="2025-10-16T00:00:00"/>
    <n v="432.27499999999998"/>
    <x v="2"/>
    <x v="8"/>
  </r>
  <r>
    <s v="REDIRECCIONAMIENTO"/>
    <n v="20477349243"/>
    <s v="FORESTALES DAXSA E.I.R.L."/>
    <m/>
    <d v="2025-10-16T00:00:00"/>
    <n v="425.88499999999999"/>
    <x v="2"/>
    <x v="8"/>
  </r>
  <r>
    <s v="REDIRECCIONAMIENTO"/>
    <n v="20477349243"/>
    <s v="FORESTALES DAXSA E.I.R.L."/>
    <m/>
    <d v="2025-10-16T00:00:00"/>
    <n v="425.88499999999999"/>
    <x v="2"/>
    <x v="8"/>
  </r>
  <r>
    <s v="REDIRECCIONAMIENTO"/>
    <n v="20477349243"/>
    <s v="FORESTALES DAXSA E.I.R.L."/>
    <m/>
    <d v="2025-10-16T00:00:00"/>
    <n v="419.89"/>
    <x v="2"/>
    <x v="8"/>
  </r>
  <r>
    <s v="REDIRECCIONAMIENTO"/>
    <n v="20477349243"/>
    <s v="FORESTALES DAXSA E.I.R.L."/>
    <m/>
    <d v="2025-10-16T00:00:00"/>
    <n v="419.89"/>
    <x v="2"/>
    <x v="8"/>
  </r>
  <r>
    <s v="REDIRECCIONAMIENTO"/>
    <n v="20477349243"/>
    <s v="FORESTALES DAXSA E.I.R.L."/>
    <m/>
    <d v="2025-10-16T00:00:00"/>
    <n v="407.76"/>
    <x v="2"/>
    <x v="8"/>
  </r>
  <r>
    <s v="REDIRECCIONAMIENTO"/>
    <n v="20477349243"/>
    <s v="FORESTALES DAXSA E.I.R.L."/>
    <m/>
    <d v="2025-10-16T00:00:00"/>
    <n v="401.76"/>
    <x v="2"/>
    <x v="8"/>
  </r>
  <r>
    <s v="REDIRECCIONAMIENTO"/>
    <n v="20477349243"/>
    <s v="FORESTALES DAXSA E.I.R.L."/>
    <m/>
    <d v="2025-10-16T00:00:00"/>
    <n v="401.76"/>
    <x v="2"/>
    <x v="8"/>
  </r>
  <r>
    <s v="REDIRECCIONAMIENTO"/>
    <n v="20477349243"/>
    <s v="FORESTALES DAXSA E.I.R.L."/>
    <m/>
    <d v="2025-10-16T00:00:00"/>
    <n v="395.76499999999999"/>
    <x v="2"/>
    <x v="8"/>
  </r>
  <r>
    <s v="REDIRECCIONAMIENTO"/>
    <n v="20477349243"/>
    <s v="FORESTALES DAXSA E.I.R.L."/>
    <m/>
    <d v="2025-10-16T00:00:00"/>
    <n v="395.76499999999999"/>
    <x v="2"/>
    <x v="8"/>
  </r>
  <r>
    <s v="REDIRECCIONAMIENTO"/>
    <n v="20477349243"/>
    <s v="FORESTALES DAXSA E.I.R.L."/>
    <m/>
    <d v="2025-10-16T00:00:00"/>
    <n v="390.15499999999997"/>
    <x v="2"/>
    <x v="8"/>
  </r>
  <r>
    <s v="REDIRECCIONAMIENTO"/>
    <n v="20477349243"/>
    <s v="FORESTALES DAXSA E.I.R.L."/>
    <m/>
    <d v="2025-10-16T00:00:00"/>
    <n v="390.15499999999997"/>
    <x v="2"/>
    <x v="8"/>
  </r>
  <r>
    <s v="REDIRECCIONAMIENTO"/>
    <n v="20477349243"/>
    <s v="FORESTALES DAXSA E.I.R.L."/>
    <m/>
    <d v="2025-10-16T00:00:00"/>
    <n v="379.995"/>
    <x v="2"/>
    <x v="8"/>
  </r>
  <r>
    <s v="REDIRECCIONAMIENTO"/>
    <n v="20477349243"/>
    <s v="FORESTALES DAXSA E.I.R.L."/>
    <m/>
    <d v="2025-10-16T00:00:00"/>
    <n v="379.995"/>
    <x v="2"/>
    <x v="8"/>
  </r>
  <r>
    <s v="REDIRECCIONAMIENTO"/>
    <n v="20477349243"/>
    <s v="FORESTALES DAXSA E.I.R.L."/>
    <m/>
    <d v="2025-10-16T00:00:00"/>
    <n v="738.08"/>
    <x v="2"/>
    <x v="8"/>
  </r>
  <r>
    <s v="REDIRECCIONAMIENTO"/>
    <n v="20477349243"/>
    <s v="FORESTALES DAXSA E.I.R.L."/>
    <m/>
    <d v="2025-10-16T00:00:00"/>
    <n v="363.78"/>
    <x v="2"/>
    <x v="8"/>
  </r>
  <r>
    <s v="REDIRECCIONAMIENTO"/>
    <n v="20477349243"/>
    <s v="FORESTALES DAXSA E.I.R.L."/>
    <m/>
    <d v="2025-10-16T00:00:00"/>
    <n v="363.78"/>
    <x v="2"/>
    <x v="8"/>
  </r>
  <r>
    <s v="REDIRECCIONAMIENTO"/>
    <n v="20477349243"/>
    <s v="FORESTALES DAXSA E.I.R.L."/>
    <m/>
    <d v="2025-10-16T00:00:00"/>
    <n v="359.005"/>
    <x v="2"/>
    <x v="8"/>
  </r>
  <r>
    <s v="REDIRECCIONAMIENTO"/>
    <n v="20477349243"/>
    <s v="FORESTALES DAXSA E.I.R.L."/>
    <m/>
    <d v="2025-10-16T00:00:00"/>
    <n v="359.005"/>
    <x v="2"/>
    <x v="8"/>
  </r>
  <r>
    <s v="REDIRECCIONAMIENTO"/>
    <n v="20477349243"/>
    <s v="FORESTALES DAXSA E.I.R.L."/>
    <m/>
    <d v="2025-10-16T00:00:00"/>
    <n v="353.72"/>
    <x v="2"/>
    <x v="8"/>
  </r>
  <r>
    <s v="REDIRECCIONAMIENTO"/>
    <n v="20477349243"/>
    <s v="FORESTALES DAXSA E.I.R.L."/>
    <m/>
    <d v="2025-10-16T00:00:00"/>
    <n v="353.72"/>
    <x v="2"/>
    <x v="8"/>
  </r>
  <r>
    <s v="REDIRECCIONAMIENTO"/>
    <n v="20477349243"/>
    <s v="FORESTALES DAXSA E.I.R.L."/>
    <m/>
    <d v="2025-10-16T00:00:00"/>
    <n v="348.56"/>
    <x v="2"/>
    <x v="8"/>
  </r>
  <r>
    <s v="REDIRECCIONAMIENTO"/>
    <n v="20477349243"/>
    <s v="FORESTALES DAXSA E.I.R.L."/>
    <m/>
    <d v="2025-10-16T00:00:00"/>
    <n v="348.56"/>
    <x v="2"/>
    <x v="8"/>
  </r>
  <r>
    <s v="REDIRECCIONAMIENTO"/>
    <n v="20477349243"/>
    <s v="FORESTALES DAXSA E.I.R.L."/>
    <m/>
    <d v="2025-10-16T00:00:00"/>
    <n v="343.53"/>
    <x v="2"/>
    <x v="8"/>
  </r>
  <r>
    <s v="FLUJO"/>
    <n v="10257347392"/>
    <s v="JACINTO PURIZACA MARTHA CRUZ"/>
    <s v="202508, 202507"/>
    <d v="2025-10-17T00:00:00"/>
    <n v="287.47000000000003"/>
    <x v="1"/>
    <x v="9"/>
  </r>
  <r>
    <s v="FLUJO"/>
    <n v="10433841391"/>
    <s v="MARIN DUEÃ‘AS MARIA ANGELICA"/>
    <s v="202508, 202507"/>
    <d v="2025-10-17T00:00:00"/>
    <n v="229.84"/>
    <x v="1"/>
    <x v="9"/>
  </r>
  <r>
    <s v="FLUJO"/>
    <n v="20456170502"/>
    <s v="EMPRESA CONSTRUCTORA CAMILA E.I.R.L."/>
    <s v="202508, 202507"/>
    <d v="2025-10-17T00:00:00"/>
    <n v="261.33000000000004"/>
    <x v="1"/>
    <x v="9"/>
  </r>
  <r>
    <s v="FLUJO"/>
    <n v="20495680968"/>
    <s v="CASTAÃ‘EDA Y CASTAÃ‘EDA EIRL"/>
    <s v="202508, 202507, 202506, 202505, 202504, 202503"/>
    <d v="2025-10-17T00:00:00"/>
    <n v="1631.6100000000001"/>
    <x v="1"/>
    <x v="9"/>
  </r>
  <r>
    <s v="FLUJO"/>
    <n v="20512458735"/>
    <s v="SERVICIOS ELECTROMEC INDUSTRIALES Y PROYECTOS EN GRAL EIRL"/>
    <s v="202508"/>
    <d v="2025-10-17T00:00:00"/>
    <n v="230.35999999999999"/>
    <x v="1"/>
    <x v="9"/>
  </r>
  <r>
    <s v="FLUJO"/>
    <n v="20522531368"/>
    <s v="IMPORTACIONES TAIZ SAC"/>
    <s v="202508"/>
    <d v="2025-10-17T00:00:00"/>
    <n v="300.96999999999997"/>
    <x v="1"/>
    <x v="9"/>
  </r>
  <r>
    <s v="FLUJO"/>
    <n v="20526339585"/>
    <s v="CONSTRUCTORA JDITH SAC"/>
    <s v="202508"/>
    <d v="2025-10-17T00:00:00"/>
    <n v="669.53"/>
    <x v="1"/>
    <x v="9"/>
  </r>
  <r>
    <s v="FLUJO"/>
    <n v="20532384673"/>
    <s v="MAS MOVIL SAC"/>
    <s v="202508, 202507"/>
    <d v="2025-10-17T00:00:00"/>
    <n v="1618.8600000000001"/>
    <x v="1"/>
    <x v="9"/>
  </r>
  <r>
    <s v="FLUJO"/>
    <n v="20550705550"/>
    <s v="PROVEEDORES Y SERVICIOS MINEROS PREMIUM EIRL"/>
    <s v="202508, 202507"/>
    <d v="2025-10-17T00:00:00"/>
    <n v="323.77"/>
    <x v="1"/>
    <x v="9"/>
  </r>
  <r>
    <s v="FLUJO"/>
    <n v="20552726546"/>
    <s v="ARQUIDENT PERU SAC"/>
    <s v="202508"/>
    <d v="2025-10-17T00:00:00"/>
    <n v="610.43999999999994"/>
    <x v="1"/>
    <x v="9"/>
  </r>
  <r>
    <s v="FLUJO"/>
    <n v="20601030102"/>
    <s v="PLASTIC LIFE  EIRL"/>
    <s v="202508, 202507, 202506"/>
    <d v="2025-10-17T00:00:00"/>
    <n v="393.79000000000008"/>
    <x v="1"/>
    <x v="9"/>
  </r>
  <r>
    <s v="FLUJO"/>
    <n v="20606060999"/>
    <s v="URCOPE LURIN SAC"/>
    <s v="202508, 202507, 202506"/>
    <d v="2025-10-17T00:00:00"/>
    <n v="696.99"/>
    <x v="1"/>
    <x v="9"/>
  </r>
  <r>
    <s v="FLUJO"/>
    <n v="20608882058"/>
    <s v="SERVICIOS JM CARGO E.I.R.L."/>
    <s v="202508"/>
    <d v="2025-10-17T00:00:00"/>
    <n v="345.53"/>
    <x v="1"/>
    <x v="9"/>
  </r>
  <r>
    <s v="FLUJO"/>
    <n v="20609235099"/>
    <s v="AIRES NUEVOS DEL PERU S.A.C."/>
    <s v="202508, 202507, 202506, 202505, 202504, 202503, 202502"/>
    <d v="2025-10-17T00:00:00"/>
    <n v="1655.26"/>
    <x v="1"/>
    <x v="9"/>
  </r>
  <r>
    <s v="FLUJO"/>
    <n v="20610273336"/>
    <s v="ECCA GROUP S.A.C."/>
    <s v="202508, 202507"/>
    <d v="2025-10-17T00:00:00"/>
    <n v="261.33000000000004"/>
    <x v="1"/>
    <x v="9"/>
  </r>
  <r>
    <s v="FLUJO"/>
    <n v="20611520221"/>
    <s v="PRIMEINDUSTRIES S.A.C."/>
    <s v="202508"/>
    <d v="2025-10-17T00:00:00"/>
    <n v="225.82000000000002"/>
    <x v="1"/>
    <x v="9"/>
  </r>
  <r>
    <s v="FLUJO"/>
    <n v="10410184384"/>
    <s v="MORALES ALAYO SANDRA INGRID"/>
    <s v="202507"/>
    <d v="2025-10-17T00:00:00"/>
    <n v="131.18"/>
    <x v="1"/>
    <x v="9"/>
  </r>
  <r>
    <s v="FLUJO"/>
    <n v="20450783294"/>
    <s v="PERU AMAZING QUILLAS TOURS SAC"/>
    <s v="202507"/>
    <d v="2025-10-17T00:00:00"/>
    <n v="325.05"/>
    <x v="1"/>
    <x v="9"/>
  </r>
  <r>
    <s v="FLUJO"/>
    <n v="20481314098"/>
    <s v="INDUSTRIA PANIFICADORA FAST PAN SRL"/>
    <s v="202507"/>
    <d v="2025-10-17T00:00:00"/>
    <n v="174.13"/>
    <x v="1"/>
    <x v="9"/>
  </r>
  <r>
    <s v="FLUJO"/>
    <n v="20603128169"/>
    <s v="SERVICIOS Y ALQUILERES EL SAUCE EIRL"/>
    <s v="202507, 202506"/>
    <d v="2025-10-17T00:00:00"/>
    <n v="263.64"/>
    <x v="1"/>
    <x v="9"/>
  </r>
  <r>
    <s v="FLUJO"/>
    <n v="20600927028"/>
    <s v="BRACATO EIRL"/>
    <s v="202506"/>
    <d v="2025-10-17T00:00:00"/>
    <n v="132.46"/>
    <x v="1"/>
    <x v="9"/>
  </r>
  <r>
    <s v="FLUJO"/>
    <n v="20603560273"/>
    <s v="CONSTRUCTORA Y CONSULTORA EB Y JB SAC"/>
    <s v="202504"/>
    <d v="2025-10-17T00:00:00"/>
    <n v="148.25"/>
    <x v="1"/>
    <x v="9"/>
  </r>
  <r>
    <s v="PRESUNTA"/>
    <n v="20608192264"/>
    <s v="PHYSICA PERU SAC"/>
    <s v="202508"/>
    <d v="2025-10-17T00:00:00"/>
    <n v="172.76999999999998"/>
    <x v="1"/>
    <x v="9"/>
  </r>
  <r>
    <s v="PRESUNTA"/>
    <n v="20611473908"/>
    <s v="PC NUEVO MUNDO S.A.C."/>
    <s v="202508"/>
    <d v="2025-10-17T00:00:00"/>
    <n v="130.15"/>
    <x v="1"/>
    <x v="9"/>
  </r>
  <r>
    <s v="PRESUNTA"/>
    <n v="10028197239"/>
    <s v="RAMOS BOUILLON  PEDRO JOSE"/>
    <s v="202506, 202505, 202504"/>
    <d v="2025-10-17T00:00:00"/>
    <n v="363.61"/>
    <x v="1"/>
    <x v="9"/>
  </r>
  <r>
    <s v="REAL TOTAL"/>
    <n v="20609932776"/>
    <s v="PM FRUITS S.A.C."/>
    <s v="202501"/>
    <d v="2025-10-17T00:00:00"/>
    <n v="1539.05"/>
    <x v="1"/>
    <x v="9"/>
  </r>
  <r>
    <s v="REDIRECCIONAMIENTO"/>
    <n v="20509470848"/>
    <s v="GINOR EMPRESA INDIVIDUAL DE RESPONSABILIDAD LIMITA"/>
    <s v="200709, 200711, 200712, 200801, 200802, 200803, 200805, 200806, 200807, 200808, 200809, 200811, 200812"/>
    <d v="2025-10-17T00:00:00"/>
    <n v="6598.68"/>
    <x v="1"/>
    <x v="9"/>
  </r>
  <r>
    <s v="FLUJO"/>
    <n v="10448547634"/>
    <s v="CASTRO NAYRA MIRTHA"/>
    <s v="202508, 202507, 202506, 202505, 202504"/>
    <d v="2025-10-18T00:00:00"/>
    <n v="662.83"/>
    <x v="1"/>
    <x v="9"/>
  </r>
  <r>
    <s v="FLUJO"/>
    <n v="20524176603"/>
    <s v="TRANSPORTES CCITAR SAC"/>
    <s v="202508, 202507"/>
    <d v="2025-10-18T00:00:00"/>
    <n v="315.52"/>
    <x v="1"/>
    <x v="9"/>
  </r>
  <r>
    <s v="FLUJO"/>
    <n v="20601506743"/>
    <s v="CENTRO DE DIÃLISIS GRAN CHIMU SAC CEDIGRAN"/>
    <s v="202508"/>
    <d v="2025-10-18T00:00:00"/>
    <n v="418.51"/>
    <x v="1"/>
    <x v="9"/>
  </r>
  <r>
    <s v="FLUJO"/>
    <n v="20602200354"/>
    <s v="GEOGREEN TEC S.A.C"/>
    <s v="202508"/>
    <d v="2025-10-18T00:00:00"/>
    <n v="293.21999999999997"/>
    <x v="1"/>
    <x v="9"/>
  </r>
  <r>
    <s v="FLUJO"/>
    <n v="20602537031"/>
    <s v="ADM COMPANY S.A.C."/>
    <s v="202508, 202507"/>
    <d v="2025-10-18T00:00:00"/>
    <n v="261.59000000000003"/>
    <x v="1"/>
    <x v="9"/>
  </r>
  <r>
    <s v="FLUJO"/>
    <n v="20604419531"/>
    <s v="RJ CARGO EIRL"/>
    <s v="202508"/>
    <d v="2025-10-18T00:00:00"/>
    <n v="273.59000000000003"/>
    <x v="1"/>
    <x v="9"/>
  </r>
  <r>
    <s v="FLUJO"/>
    <n v="20612237141"/>
    <s v="JR SOLUCIONES PERUANAS S.A.C."/>
    <s v="202508, 202507, 202506, 202505, 202504, 202503"/>
    <d v="2025-10-18T00:00:00"/>
    <n v="2182.54"/>
    <x v="1"/>
    <x v="9"/>
  </r>
  <r>
    <s v="FLUJO"/>
    <n v="20613813528"/>
    <s v="GRUPO IMPORT AB SAC"/>
    <s v="202508, 202507, 202506, 202505, 202504"/>
    <d v="2025-10-18T00:00:00"/>
    <n v="935.61"/>
    <x v="1"/>
    <x v="9"/>
  </r>
  <r>
    <s v="FLUJO"/>
    <n v="20614128365"/>
    <s v="CONSORCIO NORIEGA"/>
    <s v="202507"/>
    <d v="2025-10-18T00:00:00"/>
    <n v="524.04"/>
    <x v="1"/>
    <x v="9"/>
  </r>
  <r>
    <s v="PRESUNTA"/>
    <n v="20603349696"/>
    <s v="MINERA ALTAGRACIA E.I.R.L."/>
    <s v="202508, 202507, 202506, 202505"/>
    <d v="2025-10-18T00:00:00"/>
    <n v="2504.8199999999997"/>
    <x v="1"/>
    <x v="9"/>
  </r>
  <r>
    <s v="REAL TOTAL"/>
    <n v="20513932368"/>
    <s v="COMERCIALIZACIONES AGRO CONTRERAS SAC"/>
    <s v="202410, 202409"/>
    <d v="2025-10-18T00:00:00"/>
    <n v="721.9"/>
    <x v="1"/>
    <x v="9"/>
  </r>
  <r>
    <s v="REAL TOTAL"/>
    <n v="20551973850"/>
    <s v="TRANSPORTES YHOMARVI S.A.C."/>
    <s v="202003"/>
    <d v="2025-10-18T00:00:00"/>
    <n v="0.18"/>
    <x v="1"/>
    <x v="9"/>
  </r>
  <r>
    <s v="FLUJO"/>
    <n v="20573102780"/>
    <s v="HOUSE STUDENT EIRL"/>
    <s v="202508, 202507"/>
    <d v="2025-10-19T00:00:00"/>
    <n v="235.53"/>
    <x v="1"/>
    <x v="9"/>
  </r>
  <r>
    <s v="FLUJO"/>
    <n v="20601611253"/>
    <s v="servicios equinos del norte eirl"/>
    <s v="202508, 202507"/>
    <d v="2025-10-19T00:00:00"/>
    <n v="287.74"/>
    <x v="1"/>
    <x v="9"/>
  </r>
  <r>
    <s v="FLUJO"/>
    <n v="10442805011"/>
    <s v="NELLY MAIZ AQUINO"/>
    <s v="202508, 202507, 202506"/>
    <d v="2025-10-20T00:00:00"/>
    <n v="394.19000000000005"/>
    <x v="1"/>
    <x v="10"/>
  </r>
  <r>
    <s v="FLUJO"/>
    <n v="20491213931"/>
    <s v="EMPRESA CONSTRUCTORA HARAMI SOCIEDAD ANONIMA CERRADA"/>
    <s v="202508"/>
    <d v="2025-10-20T00:00:00"/>
    <n v="288.23"/>
    <x v="1"/>
    <x v="10"/>
  </r>
  <r>
    <s v="FLUJO"/>
    <n v="20491907275"/>
    <s v="ATENCIONES RAPIDAS COMERCIALES E.I.R.L."/>
    <s v="202508, 202507"/>
    <d v="2025-10-20T00:00:00"/>
    <n v="261.59000000000003"/>
    <x v="1"/>
    <x v="10"/>
  </r>
  <r>
    <s v="FLUJO"/>
    <n v="20502197399"/>
    <s v="organizacion de transportes equipos y maquinarias sac"/>
    <s v="202508"/>
    <d v="2025-10-20T00:00:00"/>
    <n v="691.75"/>
    <x v="1"/>
    <x v="10"/>
  </r>
  <r>
    <s v="FLUJO"/>
    <n v="20508136227"/>
    <s v="HACIENDA EL MONASTERIO SAC"/>
    <s v="202508, 202507, 202506, 202505, 202504, 202503"/>
    <d v="2025-10-20T00:00:00"/>
    <n v="3794.4800000000005"/>
    <x v="1"/>
    <x v="10"/>
  </r>
  <r>
    <s v="FLUJO"/>
    <n v="20509838209"/>
    <s v="GAP IMPRESIONES EIRL"/>
    <s v="202508, 202507"/>
    <d v="2025-10-20T00:00:00"/>
    <n v="287.74"/>
    <x v="1"/>
    <x v="10"/>
  </r>
  <r>
    <s v="FLUJO"/>
    <n v="20565808592"/>
    <s v="ALIHCOM BUILD SAC"/>
    <s v="202508"/>
    <d v="2025-10-20T00:00:00"/>
    <n v="379.19"/>
    <x v="1"/>
    <x v="10"/>
  </r>
  <r>
    <s v="FLUJO"/>
    <n v="20600547012"/>
    <s v="MONGROUP EIRL"/>
    <s v="202508"/>
    <d v="2025-10-20T00:00:00"/>
    <n v="634.1"/>
    <x v="1"/>
    <x v="10"/>
  </r>
  <r>
    <s v="FLUJO"/>
    <n v="20602360734"/>
    <s v="INSUMOS Y ALIMENTOS DEL ANDE EIRL"/>
    <s v="202508, 202507"/>
    <d v="2025-10-20T00:00:00"/>
    <n v="430.57"/>
    <x v="1"/>
    <x v="10"/>
  </r>
  <r>
    <s v="FLUJO"/>
    <n v="20604720690"/>
    <s v="AUTOMOTRIZ RASO SAC"/>
    <s v="202508"/>
    <d v="2025-10-20T00:00:00"/>
    <n v="1072.21"/>
    <x v="1"/>
    <x v="10"/>
  </r>
  <r>
    <s v="FLUJO"/>
    <n v="20605810315"/>
    <s v="CIENTIFICA CONSULTORES SAC"/>
    <s v="202508, 202507"/>
    <d v="2025-10-20T00:00:00"/>
    <n v="565.82000000000005"/>
    <x v="1"/>
    <x v="10"/>
  </r>
  <r>
    <s v="FLUJO"/>
    <n v="20606334258"/>
    <s v="TPT DEL PERU S.A.C."/>
    <s v="202508, 202507"/>
    <d v="2025-10-20T00:00:00"/>
    <n v="261.59000000000003"/>
    <x v="1"/>
    <x v="10"/>
  </r>
  <r>
    <s v="FLUJO"/>
    <n v="20609010411"/>
    <s v="ELITIUM PERU E.I.R.L"/>
    <s v="202508, 202507, 202506"/>
    <d v="2025-10-20T00:00:00"/>
    <n v="727.97"/>
    <x v="1"/>
    <x v="10"/>
  </r>
  <r>
    <s v="FLUJO"/>
    <n v="20610619372"/>
    <s v="FORESTAL GANGMING SAC"/>
    <s v="202508, 202507"/>
    <d v="2025-10-20T00:00:00"/>
    <n v="816.91000000000008"/>
    <x v="1"/>
    <x v="10"/>
  </r>
  <r>
    <s v="FLUJO"/>
    <n v="20604362751"/>
    <s v="GRUPO GRAL E.I.R.L."/>
    <s v="202507, 202506"/>
    <d v="2025-10-20T00:00:00"/>
    <n v="263.90999999999997"/>
    <x v="1"/>
    <x v="10"/>
  </r>
  <r>
    <s v="FLUJO"/>
    <n v="20609366193"/>
    <s v="WISGO PERU E.I.R.L."/>
    <s v="202507"/>
    <d v="2025-10-20T00:00:00"/>
    <n v="348.6"/>
    <x v="1"/>
    <x v="10"/>
  </r>
  <r>
    <s v="FLUJO"/>
    <n v="20611376538"/>
    <s v="HERCAR COMBUSTIBLES S.A.C"/>
    <s v="202507"/>
    <d v="2025-10-20T00:00:00"/>
    <n v="318.74"/>
    <x v="1"/>
    <x v="10"/>
  </r>
  <r>
    <s v="FLUJO"/>
    <n v="20611684321"/>
    <s v="CGS CONSTRUCCIONES E.I.R.L."/>
    <s v="202507"/>
    <d v="2025-10-20T00:00:00"/>
    <n v="200.45000000000002"/>
    <x v="1"/>
    <x v="10"/>
  </r>
  <r>
    <s v="FLUJO"/>
    <n v="20382056681"/>
    <s v="GLOBENATURAL INTERNACIONAL SA"/>
    <s v="202506, 202507, 202508"/>
    <d v="2025-10-20T00:00:00"/>
    <n v="689.01"/>
    <x v="1"/>
    <x v="10"/>
  </r>
  <r>
    <s v="FLUJO"/>
    <n v="20606745673"/>
    <s v="GRUPO NINA S.R.L."/>
    <s v="202504"/>
    <d v="2025-10-20T00:00:00"/>
    <n v="134.9"/>
    <x v="1"/>
    <x v="10"/>
  </r>
  <r>
    <s v="PRESUNTA"/>
    <n v="20603647263"/>
    <s v="ESTACION DE SERVICIO TRES CRUCES DE ORO E.I.R.L."/>
    <s v="202508"/>
    <d v="2025-10-20T00:00:00"/>
    <n v="74.3"/>
    <x v="1"/>
    <x v="10"/>
  </r>
  <r>
    <s v="PRESUNTA"/>
    <n v="20545463190"/>
    <s v="JOSE Y EDWIN CONTRATISTAS GENERALES SAC"/>
    <s v="202507, 202506, 202508"/>
    <d v="2025-10-20T00:00:00"/>
    <n v="2404.46"/>
    <x v="1"/>
    <x v="10"/>
  </r>
  <r>
    <s v="PRESUNTA"/>
    <n v="20552777965"/>
    <s v="Empresa de Servicios MÃºltiples KS y J EIRL"/>
    <s v="201909, 201908"/>
    <d v="2025-10-20T00:00:00"/>
    <n v="315.82"/>
    <x v="1"/>
    <x v="10"/>
  </r>
  <r>
    <s v="REAL TOTAL"/>
    <n v="20612127213"/>
    <s v="MJA CONSULTORIA S.A.C."/>
    <s v="202503"/>
    <d v="2025-10-20T00:00:00"/>
    <n v="318.17999999999995"/>
    <x v="1"/>
    <x v="10"/>
  </r>
  <r>
    <s v="REAL TOTAL"/>
    <n v="20604741450"/>
    <s v="INMOBILIARIA SIGNIA SAC"/>
    <s v="202305"/>
    <d v="2025-10-20T00:00:00"/>
    <n v="592.70000000000005"/>
    <x v="1"/>
    <x v="10"/>
  </r>
  <r>
    <s v="REDIRECCIONAMIENTO"/>
    <n v="20494424089"/>
    <s v="CORPORACION LASER E.I.R.L."/>
    <s v="200806, 200807, 200809, 200810, 200811, 200812, 200901, 200903, 200904"/>
    <d v="2025-10-20T00:00:00"/>
    <n v="4067.8100000000004"/>
    <x v="1"/>
    <x v="10"/>
  </r>
  <r>
    <s v="FLUJO"/>
    <n v="10425490741"/>
    <s v="GONZALES VARGAS BERTHA MIGUELINA"/>
    <s v="202508, 202507, 202506"/>
    <d v="2025-10-21T00:00:00"/>
    <n v="433.59000000000003"/>
    <x v="1"/>
    <x v="11"/>
  </r>
  <r>
    <s v="FLUJO"/>
    <n v="20527677506"/>
    <s v="DIESEL IMPORT HERRERA SCRLtda"/>
    <s v="202508"/>
    <d v="2025-10-21T00:00:00"/>
    <n v="328.59000000000003"/>
    <x v="1"/>
    <x v="11"/>
  </r>
  <r>
    <s v="FLUJO"/>
    <n v="20537411857"/>
    <s v="CHAMPION WORLD SPORT SAC"/>
    <s v="202508, 202507"/>
    <d v="2025-10-21T00:00:00"/>
    <n v="1031"/>
    <x v="1"/>
    <x v="11"/>
  </r>
  <r>
    <s v="FLUJO"/>
    <n v="20600637755"/>
    <s v="INVERSIONES KAMIYA SAC"/>
    <s v="202508"/>
    <d v="2025-10-21T00:00:00"/>
    <n v="358.91"/>
    <x v="1"/>
    <x v="11"/>
  </r>
  <r>
    <s v="FLUJO"/>
    <n v="20601127742"/>
    <s v="CORPORACIÃ“N MAVE SAC"/>
    <s v="202508"/>
    <d v="2025-10-21T00:00:00"/>
    <n v="681.48"/>
    <x v="1"/>
    <x v="11"/>
  </r>
  <r>
    <s v="FLUJO"/>
    <n v="20601183731"/>
    <s v="COEX TRANSPORTES SA"/>
    <s v="202508"/>
    <d v="2025-10-21T00:00:00"/>
    <n v="239.63"/>
    <x v="1"/>
    <x v="11"/>
  </r>
  <r>
    <s v="FLUJO"/>
    <n v="20602960995"/>
    <s v="SGCMM GROUP SAC"/>
    <s v="202508"/>
    <d v="2025-10-21T00:00:00"/>
    <n v="561.17000000000007"/>
    <x v="1"/>
    <x v="11"/>
  </r>
  <r>
    <s v="FLUJO"/>
    <n v="20605224688"/>
    <s v="JOURNEY ON WHEELS CUSCO S.R.L."/>
    <s v="202508, 202507, 202505, 202504"/>
    <d v="2025-10-21T00:00:00"/>
    <n v="530.23"/>
    <x v="1"/>
    <x v="11"/>
  </r>
  <r>
    <s v="FLUJO"/>
    <n v="20605495762"/>
    <s v="CORPORACION ITC S.A.C."/>
    <s v="202508, 202507"/>
    <d v="2025-10-21T00:00:00"/>
    <n v="300.94"/>
    <x v="1"/>
    <x v="11"/>
  </r>
  <r>
    <s v="FLUJO"/>
    <n v="20609204771"/>
    <s v="CORPORACION IBEROAMERICANA OCUPACIONAL CISS S.A.C."/>
    <s v="202508"/>
    <d v="2025-10-21T00:00:00"/>
    <n v="278.89"/>
    <x v="1"/>
    <x v="11"/>
  </r>
  <r>
    <s v="FLUJO"/>
    <n v="20609205521"/>
    <s v="DIABOLA STORE S.A.C."/>
    <s v="202508"/>
    <d v="2025-10-21T00:00:00"/>
    <n v="259.7"/>
    <x v="1"/>
    <x v="11"/>
  </r>
  <r>
    <s v="FLUJO"/>
    <n v="20611989611"/>
    <s v="INKA LAM E.I.R.L."/>
    <s v="202508"/>
    <d v="2025-10-21T00:00:00"/>
    <n v="307.44"/>
    <x v="1"/>
    <x v="11"/>
  </r>
  <r>
    <s v="FLUJO"/>
    <n v="20612976571"/>
    <s v="POWER TIMBER S.A.C."/>
    <s v="202508"/>
    <d v="2025-10-21T00:00:00"/>
    <n v="1199.1100000000001"/>
    <x v="1"/>
    <x v="11"/>
  </r>
  <r>
    <s v="FLUJO"/>
    <n v="20601283744"/>
    <s v="A Y P FABRICACIONES E INSTALACIONES INDUSTRIALES SAC"/>
    <s v="202507"/>
    <d v="2025-10-21T00:00:00"/>
    <n v="855.48"/>
    <x v="1"/>
    <x v="11"/>
  </r>
  <r>
    <s v="FLUJO"/>
    <n v="20604284032"/>
    <s v="GRUPO EDUCATIVO ALFA EIRL"/>
    <s v="202507, 202506, 202505, 202504, 202503, 202412, 202508"/>
    <d v="2025-10-21T00:00:00"/>
    <n v="3430.0299999999997"/>
    <x v="1"/>
    <x v="11"/>
  </r>
  <r>
    <s v="FLUJO"/>
    <n v="20611343028"/>
    <s v="COORPORACION TURISTICA H V SAC"/>
    <s v="202507, 202506"/>
    <d v="2025-10-21T00:00:00"/>
    <n v="635.98"/>
    <x v="1"/>
    <x v="11"/>
  </r>
  <r>
    <s v="FLUJO"/>
    <n v="20613438239"/>
    <s v="SON RUMBEKE E.I.R.L."/>
    <s v="202505, 202504"/>
    <d v="2025-10-21T00:00:00"/>
    <n v="1109.81"/>
    <x v="1"/>
    <x v="11"/>
  </r>
  <r>
    <s v="PRESUNTA"/>
    <n v="20608192523"/>
    <s v="AVANCE AUTOMOTRIZ FEJERROS SAC"/>
    <s v="202507, 202508"/>
    <d v="2025-10-21T00:00:00"/>
    <n v="261.59000000000003"/>
    <x v="1"/>
    <x v="11"/>
  </r>
  <r>
    <s v="REAL TOTAL"/>
    <n v="20603950195"/>
    <s v="MARMOL AREQUIPA EIRL"/>
    <s v="202503"/>
    <d v="2025-10-21T00:00:00"/>
    <n v="68.03"/>
    <x v="1"/>
    <x v="11"/>
  </r>
  <r>
    <s v="REAL TOTAL"/>
    <n v="20477398457"/>
    <s v="VIZOR PERU SAC"/>
    <s v="202412"/>
    <d v="2025-10-21T00:00:00"/>
    <n v="133.42000000000002"/>
    <x v="1"/>
    <x v="11"/>
  </r>
  <r>
    <s v="REAL TOTAL"/>
    <n v="20552992181"/>
    <s v="RIEGO Y SANEAMIENTO AMBIENTAL SAC"/>
    <s v="201309"/>
    <d v="2025-10-21T00:00:00"/>
    <n v="458.39"/>
    <x v="1"/>
    <x v="11"/>
  </r>
  <r>
    <s v="REDIRECCIONAMIENTO"/>
    <n v="20509793779"/>
    <s v="EUROCLIDON DEL NORTE S.A.C."/>
    <s v="201601, 201401, 201312, 201311, 201310, 201309, 201307, 201306, 201305, 201304, 201303"/>
    <d v="2025-10-21T00:00:00"/>
    <n v="3253.6299999999997"/>
    <x v="1"/>
    <x v="11"/>
  </r>
  <r>
    <s v="FLUJO"/>
    <n v="10417928958"/>
    <s v="CALDERON TAMAYO OLGA"/>
    <s v="202508, 202507, 202506, 202505, 202504, 202503"/>
    <d v="2025-10-22T00:00:00"/>
    <n v="799.02"/>
    <x v="1"/>
    <x v="12"/>
  </r>
  <r>
    <s v="FLUJO"/>
    <n v="20601349559"/>
    <s v="odex peru s.r.l."/>
    <s v="202508, 202507"/>
    <d v="2025-10-22T00:00:00"/>
    <n v="698.87000000000012"/>
    <x v="1"/>
    <x v="12"/>
  </r>
  <r>
    <s v="FLUJO"/>
    <n v="20611443057"/>
    <s v="MODERNA ASOCIADOS S.A.C."/>
    <s v="202508"/>
    <d v="2025-10-22T00:00:00"/>
    <n v="691.75"/>
    <x v="1"/>
    <x v="12"/>
  </r>
  <r>
    <s v="FLUJO"/>
    <n v="20613076205"/>
    <s v="Kentel Peru S.A.C"/>
    <s v="202508"/>
    <d v="2025-10-22T00:00:00"/>
    <n v="130.28"/>
    <x v="1"/>
    <x v="12"/>
  </r>
  <r>
    <s v="FLUJO"/>
    <n v="20450461173"/>
    <s v="PACIFICO TARAPOTO SAC"/>
    <s v="202507"/>
    <d v="2025-10-22T00:00:00"/>
    <n v="131.44"/>
    <x v="1"/>
    <x v="12"/>
  </r>
  <r>
    <s v="FLUJO"/>
    <n v="20380639522"/>
    <s v="BOLIVARIANA DE CARGAS S.R.LTDA"/>
    <s v="202504, 202503"/>
    <d v="2025-10-22T00:00:00"/>
    <n v="599.48"/>
    <x v="1"/>
    <x v="12"/>
  </r>
  <r>
    <s v="FLUJO"/>
    <n v="10224807886"/>
    <s v="LIZBET AMALIA RIOS D AMBROSIO"/>
    <s v="202508"/>
    <d v="2025-10-22T00:00:00"/>
    <n v="278.89"/>
    <x v="1"/>
    <x v="12"/>
  </r>
  <r>
    <s v="FLUJO"/>
    <n v="10465081517"/>
    <s v="ESPINOZA RAMOS DONY YOJHAN"/>
    <s v="202508"/>
    <d v="2025-10-22T00:00:00"/>
    <n v="130.58000000000001"/>
    <x v="1"/>
    <x v="12"/>
  </r>
  <r>
    <s v="FLUJO"/>
    <n v="20493051416"/>
    <s v="RP RODAS EIRL"/>
    <s v="202508, 202507, 202506"/>
    <d v="2025-10-22T00:00:00"/>
    <n v="394.32000000000005"/>
    <x v="1"/>
    <x v="12"/>
  </r>
  <r>
    <s v="FLUJO"/>
    <n v="20522880371"/>
    <s v="INVERSIONES CH  M SAC"/>
    <s v="202508"/>
    <d v="2025-10-22T00:00:00"/>
    <n v="342.70000000000005"/>
    <x v="1"/>
    <x v="12"/>
  </r>
  <r>
    <s v="FLUJO"/>
    <n v="20543455939"/>
    <s v="TRANSPORTE ACMA EIRL"/>
    <s v="202508"/>
    <d v="2025-10-22T00:00:00"/>
    <n v="634.1"/>
    <x v="1"/>
    <x v="12"/>
  </r>
  <r>
    <s v="FLUJO"/>
    <n v="20564084281"/>
    <s v="INVERSIONES MABGA SAC"/>
    <s v="202508, 202507, 202506"/>
    <d v="2025-10-22T00:00:00"/>
    <n v="394.32000000000005"/>
    <x v="1"/>
    <x v="12"/>
  </r>
  <r>
    <s v="FLUJO"/>
    <n v="20602287051"/>
    <s v="ANW OPERADORES LOGISTICOS EIRL"/>
    <s v="202508, 202507"/>
    <d v="2025-10-22T00:00:00"/>
    <n v="261.72000000000003"/>
    <x v="1"/>
    <x v="12"/>
  </r>
  <r>
    <s v="FLUJO"/>
    <n v="20602578403"/>
    <s v="ABISEO GROUP FOODS SAC"/>
    <s v="202508, 202507"/>
    <d v="2025-10-22T00:00:00"/>
    <n v="463.21000000000004"/>
    <x v="1"/>
    <x v="12"/>
  </r>
  <r>
    <s v="FLUJO"/>
    <n v="20610389423"/>
    <s v="ABC COMPANY S.A.C."/>
    <s v="202508"/>
    <d v="2025-10-22T00:00:00"/>
    <n v="288.23"/>
    <x v="1"/>
    <x v="12"/>
  </r>
  <r>
    <s v="FLUJO"/>
    <n v="20613649116"/>
    <s v="DOLARITO E.I.R.L."/>
    <s v="202508"/>
    <d v="2025-10-22T00:00:00"/>
    <n v="223.12"/>
    <x v="1"/>
    <x v="12"/>
  </r>
  <r>
    <s v="FLUJO"/>
    <n v="20614168014"/>
    <s v="CORPORACION PIBUSA S.A.C."/>
    <s v="202508, 202507, 202506"/>
    <d v="2025-10-22T00:00:00"/>
    <n v="394.32000000000005"/>
    <x v="1"/>
    <x v="12"/>
  </r>
  <r>
    <s v="FLUJO"/>
    <n v="20602229115"/>
    <s v="CAR ELOLUTION JF SAC"/>
    <s v="202507"/>
    <d v="2025-10-22T00:00:00"/>
    <n v="281.37"/>
    <x v="1"/>
    <x v="12"/>
  </r>
  <r>
    <s v="FLUJO"/>
    <n v="20610765387"/>
    <s v="INVERSIONES ALIMENTARIAS ALMAYA SAC"/>
    <s v="202507, 202506"/>
    <d v="2025-10-22T00:00:00"/>
    <n v="306.78999999999996"/>
    <x v="1"/>
    <x v="12"/>
  </r>
  <r>
    <s v="REAL TOTAL"/>
    <n v="20601760461"/>
    <s v="PREMIUM COLLEGE SRL"/>
    <s v="202501"/>
    <d v="2025-10-22T00:00:00"/>
    <n v="449.40999999999997"/>
    <x v="1"/>
    <x v="12"/>
  </r>
  <r>
    <s v="REAL TOTAL"/>
    <n v="20478122081"/>
    <s v="SERVICIO INFORMATICO GRAFICO MASS S.A.C."/>
    <s v="201511, 201510, 201509"/>
    <d v="2025-10-22T00:00:00"/>
    <n v="637.56999999999994"/>
    <x v="1"/>
    <x v="12"/>
  </r>
  <r>
    <s v="REAL TOTAL"/>
    <n v="20523787960"/>
    <s v="FCG NEGOCIOS Y SERVICIOS SAC"/>
    <s v="202106, 202105"/>
    <d v="2025-10-22T00:00:00"/>
    <n v="327.01"/>
    <x v="1"/>
    <x v="12"/>
  </r>
  <r>
    <s v="REAL TOTAL"/>
    <n v="20523203721"/>
    <s v="FESTINA  EIRL"/>
    <s v="201009"/>
    <d v="2025-10-22T00:00:00"/>
    <n v="297.48"/>
    <x v="1"/>
    <x v="12"/>
  </r>
  <r>
    <s v="FLUJO"/>
    <n v="15547969437"/>
    <s v="LIANG JIANHUA"/>
    <s v="202508"/>
    <d v="2025-10-23T00:00:00"/>
    <n v="230.58"/>
    <x v="1"/>
    <x v="13"/>
  </r>
  <r>
    <s v="FLUJO"/>
    <n v="20192099464"/>
    <s v="COLEGIO DE ARQUITECTOS REGIONAL PIURA I"/>
    <s v="202508"/>
    <d v="2025-10-23T00:00:00"/>
    <n v="307.26"/>
    <x v="1"/>
    <x v="13"/>
  </r>
  <r>
    <s v="FLUJO"/>
    <n v="20512791825"/>
    <s v="GLASS IMPORT AUTOMOTRIZ SAC"/>
    <s v="202508"/>
    <d v="2025-10-23T00:00:00"/>
    <n v="964.18"/>
    <x v="1"/>
    <x v="13"/>
  </r>
  <r>
    <s v="FLUJO"/>
    <n v="20526548311"/>
    <s v="CELESTE SERVICIOS GENERALES SRL"/>
    <s v="202508"/>
    <d v="2025-10-23T00:00:00"/>
    <n v="230.58"/>
    <x v="1"/>
    <x v="13"/>
  </r>
  <r>
    <s v="FLUJO"/>
    <n v="20556349712"/>
    <s v="GRUPO ASHKA S.A.C."/>
    <s v="202508"/>
    <d v="2025-10-23T00:00:00"/>
    <n v="234.14000000000001"/>
    <x v="1"/>
    <x v="13"/>
  </r>
  <r>
    <s v="FLUJO"/>
    <n v="20600515943"/>
    <s v="ORKO INGENIEROS SAC"/>
    <s v="202508, 202507, 202506, 202505, 202504, 202503, 202502"/>
    <d v="2025-10-23T00:00:00"/>
    <n v="2428.6"/>
    <x v="1"/>
    <x v="13"/>
  </r>
  <r>
    <s v="FLUJO"/>
    <n v="20600583019"/>
    <s v="ROMARC CONSTRUCTORA S.A.C."/>
    <s v="202508, 202507"/>
    <d v="2025-10-23T00:00:00"/>
    <n v="1065.3899999999999"/>
    <x v="1"/>
    <x v="13"/>
  </r>
  <r>
    <s v="FLUJO"/>
    <n v="20600629477"/>
    <s v="LOW RISK PERU E.I.R.L."/>
    <s v="202508"/>
    <d v="2025-10-23T00:00:00"/>
    <n v="130.28"/>
    <x v="1"/>
    <x v="13"/>
  </r>
  <r>
    <s v="FLUJO"/>
    <n v="20600714989"/>
    <s v="HOTEL Y NEGOCIOS SAC"/>
    <s v="202508"/>
    <d v="2025-10-23T00:00:00"/>
    <n v="533.81999999999994"/>
    <x v="1"/>
    <x v="13"/>
  </r>
  <r>
    <s v="FLUJO"/>
    <n v="20602481779"/>
    <s v="REPUESTOS BURGA S.R.L."/>
    <s v="202508, 202507"/>
    <d v="2025-10-23T00:00:00"/>
    <n v="261.72000000000003"/>
    <x v="1"/>
    <x v="13"/>
  </r>
  <r>
    <s v="FLUJO"/>
    <n v="20602937926"/>
    <s v="FISOPERU S.A.C"/>
    <s v="202508"/>
    <d v="2025-10-23T00:00:00"/>
    <n v="230.58"/>
    <x v="1"/>
    <x v="13"/>
  </r>
  <r>
    <s v="FLUJO"/>
    <n v="20610339078"/>
    <s v="GODMIR S.A.C."/>
    <s v="202508"/>
    <d v="2025-10-23T00:00:00"/>
    <n v="585.45000000000005"/>
    <x v="1"/>
    <x v="13"/>
  </r>
  <r>
    <s v="FLUJO"/>
    <n v="20613470221"/>
    <s v="CLARITY CLEANING S.A.C."/>
    <s v="202508, 202507"/>
    <d v="2025-10-23T00:00:00"/>
    <n v="370.70000000000005"/>
    <x v="1"/>
    <x v="13"/>
  </r>
  <r>
    <s v="FLUJO"/>
    <n v="20538760219"/>
    <s v="INDUSTRIAS DE METALES PERFORADAS SAC"/>
    <s v="202507, 202506"/>
    <d v="2025-10-23T00:00:00"/>
    <n v="393.12"/>
    <x v="1"/>
    <x v="13"/>
  </r>
  <r>
    <s v="FLUJO"/>
    <n v="20605753478"/>
    <s v="ESTACION DE SERVICIOS BATMAN E.I.R.L."/>
    <s v="202507"/>
    <d v="2025-10-23T00:00:00"/>
    <n v="658.33999999999992"/>
    <x v="1"/>
    <x v="13"/>
  </r>
  <r>
    <s v="FLUJO"/>
    <n v="20606573228"/>
    <s v="CNC DIGITAL EIRL"/>
    <s v="202507, 202508"/>
    <d v="2025-10-23T00:00:00"/>
    <n v="347.92"/>
    <x v="1"/>
    <x v="13"/>
  </r>
  <r>
    <s v="FLUJO"/>
    <n v="20602125247"/>
    <s v="PENTAI INGENIERIA Y CONSTRUCCION EIRL"/>
    <s v="202506"/>
    <d v="2025-10-23T00:00:00"/>
    <n v="132.6"/>
    <x v="1"/>
    <x v="13"/>
  </r>
  <r>
    <s v="FLUJO"/>
    <n v="20604443891"/>
    <s v="RENTEQ MAQUINARIAS SAC"/>
    <s v="202505, 202504"/>
    <d v="2025-10-23T00:00:00"/>
    <n v="822.31000000000006"/>
    <x v="1"/>
    <x v="13"/>
  </r>
  <r>
    <s v="FLUJO"/>
    <n v="20609877660"/>
    <s v="MANEJOS ADMINISTRATIVOS EMPRESARIALES ZEN SAC"/>
    <s v="202504"/>
    <d v="2025-10-23T00:00:00"/>
    <n v="620.79999999999995"/>
    <x v="1"/>
    <x v="13"/>
  </r>
  <r>
    <s v="PRESUNTA"/>
    <n v="10410626913"/>
    <s v="JAIME EDUARDO MENDOZA TORRES"/>
    <s v="202508, 202507"/>
    <d v="2025-10-23T00:00:00"/>
    <n v="298.54000000000002"/>
    <x v="1"/>
    <x v="13"/>
  </r>
  <r>
    <s v="PRESUNTA"/>
    <n v="20600614348"/>
    <s v="ICEMA E.I.R.L."/>
    <s v="202508, 202507"/>
    <d v="2025-10-23T00:00:00"/>
    <n v="2852.6099999999997"/>
    <x v="1"/>
    <x v="13"/>
  </r>
  <r>
    <s v="PRESUNTA"/>
    <n v="20609320738"/>
    <s v="EXPERTOS EN NEGOCIOS 3A SRL"/>
    <s v="202505, 202504"/>
    <d v="2025-10-23T00:00:00"/>
    <n v="306.61"/>
    <x v="1"/>
    <x v="13"/>
  </r>
  <r>
    <s v="PRESUNTA"/>
    <n v="20605037811"/>
    <s v="CORPORACIÃ“N EMPRESARIAL PRC SAC"/>
    <s v="202303"/>
    <d v="2025-10-23T00:00:00"/>
    <n v="306.66999999999996"/>
    <x v="1"/>
    <x v="13"/>
  </r>
  <r>
    <s v="FLUJO"/>
    <n v="10722819131"/>
    <s v="MURGA PINZON GRACE KELLY"/>
    <s v="202508, 202507"/>
    <d v="2025-10-24T00:00:00"/>
    <n v="261.85000000000002"/>
    <x v="1"/>
    <x v="14"/>
  </r>
  <r>
    <s v="FLUJO"/>
    <n v="20195442062"/>
    <s v="ASOCIACION GRANJA AZUL COUNTRY CLUB DE GOLF"/>
    <s v="202508, 202507, 202506, 202505, 202504, 202503"/>
    <d v="2025-10-24T00:00:00"/>
    <n v="924.41999999999985"/>
    <x v="1"/>
    <x v="14"/>
  </r>
  <r>
    <s v="FLUJO"/>
    <n v="20479369691"/>
    <s v="CENTRO DE CONCILIACIÃ“N PARA LA PAZ"/>
    <s v="202508, 202507, 202506, 202505, 202504, 202503"/>
    <d v="2025-10-24T00:00:00"/>
    <n v="3590.7000000000003"/>
    <x v="1"/>
    <x v="14"/>
  </r>
  <r>
    <s v="FLUJO"/>
    <n v="20495989390"/>
    <s v="COLEGIO QUIMICO FARMACEUTICO DEPARTAMENTAL DE CAJAMARCA"/>
    <s v="202508, 202507"/>
    <d v="2025-10-24T00:00:00"/>
    <n v="334.66999999999996"/>
    <x v="1"/>
    <x v="14"/>
  </r>
  <r>
    <s v="FLUJO"/>
    <n v="20509820334"/>
    <s v="ACCI CARGO SAC"/>
    <s v="202508"/>
    <d v="2025-10-24T00:00:00"/>
    <n v="323.21999999999997"/>
    <x v="1"/>
    <x v="14"/>
  </r>
  <r>
    <s v="FLUJO"/>
    <n v="20536688286"/>
    <s v="LCF INVERSIONES S.R.L"/>
    <s v="202508"/>
    <d v="2025-10-24T00:00:00"/>
    <n v="323.14"/>
    <x v="1"/>
    <x v="14"/>
  </r>
  <r>
    <s v="FLUJO"/>
    <n v="20600875699"/>
    <s v="DETODOPET S.A.C."/>
    <s v="202508, 202507, 202506"/>
    <d v="2025-10-24T00:00:00"/>
    <n v="767.33999999999992"/>
    <x v="1"/>
    <x v="14"/>
  </r>
  <r>
    <s v="FLUJO"/>
    <n v="20601145970"/>
    <s v="NEGOCIOS E INVERSIONES AURORA SAC"/>
    <s v="202508"/>
    <d v="2025-10-24T00:00:00"/>
    <n v="957.2700000000001"/>
    <x v="1"/>
    <x v="14"/>
  </r>
  <r>
    <s v="FLUJO"/>
    <n v="20602964842"/>
    <s v="URIOBA E.I.R.L."/>
    <s v="202508"/>
    <d v="2025-10-24T00:00:00"/>
    <n v="403.92"/>
    <x v="1"/>
    <x v="14"/>
  </r>
  <r>
    <s v="FLUJO"/>
    <n v="20604562652"/>
    <s v="ILUMIAX INSTALACIONES ELECTRICAS EN EDIFICACIONES EIRL"/>
    <s v="202508"/>
    <d v="2025-10-24T00:00:00"/>
    <n v="288.51"/>
    <x v="1"/>
    <x v="14"/>
  </r>
  <r>
    <s v="FLUJO"/>
    <n v="20605878564"/>
    <s v="MAREN PERU EIRL"/>
    <s v="202508, 202507"/>
    <d v="2025-10-24T00:00:00"/>
    <n v="288.02999999999997"/>
    <x v="1"/>
    <x v="14"/>
  </r>
  <r>
    <s v="FLUJO"/>
    <n v="20607715441"/>
    <s v="CORPORACION CURAT E.I.R.L."/>
    <s v="202508"/>
    <d v="2025-10-24T00:00:00"/>
    <n v="279.16999999999996"/>
    <x v="1"/>
    <x v="14"/>
  </r>
  <r>
    <s v="FLUJO"/>
    <n v="20609277450"/>
    <s v="INVERSIONES PERUANAS TEO SAC"/>
    <s v="202508, 202507, 202506, 202505"/>
    <d v="2025-10-24T00:00:00"/>
    <n v="1048.1300000000001"/>
    <x v="1"/>
    <x v="14"/>
  </r>
  <r>
    <s v="FLUJO"/>
    <n v="20609941163"/>
    <s v="DATA SCIENCE ANALYSIS E.I.R.L."/>
    <s v="202508, 202507, 202506"/>
    <d v="2025-10-24T00:00:00"/>
    <n v="510.26000000000005"/>
    <x v="1"/>
    <x v="14"/>
  </r>
  <r>
    <s v="FLUJO"/>
    <n v="20610184449"/>
    <s v="AMFLEX SOLUCIONES VIALES S.A.C."/>
    <s v="202508"/>
    <d v="2025-10-24T00:00:00"/>
    <n v="230.81"/>
    <x v="1"/>
    <x v="14"/>
  </r>
  <r>
    <s v="FLUJO"/>
    <n v="20611265337"/>
    <s v="CONCRELABMIX SAC"/>
    <s v="202508"/>
    <d v="2025-10-24T00:00:00"/>
    <n v="262.93"/>
    <x v="1"/>
    <x v="14"/>
  </r>
  <r>
    <s v="FLUJO"/>
    <n v="20613179691"/>
    <s v="CONSORCIO EDUCATIVO PROJECTS SERVICES SOLUTION S.A.C."/>
    <s v="202508"/>
    <d v="2025-10-24T00:00:00"/>
    <n v="299.59000000000003"/>
    <x v="1"/>
    <x v="14"/>
  </r>
  <r>
    <s v="FLUJO"/>
    <n v="20600987047"/>
    <s v="GRUPO DORADO SERVICIOS GENERALES EIRL"/>
    <s v="202507, 202506"/>
    <d v="2025-10-24T00:00:00"/>
    <n v="1014.19"/>
    <x v="1"/>
    <x v="14"/>
  </r>
  <r>
    <s v="FLUJO"/>
    <n v="20601491002"/>
    <s v="ZEMATEL CUSCO EIRL"/>
    <s v="202507"/>
    <d v="2025-10-24T00:00:00"/>
    <n v="131.44"/>
    <x v="1"/>
    <x v="14"/>
  </r>
  <r>
    <s v="FLUJO"/>
    <n v="20611260831"/>
    <s v="GRUPO MEKA INMOBILIARIA Y CONSTRUCTORA S.A.C."/>
    <s v="202507, 202506, 202505, 202504"/>
    <d v="2025-10-24T00:00:00"/>
    <n v="883.69999999999993"/>
    <x v="1"/>
    <x v="14"/>
  </r>
  <r>
    <s v="FLUJO"/>
    <n v="20606587334"/>
    <s v="EPM LEGAL MANAGEMENT S.A.C."/>
    <s v="202506, 202505, 202504, 202503, 202508, 202507"/>
    <d v="2025-10-24T00:00:00"/>
    <n v="1061.8399999999999"/>
    <x v="1"/>
    <x v="14"/>
  </r>
  <r>
    <s v="FLUJO"/>
    <n v="20604260923"/>
    <s v="BIO EMPAQUES S.A.C."/>
    <s v="202505, 202504, 202507, 202506"/>
    <d v="2025-10-24T00:00:00"/>
    <n v="533.45999999999992"/>
    <x v="1"/>
    <x v="14"/>
  </r>
  <r>
    <s v="PRESUNTA"/>
    <n v="20482844694"/>
    <s v="DIESEL TRUCK PARTS SAC"/>
    <s v="202508"/>
    <d v="2025-10-24T00:00:00"/>
    <n v="744.83"/>
    <x v="1"/>
    <x v="14"/>
  </r>
  <r>
    <s v="REAL TOTAL"/>
    <n v="20611115025"/>
    <s v="ALOHA PEM S.A.C."/>
    <s v="202503"/>
    <d v="2025-10-24T00:00:00"/>
    <n v="272.38"/>
    <x v="1"/>
    <x v="14"/>
  </r>
  <r>
    <s v="REAL TOTAL"/>
    <n v="20611654279"/>
    <s v="CONSORCIO JIANGO CONSTRUCTORES"/>
    <s v="202502"/>
    <d v="2025-10-24T00:00:00"/>
    <n v="197.98000000000002"/>
    <x v="1"/>
    <x v="14"/>
  </r>
  <r>
    <s v="REAL TOTAL"/>
    <n v="20612206334"/>
    <s v="CONSORCIO DEYSUR"/>
    <s v="202502"/>
    <d v="2025-10-24T00:00:00"/>
    <n v="386.94"/>
    <x v="1"/>
    <x v="14"/>
  </r>
  <r>
    <s v="REAL TOTAL"/>
    <n v="20565209290"/>
    <s v="FRANSU TRADING SAC"/>
    <s v="201910, 201909, 201908"/>
    <d v="2025-10-24T00:00:00"/>
    <n v="754.72"/>
    <x v="1"/>
    <x v="14"/>
  </r>
  <r>
    <s v="REAL TOTAL"/>
    <n v="20379559141"/>
    <s v="HIPER FAST SAC"/>
    <s v="201108"/>
    <d v="2025-10-24T00:00:00"/>
    <n v="64.39"/>
    <x v="1"/>
    <x v="14"/>
  </r>
  <r>
    <s v="REAL TOTAL"/>
    <n v="20504874746"/>
    <s v="JUNTA DE PROPIETARIOS DEL EDIFCIO MAR MARIS"/>
    <s v="201007"/>
    <d v="2025-10-24T00:00:00"/>
    <n v="231.97"/>
    <x v="1"/>
    <x v="14"/>
  </r>
  <r>
    <s v="REAL TOTAL"/>
    <n v="20512709088"/>
    <s v="CARDIOPULMONARY CARE SAC"/>
    <s v="201006"/>
    <d v="2025-10-24T00:00:00"/>
    <n v="221.72"/>
    <x v="1"/>
    <x v="14"/>
  </r>
  <r>
    <s v="FLUJO"/>
    <n v="10430270627"/>
    <s v="SANCHEZ SOTO FREDDY ALEJANDRO"/>
    <s v="202508, 202507"/>
    <d v="2025-10-25T00:00:00"/>
    <n v="288.31"/>
    <x v="1"/>
    <x v="14"/>
  </r>
  <r>
    <s v="FLUJO"/>
    <n v="20454041373"/>
    <s v="INVERSIONES Y REPRESENTACIONES FIRENZE SAC"/>
    <s v="202508"/>
    <d v="2025-10-25T00:00:00"/>
    <n v="391.6"/>
    <x v="1"/>
    <x v="14"/>
  </r>
  <r>
    <s v="FLUJO"/>
    <n v="20570586417"/>
    <s v="DAYANNA INGENIEROS SRL"/>
    <s v="202508"/>
    <d v="2025-10-25T00:00:00"/>
    <n v="543.01"/>
    <x v="1"/>
    <x v="14"/>
  </r>
  <r>
    <s v="FLUJO"/>
    <n v="20600112784"/>
    <s v="AGCL STUDIOS  S.A.C."/>
    <s v="202508, 202507, 202506, 202505"/>
    <d v="2025-10-25T00:00:00"/>
    <n v="581.84999999999991"/>
    <x v="1"/>
    <x v="14"/>
  </r>
  <r>
    <s v="FLUJO"/>
    <n v="20610097937"/>
    <s v="SOMBRA IMEX S.A.C."/>
    <s v="202508"/>
    <d v="2025-10-25T00:00:00"/>
    <n v="223.34"/>
    <x v="1"/>
    <x v="14"/>
  </r>
  <r>
    <s v="REAL TOTAL"/>
    <n v="20558653532"/>
    <s v="HIDROMAR G Y M SRL"/>
    <s v="202408, 202407, 202406"/>
    <d v="2025-10-25T00:00:00"/>
    <n v="1178.31"/>
    <x v="1"/>
    <x v="14"/>
  </r>
  <r>
    <s v="FLUJO"/>
    <n v="10182121814"/>
    <s v="MURGA SANTILLAN MARCO ANTONIO"/>
    <s v="202508, 202507"/>
    <d v="2025-10-27T00:00:00"/>
    <n v="694.48"/>
    <x v="1"/>
    <x v="15"/>
  </r>
  <r>
    <s v="FLUJO"/>
    <n v="10752460715"/>
    <s v="TTITO AMAU MISHELL ALEXANDRA"/>
    <s v="202508, 202507, 202506"/>
    <d v="2025-10-27T00:00:00"/>
    <n v="394.95000000000005"/>
    <x v="1"/>
    <x v="15"/>
  </r>
  <r>
    <s v="FLUJO"/>
    <n v="20102982020"/>
    <s v="CLÃNICA VIRGEN DEL PILAR SCRL"/>
    <s v="202508, 202507"/>
    <d v="2025-10-27T00:00:00"/>
    <n v="1121.46"/>
    <x v="1"/>
    <x v="15"/>
  </r>
  <r>
    <s v="FLUJO"/>
    <n v="20212246698"/>
    <s v="ASOCIACION DEPORTIVA ALIANZA SULLANA"/>
    <s v="202508"/>
    <d v="2025-10-27T00:00:00"/>
    <n v="1328.59"/>
    <x v="1"/>
    <x v="15"/>
  </r>
  <r>
    <s v="FLUJO"/>
    <n v="20508330201"/>
    <s v="SOMERLY E.I.R.L."/>
    <s v="202508, 202507, 202506"/>
    <d v="2025-10-27T00:00:00"/>
    <n v="394.95000000000005"/>
    <x v="1"/>
    <x v="15"/>
  </r>
  <r>
    <s v="FLUJO"/>
    <n v="20514777749"/>
    <s v="DESTILERIA VILLACURI SAC"/>
    <s v="202508, 202507, 202506, 202505, 202504"/>
    <d v="2025-10-27T00:00:00"/>
    <n v="1664.01"/>
    <x v="1"/>
    <x v="15"/>
  </r>
  <r>
    <s v="FLUJO"/>
    <n v="20563127229"/>
    <s v="3MD TRANSPORTE Y LOGISTICA SRL"/>
    <s v="202508, 202507"/>
    <d v="2025-10-27T00:00:00"/>
    <n v="1236.5"/>
    <x v="1"/>
    <x v="15"/>
  </r>
  <r>
    <s v="FLUJO"/>
    <n v="20604173575"/>
    <s v="TRANSPORTES GARABANDAL E.I.R.L."/>
    <s v="202508"/>
    <d v="2025-10-27T00:00:00"/>
    <n v="752.68000000000006"/>
    <x v="1"/>
    <x v="15"/>
  </r>
  <r>
    <s v="FLUJO"/>
    <n v="20604543488"/>
    <s v="ATENAS  SAN VALENTIN S A C"/>
    <s v="202508, 202507, 202506, 202505, 202504, 202503"/>
    <d v="2025-10-27T00:00:00"/>
    <n v="1796.06"/>
    <x v="1"/>
    <x v="15"/>
  </r>
  <r>
    <s v="FLUJO"/>
    <n v="20606532777"/>
    <s v="INVERSIONES JHOSDANS E.I.R.L"/>
    <s v="202508, 202507, 202506"/>
    <d v="2025-10-27T00:00:00"/>
    <n v="394.95000000000005"/>
    <x v="1"/>
    <x v="15"/>
  </r>
  <r>
    <s v="FLUJO"/>
    <n v="20607574406"/>
    <s v="AGROVET ANDINA GROUP S.A.C."/>
    <s v="202508"/>
    <d v="2025-10-27T00:00:00"/>
    <n v="287.18"/>
    <x v="1"/>
    <x v="15"/>
  </r>
  <r>
    <s v="FLUJO"/>
    <n v="20608373544"/>
    <s v="SERVICIOS DE TRANSPORTE Y ALQUILER ALTAMIRANO SAC"/>
    <s v="202508, 202507"/>
    <d v="2025-10-27T00:00:00"/>
    <n v="659"/>
    <x v="1"/>
    <x v="15"/>
  </r>
  <r>
    <s v="FLUJO"/>
    <n v="20610886214"/>
    <s v="PERU MALLAS VIP SAC"/>
    <s v="202508, 202507"/>
    <d v="2025-10-27T00:00:00"/>
    <n v="262.10000000000002"/>
    <x v="1"/>
    <x v="15"/>
  </r>
  <r>
    <s v="FLUJO"/>
    <n v="10465159800"/>
    <s v="CARRERA MELGAR JEFFRY MARTIN"/>
    <s v="202507, 202506"/>
    <d v="2025-10-27T00:00:00"/>
    <n v="290.86"/>
    <x v="1"/>
    <x v="15"/>
  </r>
  <r>
    <s v="FLUJO"/>
    <n v="20366248766"/>
    <s v="SIKMAZ SERVICE EIRL"/>
    <s v="202505, 202507, 202506"/>
    <d v="2025-10-27T00:00:00"/>
    <n v="398.93999999999994"/>
    <x v="1"/>
    <x v="15"/>
  </r>
  <r>
    <s v="FLUJO"/>
    <n v="20603441312"/>
    <s v="TRANSPORTES MOLLE SOCIEDAD ANONIMA CERRADA"/>
    <s v="202508"/>
    <d v="2025-10-27T00:00:00"/>
    <n v="301.85000000000002"/>
    <x v="1"/>
    <x v="15"/>
  </r>
  <r>
    <s v="PRESUNTA"/>
    <n v="20450583953"/>
    <s v="FATSUR SRL"/>
    <s v="202508, 202507, 202506, 202505, 202504"/>
    <d v="2025-10-27T00:00:00"/>
    <n v="470.17"/>
    <x v="1"/>
    <x v="15"/>
  </r>
  <r>
    <s v="PRESUNTA"/>
    <n v="20603583371"/>
    <s v="TAYPI UMA COMERCIO Y SERVICIOS GENERALES E.I.R.L."/>
    <s v="202508"/>
    <d v="2025-10-27T00:00:00"/>
    <n v="287.18"/>
    <x v="1"/>
    <x v="15"/>
  </r>
  <r>
    <s v="PRESUNTA"/>
    <n v="20608866851"/>
    <s v="CENTRO DE ESPECIALIDADES OFTALMOLOGICAS E.I.R.L."/>
    <s v="202508"/>
    <d v="2025-10-27T00:00:00"/>
    <n v="130.54"/>
    <x v="1"/>
    <x v="15"/>
  </r>
  <r>
    <s v="REAL TOTAL"/>
    <n v="20392819615"/>
    <s v="APS SERVICIOS GENERALES SAC"/>
    <s v="202404"/>
    <d v="2025-10-27T00:00:00"/>
    <n v="963.44"/>
    <x v="1"/>
    <x v="15"/>
  </r>
  <r>
    <s v="REAL TOTAL"/>
    <n v="20601324955"/>
    <s v="SECONS CONSULTORES Y CONTRATISTAS S.A.C."/>
    <s v="201903, 201902"/>
    <d v="2025-10-27T00:00:00"/>
    <n v="575.39"/>
    <x v="1"/>
    <x v="15"/>
  </r>
  <r>
    <s v="REAL TOTAL"/>
    <n v="20518314468"/>
    <s v="ALTA TECNOLOGIA MEDICA SAC"/>
    <s v="201006"/>
    <d v="2025-10-27T00:00:00"/>
    <n v="219.15"/>
    <x v="1"/>
    <x v="15"/>
  </r>
  <r>
    <s v="FLUJO"/>
    <n v="20568106416"/>
    <s v="GRUPO LUCY LIZ SOCIEDAD ANONIMA CERRADA"/>
    <s v="202508, 202507, 202506"/>
    <d v="2025-10-28T00:00:00"/>
    <n v="394.95000000000005"/>
    <x v="1"/>
    <x v="16"/>
  </r>
  <r>
    <s v="FLUJO"/>
    <n v="20600196678"/>
    <s v="AT YOUR SERVICE SRL"/>
    <s v="202508"/>
    <d v="2025-10-28T00:00:00"/>
    <n v="254.14000000000001"/>
    <x v="1"/>
    <x v="16"/>
  </r>
  <r>
    <s v="FLUJO"/>
    <n v="20602930271"/>
    <s v="DIOS BRILLA EN MI SOCIEDAD ANONIMA CERRADA"/>
    <s v="202508"/>
    <d v="2025-10-28T00:00:00"/>
    <n v="231.04"/>
    <x v="1"/>
    <x v="16"/>
  </r>
  <r>
    <s v="FLUJO"/>
    <n v="20603515910"/>
    <s v="SISTEMAS DE LIMPIEZA SAC"/>
    <s v="202508, 202507, 202506, 202505, 202504, 202503, 202502, 202501, 202412, 202411, 202410, 202409, 202408"/>
    <d v="2025-10-28T00:00:00"/>
    <n v="1914.26"/>
    <x v="1"/>
    <x v="16"/>
  </r>
  <r>
    <s v="FLUJO"/>
    <n v="20603691513"/>
    <s v="CORPORACION RACOON SAC"/>
    <s v="202508, 202507, 202506, 202505"/>
    <d v="2025-10-28T00:00:00"/>
    <n v="528.96"/>
    <x v="1"/>
    <x v="16"/>
  </r>
  <r>
    <s v="FLUJO"/>
    <n v="20606002131"/>
    <s v="ANTA CREATIVA SOLUCIONES INTEGRALES SAC"/>
    <s v="202508"/>
    <d v="2025-10-28T00:00:00"/>
    <n v="242.59"/>
    <x v="1"/>
    <x v="16"/>
  </r>
  <r>
    <s v="FLUJO"/>
    <n v="20606072644"/>
    <s v="CORPORACION VERIMOBA S.A.C."/>
    <s v="202508, 202507, 202506, 202505, 202504"/>
    <d v="2025-10-28T00:00:00"/>
    <n v="664.12"/>
    <x v="1"/>
    <x v="16"/>
  </r>
  <r>
    <s v="FLUJO"/>
    <n v="20606163429"/>
    <s v="LOGISTICA COMPLETA PERU EIRL"/>
    <s v="202508, 202507"/>
    <d v="2025-10-28T00:00:00"/>
    <n v="262.10000000000002"/>
    <x v="1"/>
    <x v="16"/>
  </r>
  <r>
    <s v="FLUJO"/>
    <n v="20611025590"/>
    <s v="TESELIA STUDIO S.R.L."/>
    <s v="202508, 202507, 202506, 202505, 202504"/>
    <d v="2025-10-28T00:00:00"/>
    <n v="664.12"/>
    <x v="1"/>
    <x v="16"/>
  </r>
  <r>
    <s v="FLUJO"/>
    <n v="20613317997"/>
    <s v="TRANSPORTES NATALE S.A.C."/>
    <s v="202508, 202507"/>
    <d v="2025-10-28T00:00:00"/>
    <n v="417.5"/>
    <x v="1"/>
    <x v="16"/>
  </r>
  <r>
    <s v="FLUJO"/>
    <n v="20601337143"/>
    <s v="IEP GRUPO SAN ANTONIO SAC"/>
    <s v="202504, 202508, 202507, 202506, 202505"/>
    <d v="2025-10-28T00:00:00"/>
    <n v="664.63"/>
    <x v="1"/>
    <x v="16"/>
  </r>
  <r>
    <s v="FLUJO"/>
    <n v="20601244471"/>
    <s v="GRUPO CJC SAC"/>
    <s v="202501, 202412"/>
    <d v="2025-10-28T00:00:00"/>
    <n v="269.11"/>
    <x v="1"/>
    <x v="16"/>
  </r>
  <r>
    <s v="PRESUNTA"/>
    <n v="20610918957"/>
    <s v="RR TELCO SAC"/>
    <s v="202508"/>
    <d v="2025-10-28T00:00:00"/>
    <n v="492.3"/>
    <x v="1"/>
    <x v="16"/>
  </r>
  <r>
    <s v="PRESUNTA"/>
    <n v="20610094113"/>
    <s v="AZ ESTRUCTURAS S.A.C."/>
    <s v="202507"/>
    <d v="2025-10-28T00:00:00"/>
    <n v="209.57"/>
    <x v="1"/>
    <x v="16"/>
  </r>
  <r>
    <s v="REAL TOTAL"/>
    <n v="20610846999"/>
    <s v="EDGAR ALEJANDRO SUAREZ GUERRA E.I.R.L."/>
    <s v="202503"/>
    <d v="2025-10-28T00:00:00"/>
    <n v="136.31"/>
    <x v="1"/>
    <x v="16"/>
  </r>
  <r>
    <s v="REAL TOTAL"/>
    <n v="20605350501"/>
    <s v="VC Y M OPERACIONES COMERCIALES EIRL"/>
    <s v="202412"/>
    <d v="2025-10-28T00:00:00"/>
    <n v="140.16999999999999"/>
    <x v="1"/>
    <x v="16"/>
  </r>
  <r>
    <s v="REAL TOTAL"/>
    <n v="20523401794"/>
    <s v="HC CONSULTING SAC"/>
    <s v="201109"/>
    <d v="2025-10-28T00:00:00"/>
    <n v="31.25"/>
    <x v="1"/>
    <x v="16"/>
  </r>
  <r>
    <s v="REAL TOTAL"/>
    <n v="20522731537"/>
    <s v="GAM ALQUILER PERU SAC"/>
    <s v="201012"/>
    <d v="2025-10-28T00:00:00"/>
    <n v="109.17"/>
    <x v="1"/>
    <x v="16"/>
  </r>
  <r>
    <s v="REAL TOTAL"/>
    <n v="20101097286"/>
    <s v="PANEZ ISHIDA FAESA"/>
    <s v="200907, 200906, 200904, 200903, 200902, 200812, 200607, 200602, 200408, 200401"/>
    <d v="2025-10-28T00:00:00"/>
    <n v="11250.240000000002"/>
    <x v="1"/>
    <x v="16"/>
  </r>
  <r>
    <s v="FLUJO"/>
    <n v="20481101264"/>
    <s v="EXCELENTS EIRL"/>
    <s v="202508, 202507, 202506, 202505"/>
    <d v="2025-10-29T00:00:00"/>
    <n v="529.22"/>
    <x v="1"/>
    <x v="17"/>
  </r>
  <r>
    <s v="FLUJO"/>
    <n v="20554010556"/>
    <s v="SERMED SERVICIOS INTEGRALES EN MEDICINA ESPECIALIZADA S.A.C."/>
    <s v="202508"/>
    <d v="2025-10-29T00:00:00"/>
    <n v="417.37"/>
    <x v="1"/>
    <x v="17"/>
  </r>
  <r>
    <s v="FLUJO"/>
    <n v="20602493831"/>
    <s v="HIDRO SUPPLY EIRL"/>
    <s v="202508"/>
    <d v="2025-10-29T00:00:00"/>
    <n v="1098.6399999999999"/>
    <x v="1"/>
    <x v="17"/>
  </r>
  <r>
    <s v="FLUJO"/>
    <n v="20602598811"/>
    <s v="AGROINDUSTRIAS ESPEJO PALOMINO SAC"/>
    <s v="202508"/>
    <d v="2025-10-29T00:00:00"/>
    <n v="287.18"/>
    <x v="1"/>
    <x v="17"/>
  </r>
  <r>
    <s v="FLUJO"/>
    <n v="20603542194"/>
    <s v="CONSTRUCCION REDES Y TELECOMUNICACIONES SAC"/>
    <s v="202508"/>
    <d v="2025-10-29T00:00:00"/>
    <n v="261.08"/>
    <x v="1"/>
    <x v="17"/>
  </r>
  <r>
    <s v="FLUJO"/>
    <n v="20612051004"/>
    <s v="J  S REAL STATE PERU S.A.C."/>
    <s v="202508, 202507"/>
    <d v="2025-10-29T00:00:00"/>
    <n v="262.24"/>
    <x v="1"/>
    <x v="17"/>
  </r>
  <r>
    <s v="FLUJO"/>
    <n v="20613730509"/>
    <s v="GRUPO DIAMOND S.A.C."/>
    <s v="202508, 202507, 202506, 202505"/>
    <d v="2025-10-29T00:00:00"/>
    <n v="1405"/>
    <x v="1"/>
    <x v="17"/>
  </r>
  <r>
    <s v="FLUJO"/>
    <n v="20614073331"/>
    <s v="SECUREVEST E.I.R.L"/>
    <s v="202508, 202507"/>
    <d v="2025-10-29T00:00:00"/>
    <n v="1066.44"/>
    <x v="1"/>
    <x v="17"/>
  </r>
  <r>
    <s v="FLUJO"/>
    <n v="20608296167"/>
    <s v="DIFAMMEI S.A.C"/>
    <s v="202507"/>
    <d v="2025-10-29T00:00:00"/>
    <n v="233.09"/>
    <x v="1"/>
    <x v="17"/>
  </r>
  <r>
    <s v="FLUJO"/>
    <n v="20613167260"/>
    <s v="BIOFER TRADING S.A.C."/>
    <s v="202507"/>
    <d v="2025-10-29T00:00:00"/>
    <n v="145.69"/>
    <x v="1"/>
    <x v="17"/>
  </r>
  <r>
    <s v="FLUJO"/>
    <n v="20551180272"/>
    <s v="YM CONTRATISTAS SAC"/>
    <s v="202506"/>
    <d v="2025-10-29T00:00:00"/>
    <n v="176.35"/>
    <x v="1"/>
    <x v="17"/>
  </r>
  <r>
    <s v="FLUJO"/>
    <n v="20525653162"/>
    <s v="CORPORACION INTERN. CARRILLO E.I.R.L."/>
    <s v="202505"/>
    <d v="2025-10-29T00:00:00"/>
    <n v="147.55000000000001"/>
    <x v="1"/>
    <x v="17"/>
  </r>
  <r>
    <s v="FLUJO"/>
    <n v="20602468748"/>
    <s v="PG SCHLUMBOHM SAC"/>
    <s v="202504, 202503"/>
    <d v="2025-10-29T00:00:00"/>
    <n v="1469.3400000000001"/>
    <x v="1"/>
    <x v="17"/>
  </r>
  <r>
    <s v="FLUJO"/>
    <n v="20607013927"/>
    <s v="REYDEOROS COMPANY S.A.C."/>
    <s v="202504, 202507, 202506, 202505, 202508"/>
    <d v="2025-10-29T00:00:00"/>
    <n v="1117.52"/>
    <x v="1"/>
    <x v="17"/>
  </r>
  <r>
    <s v="FLUJO"/>
    <n v="20602965563"/>
    <s v="TIVOLI GROUP SAC"/>
    <s v="202508, 202507"/>
    <d v="2025-10-29T00:00:00"/>
    <n v="290.09000000000003"/>
    <x v="1"/>
    <x v="17"/>
  </r>
  <r>
    <s v="FLUJO"/>
    <n v="20613570501"/>
    <s v="JECK CONSTRUCCIONES EIRL"/>
    <s v="202508, 202507"/>
    <d v="2025-10-29T00:00:00"/>
    <n v="301.68"/>
    <x v="1"/>
    <x v="17"/>
  </r>
  <r>
    <s v="PRESUNTA"/>
    <n v="20608756427"/>
    <s v="DISTRIBUIDORA FARMACÃ‰UTICA MEDICAL PERÃš S.A.C"/>
    <s v="202508"/>
    <d v="2025-10-29T00:00:00"/>
    <n v="65.260000000000005"/>
    <x v="1"/>
    <x v="17"/>
  </r>
  <r>
    <s v="REAL TOTAL"/>
    <n v="20603642059"/>
    <s v="Fazza Consultores S.A.C."/>
    <s v="202310, 202309, 202308"/>
    <d v="2025-10-29T00:00:00"/>
    <n v="662.71"/>
    <x v="1"/>
    <x v="17"/>
  </r>
  <r>
    <s v="REAL TOTAL"/>
    <n v="20392983504"/>
    <s v="COMERCIALIZADORA MARGAGU EIRL"/>
    <s v="202204, 202203"/>
    <d v="2025-10-29T00:00:00"/>
    <n v="5.96"/>
    <x v="1"/>
    <x v="17"/>
  </r>
  <r>
    <s v="FLUJO"/>
    <n v="20515307720"/>
    <s v="PERUTOURS SAC"/>
    <s v="202508"/>
    <d v="2025-10-30T00:00:00"/>
    <n v="237.06"/>
    <x v="1"/>
    <x v="18"/>
  </r>
  <r>
    <s v="FLUJO"/>
    <n v="20610665501"/>
    <s v="PLANCK X ENERGY PERÃš S.A.C.S"/>
    <s v="202508"/>
    <d v="2025-10-30T00:00:00"/>
    <n v="578.16"/>
    <x v="1"/>
    <x v="18"/>
  </r>
  <r>
    <s v="FLUJO"/>
    <n v="20610791086"/>
    <s v="V-LOZ OPERADOR LOGISTICO S.A.C."/>
    <s v="202508, 202507, 202506, 202505, 202504"/>
    <d v="2025-10-30T00:00:00"/>
    <n v="1270.27"/>
    <x v="1"/>
    <x v="18"/>
  </r>
  <r>
    <s v="FLUJO"/>
    <n v="20611713062"/>
    <s v="24 CUADROS AUDIOVISUAL S.A.C."/>
    <s v="202508, 202507, 202506, 202505, 202504"/>
    <d v="2025-10-30T00:00:00"/>
    <n v="1176.5800000000002"/>
    <x v="1"/>
    <x v="18"/>
  </r>
  <r>
    <s v="FLUJO"/>
    <n v="20506684286"/>
    <s v="TACTICO MKT SAC"/>
    <s v="202507, 202506, 202505, 202504, 202503"/>
    <d v="2025-10-30T00:00:00"/>
    <n v="670.55"/>
    <x v="1"/>
    <x v="18"/>
  </r>
  <r>
    <s v="FLUJO"/>
    <n v="20570835492"/>
    <s v="ALFRED TRANS EIRL"/>
    <s v="202506, 202505, 202508, 202507"/>
    <d v="2025-10-30T00:00:00"/>
    <n v="529.47"/>
    <x v="1"/>
    <x v="18"/>
  </r>
  <r>
    <s v="REAL TOTAL"/>
    <n v="20536708732"/>
    <s v="TRIBALHOST SOCIEDAD ANONIMA CERRADA"/>
    <s v="202503"/>
    <d v="2025-10-30T00:00:00"/>
    <n v="136.45000000000002"/>
    <x v="1"/>
    <x v="18"/>
  </r>
  <r>
    <s v="REAL TOTAL"/>
    <n v="20613488619"/>
    <s v="VIGILANCIA TAURO SOCIEDAD ANONIMA CERRADA"/>
    <s v="202501"/>
    <d v="2025-10-30T00:00:00"/>
    <n v="138.76"/>
    <x v="1"/>
    <x v="18"/>
  </r>
  <r>
    <s v="REAL TOTAL"/>
    <n v="20306470338"/>
    <s v="inversiones y Negocios del Norte SAC"/>
    <s v="200211"/>
    <d v="2025-10-30T00:00:00"/>
    <n v="496.68"/>
    <x v="1"/>
    <x v="18"/>
  </r>
  <r>
    <s v="FLUJO"/>
    <n v="20502026586"/>
    <s v="PATT FRESH SAC"/>
    <s v="202508"/>
    <d v="2025-10-31T00:00:00"/>
    <n v="462.53000000000003"/>
    <x v="1"/>
    <x v="19"/>
  </r>
  <r>
    <s v="FLUJO"/>
    <n v="20516763273"/>
    <s v="DEGUSTACIONES Y SERVICIOS SAC"/>
    <s v="202508"/>
    <d v="2025-10-31T00:00:00"/>
    <n v="236.20000000000002"/>
    <x v="1"/>
    <x v="19"/>
  </r>
  <r>
    <s v="FLUJO"/>
    <n v="20559860965"/>
    <s v="MONTE LUMER S.A.C."/>
    <s v="202508, 202506"/>
    <d v="2025-10-31T00:00:00"/>
    <n v="447.36"/>
    <x v="1"/>
    <x v="19"/>
  </r>
  <r>
    <s v="FLUJO"/>
    <n v="20600289242"/>
    <s v="CORPORACION LOGISTICA F Y P SRL"/>
    <s v="202508, 202507, 202506, 202505, 202504"/>
    <d v="2025-10-31T00:00:00"/>
    <n v="633.28"/>
    <x v="1"/>
    <x v="19"/>
  </r>
  <r>
    <s v="FLUJO"/>
    <n v="20602224181"/>
    <s v="CAIDIESEL S &amp; R S.A.C"/>
    <s v="202508, 202507"/>
    <d v="2025-10-31T00:00:00"/>
    <n v="1319.94"/>
    <x v="1"/>
    <x v="19"/>
  </r>
  <r>
    <s v="FLUJO"/>
    <n v="20602748473"/>
    <s v="NEGOCIACIONES TH SAC"/>
    <s v="202508, 202507"/>
    <d v="2025-10-31T00:00:00"/>
    <n v="262.36"/>
    <x v="1"/>
    <x v="19"/>
  </r>
  <r>
    <s v="FLUJO"/>
    <n v="20602944710"/>
    <s v="EBALS CONSULTORES SAC"/>
    <s v="202508, 202507, 202506"/>
    <d v="2025-10-31T00:00:00"/>
    <n v="2072.14"/>
    <x v="1"/>
    <x v="19"/>
  </r>
  <r>
    <s v="FLUJO"/>
    <n v="20606539674"/>
    <s v="TRANSPORTES LAS PERLAS DEL PACIFICO EIRL"/>
    <s v="202508, 202507"/>
    <d v="2025-10-31T00:00:00"/>
    <n v="262.36"/>
    <x v="1"/>
    <x v="19"/>
  </r>
  <r>
    <s v="FLUJO"/>
    <n v="20607677175"/>
    <s v="PEGASUS C  E S.A.C."/>
    <s v="202508, 202507, 202506, 202505, 202504, 202503"/>
    <d v="2025-10-31T00:00:00"/>
    <n v="881.35"/>
    <x v="1"/>
    <x v="19"/>
  </r>
  <r>
    <s v="FLUJO"/>
    <n v="20607706213"/>
    <s v="JAML FER E.I.R.L."/>
    <s v="202508, 202507, 202506"/>
    <d v="2025-10-31T00:00:00"/>
    <n v="395.34000000000003"/>
    <x v="1"/>
    <x v="19"/>
  </r>
  <r>
    <s v="FLUJO"/>
    <n v="20611756586"/>
    <s v="CONSORCIO AEROFACHADAS"/>
    <s v="202508"/>
    <d v="2025-10-31T00:00:00"/>
    <n v="720.3"/>
    <x v="1"/>
    <x v="19"/>
  </r>
  <r>
    <s v="FLUJO"/>
    <n v="20614304881"/>
    <s v="MIRKODONI INDUSTRIAS PANADERIA Y PASTELERIA E.I.R.L."/>
    <s v="202508"/>
    <d v="2025-10-31T00:00:00"/>
    <n v="391.99"/>
    <x v="1"/>
    <x v="19"/>
  </r>
  <r>
    <s v="FLUJO"/>
    <n v="20605325174"/>
    <s v="VALUM VIC E.I.R.L."/>
    <s v="202507, 202506"/>
    <d v="2025-10-31T00:00:00"/>
    <n v="264.67999999999995"/>
    <x v="1"/>
    <x v="19"/>
  </r>
  <r>
    <s v="FLUJO"/>
    <n v="20610198075"/>
    <s v="INVERSIONES JOVALI S.A.C."/>
    <s v="202507, 202506"/>
    <d v="2025-10-31T00:00:00"/>
    <n v="281.07"/>
    <x v="1"/>
    <x v="19"/>
  </r>
  <r>
    <s v="FLUJO"/>
    <n v="10095822245"/>
    <s v="COPARA LLANOS JANET VIOLETA"/>
    <s v="202503"/>
    <d v="2025-10-31T00:00:00"/>
    <n v="545.78"/>
    <x v="1"/>
    <x v="19"/>
  </r>
  <r>
    <s v="REAL TOTAL"/>
    <n v="20516557371"/>
    <s v="SERVICIOS NAVALES E INDUSTRIALES VELASQUEZ SAC"/>
    <s v="200812"/>
    <d v="2025-10-31T00:00:00"/>
    <n v="51.89"/>
    <x v="1"/>
    <x v="19"/>
  </r>
  <r>
    <s v="FLUJO"/>
    <n v="20547609221"/>
    <s v="ATM Soluciones de IngenierÃ­a SAC"/>
    <s v="202508, 202507"/>
    <d v="2025-11-01T00:00:00"/>
    <n v="262.61"/>
    <x v="1"/>
    <x v="19"/>
  </r>
  <r>
    <s v="REAL TOTAL"/>
    <n v="20556355526"/>
    <s v="BIONIC PERU SOCIEDAD ANONIMA"/>
    <s v="202310, 202309, 202308"/>
    <d v="2025-11-01T00:00:00"/>
    <n v="446.85"/>
    <x v="1"/>
    <x v="19"/>
  </r>
  <r>
    <s v="FLUJO"/>
    <n v="10097569636"/>
    <s v="ESPINOZA RAMIREZ ESPERANZA AMPARO"/>
    <s v="202508"/>
    <d v="2025-11-03T00:00:00"/>
    <n v="279.99"/>
    <x v="1"/>
    <x v="20"/>
  </r>
  <r>
    <s v="FLUJO"/>
    <n v="20384484981"/>
    <s v="INVERSIONES YOLY SRL"/>
    <s v="202508"/>
    <d v="2025-11-03T00:00:00"/>
    <n v="261.58999999999997"/>
    <x v="1"/>
    <x v="20"/>
  </r>
  <r>
    <s v="FLUJO"/>
    <n v="20517740781"/>
    <s v="CONSTRUCTORA CINCO ESTRELLA S.A.C."/>
    <s v="202508"/>
    <d v="2025-11-03T00:00:00"/>
    <n v="868.1"/>
    <x v="1"/>
    <x v="20"/>
  </r>
  <r>
    <s v="FLUJO"/>
    <n v="20603869932"/>
    <s v="MEGA LOGISTICA GEO EIRL"/>
    <s v="202508, 202507, 202506, 202505, 202504"/>
    <d v="2025-11-03T00:00:00"/>
    <n v="665.41"/>
    <x v="1"/>
    <x v="20"/>
  </r>
  <r>
    <s v="FLUJO"/>
    <n v="20565679253"/>
    <s v="CONSORCIO RUMI TOURS SAC"/>
    <s v="202507"/>
    <d v="2025-11-03T00:00:00"/>
    <n v="131.82"/>
    <x v="1"/>
    <x v="20"/>
  </r>
  <r>
    <s v="FLUJO"/>
    <n v="20543418065"/>
    <s v="SERVIMULT JESUS DE SIRAC SRL"/>
    <s v="202506, 202505, 202504"/>
    <d v="2025-11-03T00:00:00"/>
    <n v="499.03"/>
    <x v="1"/>
    <x v="20"/>
  </r>
  <r>
    <s v="PRESUNTA"/>
    <n v="20523897048"/>
    <s v="COOPERATIVA DE AHORRO Y CREDITO PROMOTORA DE NEGOCIOS Y SER"/>
    <s v="202508"/>
    <d v="2025-11-03T00:00:00"/>
    <n v="173.62"/>
    <x v="1"/>
    <x v="20"/>
  </r>
  <r>
    <s v="REAL TOTAL"/>
    <n v="20564452859"/>
    <s v="DON VICTOR EIRL"/>
    <s v="202503, 202502"/>
    <d v="2025-11-03T00:00:00"/>
    <n v="274.31"/>
    <x v="1"/>
    <x v="20"/>
  </r>
  <r>
    <s v="FLUJO"/>
    <n v="20606240253"/>
    <s v="ALIADOS Y MARKETING STRATEGY S.A.C."/>
    <m/>
    <d v="2025-11-05T00:00:00"/>
    <n v="229.22"/>
    <x v="2"/>
    <x v="21"/>
  </r>
  <r>
    <s v="FLUJO"/>
    <n v="20608585509"/>
    <s v="ILUMINITY DENT S.A.C."/>
    <m/>
    <d v="2025-11-05T00:00:00"/>
    <n v="229.22"/>
    <x v="2"/>
    <x v="21"/>
  </r>
  <r>
    <s v="REDIRECCIONAMIENTO"/>
    <n v="20514740152"/>
    <s v="SERVICIOS TECNICOS DE INGENIERIA INDUSTRIAL METALICA SOCIEDAD COMERCIAL DE RESPONSABILIDAD LIMITADA"/>
    <m/>
    <d v="2025-11-05T00:00:00"/>
    <n v="1312.33"/>
    <x v="2"/>
    <x v="21"/>
  </r>
  <r>
    <s v="REDIRECCIONAMIENTO"/>
    <n v="20514740152"/>
    <s v="SERVICIOS TECNICOS DE INGENIERIA INDUSTRIAL METALICA SOCIEDAD COMERCIAL DE RESPONSABILIDAD LIMITADA"/>
    <m/>
    <d v="2025-11-05T00:00:00"/>
    <n v="1295.54"/>
    <x v="2"/>
    <x v="21"/>
  </r>
  <r>
    <s v="REDIRECCIONAMIENTO"/>
    <n v="20514740152"/>
    <s v="SERVICIOS TECNICOS DE INGENIERIA INDUSTRIAL METALICA SOCIEDAD COMERCIAL DE RESPONSABILIDAD LIMITADA"/>
    <m/>
    <d v="2025-11-05T00:00:00"/>
    <n v="1274.6600000000001"/>
    <x v="2"/>
    <x v="21"/>
  </r>
  <r>
    <s v="REDIRECCIONAMIENTO"/>
    <n v="20514740152"/>
    <s v="SERVICIOS TECNICOS DE INGENIERIA INDUSTRIAL METALICA SOCIEDAD COMERCIAL DE RESPONSABILIDAD LIMITADA"/>
    <m/>
    <d v="2025-11-05T00:00:00"/>
    <n v="1241.29"/>
    <x v="2"/>
    <x v="21"/>
  </r>
  <r>
    <s v="REDIRECCIONAMIENTO"/>
    <n v="20514740152"/>
    <s v="SERVICIOS TECNICOS DE INGENIERIA INDUSTRIAL METALICA SOCIEDAD COMERCIAL DE RESPONSABILIDAD LIMITADA"/>
    <m/>
    <d v="2025-11-05T00:00:00"/>
    <n v="1222.67"/>
    <x v="2"/>
    <x v="21"/>
  </r>
  <r>
    <s v="REDIRECCIONAMIENTO"/>
    <n v="20514740152"/>
    <s v="SERVICIOS TECNICOS DE INGENIERIA INDUSTRIAL METALICA SOCIEDAD COMERCIAL DE RESPONSABILIDAD LIMITADA"/>
    <m/>
    <d v="2025-11-05T00:00:00"/>
    <n v="1201.28"/>
    <x v="2"/>
    <x v="21"/>
  </r>
  <r>
    <s v="REDIRECCIONAMIENTO"/>
    <n v="20514740152"/>
    <s v="SERVICIOS TECNICOS DE INGENIERIA INDUSTRIAL METALICA SOCIEDAD COMERCIAL DE RESPONSABILIDAD LIMITADA"/>
    <m/>
    <d v="2025-11-05T00:00:00"/>
    <n v="642.04999999999995"/>
    <x v="2"/>
    <x v="21"/>
  </r>
  <r>
    <s v="FLUJO"/>
    <n v="20602160433"/>
    <s v="MOVE.CONSULTING EIRL"/>
    <m/>
    <d v="2025-11-06T00:00:00"/>
    <n v="325.94"/>
    <x v="2"/>
    <x v="0"/>
  </r>
  <r>
    <s v="FLUJO"/>
    <n v="10443989787"/>
    <s v="NUÃ‘EZ MAYTA BENITA"/>
    <m/>
    <d v="2025-11-07T00:00:00"/>
    <n v="206.5"/>
    <x v="2"/>
    <x v="1"/>
  </r>
  <r>
    <s v="FLUJO"/>
    <n v="10485288321"/>
    <s v="CCOLQUE SARMIENTO MARLENI"/>
    <m/>
    <d v="2025-11-07T00:00:00"/>
    <n v="166.36"/>
    <x v="2"/>
    <x v="1"/>
  </r>
  <r>
    <s v="FLUJO"/>
    <n v="10771641283"/>
    <s v="SANCHEZ VILCA LAYDYVERY CCORY"/>
    <m/>
    <d v="2025-11-07T00:00:00"/>
    <n v="203.57999999999998"/>
    <x v="2"/>
    <x v="1"/>
  </r>
  <r>
    <s v="FLUJO"/>
    <n v="20343155230"/>
    <s v="INSUMOS Y ACCESORIOS DE OFICINA S.A.C"/>
    <m/>
    <d v="2025-11-07T00:00:00"/>
    <n v="540.96"/>
    <x v="2"/>
    <x v="1"/>
  </r>
  <r>
    <s v="FLUJO"/>
    <n v="20439069849"/>
    <s v="EMPRESA DE TRANSPORTES CASCAS SRL"/>
    <m/>
    <d v="2025-11-07T00:00:00"/>
    <n v="259.27"/>
    <x v="2"/>
    <x v="1"/>
  </r>
  <r>
    <s v="FLUJO"/>
    <n v="20496080808"/>
    <s v="EMIN EIRL"/>
    <m/>
    <d v="2025-11-07T00:00:00"/>
    <n v="263.86"/>
    <x v="2"/>
    <x v="1"/>
  </r>
  <r>
    <s v="FLUJO"/>
    <n v="20521676711"/>
    <s v="JOM INGENIEROS SAC"/>
    <m/>
    <d v="2025-11-07T00:00:00"/>
    <n v="484.82"/>
    <x v="2"/>
    <x v="1"/>
  </r>
  <r>
    <s v="FLUJO"/>
    <n v="20534080108"/>
    <s v="CONSTRUCTORA HUARI SRL"/>
    <m/>
    <d v="2025-11-07T00:00:00"/>
    <n v="388.91"/>
    <x v="2"/>
    <x v="1"/>
  </r>
  <r>
    <s v="FLUJO"/>
    <n v="20534421703"/>
    <s v="EMPRESA DE SEGURIDAD TONY &amp; EA S.A.C."/>
    <m/>
    <d v="2025-11-07T00:00:00"/>
    <n v="216.82"/>
    <x v="2"/>
    <x v="1"/>
  </r>
  <r>
    <s v="FLUJO"/>
    <n v="20544938356"/>
    <s v="Seven Services EIRL"/>
    <m/>
    <d v="2025-11-07T00:00:00"/>
    <n v="630.98"/>
    <x v="2"/>
    <x v="1"/>
  </r>
  <r>
    <s v="FLUJO"/>
    <n v="20552502354"/>
    <s v="COOL CENTER SAC"/>
    <m/>
    <d v="2025-11-07T00:00:00"/>
    <n v="668.38"/>
    <x v="2"/>
    <x v="1"/>
  </r>
  <r>
    <s v="FLUJO"/>
    <n v="20558269511"/>
    <s v="SOLUCIONES Y SERVICIOS MULTIPLES PERU S.A.C. - SOLSER PERU S"/>
    <m/>
    <d v="2025-11-07T00:00:00"/>
    <n v="278.63"/>
    <x v="2"/>
    <x v="1"/>
  </r>
  <r>
    <s v="FLUJO"/>
    <n v="20600587383"/>
    <s v="LUBRICANTES Y ARTICULOS INDUSTRIALES S.A.C."/>
    <m/>
    <d v="2025-11-07T00:00:00"/>
    <n v="314.69"/>
    <x v="2"/>
    <x v="1"/>
  </r>
  <r>
    <s v="FLUJO"/>
    <n v="20600630033"/>
    <s v="ALBER PROYECTOS EN GENERAL S.A.C"/>
    <m/>
    <d v="2025-11-07T00:00:00"/>
    <n v="515.55000000000007"/>
    <x v="2"/>
    <x v="1"/>
  </r>
  <r>
    <s v="FLUJO"/>
    <n v="20600723317"/>
    <s v="REPRESENTACIONES V Y E IMPORT EXPORT S.R.L."/>
    <m/>
    <d v="2025-11-07T00:00:00"/>
    <n v="259.27"/>
    <x v="2"/>
    <x v="1"/>
  </r>
  <r>
    <s v="FLUJO"/>
    <n v="20601669413"/>
    <s v="J.H.T. MULTISERVICIOS S.A.C."/>
    <m/>
    <d v="2025-11-07T00:00:00"/>
    <n v="229.45000000000002"/>
    <x v="2"/>
    <x v="1"/>
  </r>
  <r>
    <s v="FLUJO"/>
    <n v="20601941881"/>
    <s v="MAS VALUE SAC"/>
    <m/>
    <d v="2025-11-07T00:00:00"/>
    <n v="1307.8499999999999"/>
    <x v="2"/>
    <x v="1"/>
  </r>
  <r>
    <s v="FLUJO"/>
    <n v="20602215599"/>
    <s v="COFESUR IMPORT EIRL"/>
    <m/>
    <d v="2025-11-07T00:00:00"/>
    <n v="276.73"/>
    <x v="2"/>
    <x v="1"/>
  </r>
  <r>
    <s v="FLUJO"/>
    <n v="20603041519"/>
    <s v="ALTA ESTETICA PROTESICA S.A.C."/>
    <m/>
    <d v="2025-11-07T00:00:00"/>
    <n v="907.46"/>
    <x v="2"/>
    <x v="1"/>
  </r>
  <r>
    <s v="FLUJO"/>
    <n v="20603354240"/>
    <s v="CORPORACION Y SERVICIOS MULTIPLES B J SAC"/>
    <m/>
    <d v="2025-11-07T00:00:00"/>
    <n v="601.5"/>
    <x v="2"/>
    <x v="1"/>
  </r>
  <r>
    <s v="FLUJO"/>
    <n v="20605419730"/>
    <s v="JMS INTERNACIONAL S.A.C."/>
    <m/>
    <d v="2025-11-07T00:00:00"/>
    <n v="504.78"/>
    <x v="2"/>
    <x v="1"/>
  </r>
  <r>
    <s v="FLUJO"/>
    <n v="20605456406"/>
    <s v="TIY E.I.R.L."/>
    <m/>
    <d v="2025-11-07T00:00:00"/>
    <n v="129.63999999999999"/>
    <x v="2"/>
    <x v="1"/>
  </r>
  <r>
    <s v="FLUJO"/>
    <n v="20605614745"/>
    <s v="NEGOCIACIONES GRANDEZ SAC"/>
    <m/>
    <d v="2025-11-07T00:00:00"/>
    <n v="511.67999999999995"/>
    <x v="2"/>
    <x v="1"/>
  </r>
  <r>
    <s v="FLUJO"/>
    <n v="20606091681"/>
    <s v="LYM LOPEZ RETAIL SAC"/>
    <m/>
    <d v="2025-11-07T00:00:00"/>
    <n v="286.81"/>
    <x v="2"/>
    <x v="1"/>
  </r>
  <r>
    <s v="FLUJO"/>
    <n v="20606336447"/>
    <s v="GRUPO VERTIZ SAC"/>
    <m/>
    <d v="2025-11-07T00:00:00"/>
    <n v="332.70000000000005"/>
    <x v="2"/>
    <x v="1"/>
  </r>
  <r>
    <s v="FLUJO"/>
    <n v="20607301515"/>
    <s v="ATESA TRANS E.I.R.L"/>
    <m/>
    <d v="2025-11-07T00:00:00"/>
    <n v="374.35"/>
    <x v="2"/>
    <x v="1"/>
  </r>
  <r>
    <s v="FLUJO"/>
    <n v="20607827592"/>
    <s v="GRUPO KALIMBO EIRL"/>
    <m/>
    <d v="2025-11-07T00:00:00"/>
    <n v="286.81"/>
    <x v="2"/>
    <x v="1"/>
  </r>
  <r>
    <s v="FLUJO"/>
    <n v="20608118153"/>
    <s v="TRANSPORTES Y SERVICIOS MGR"/>
    <m/>
    <d v="2025-11-07T00:00:00"/>
    <n v="493.31"/>
    <x v="2"/>
    <x v="1"/>
  </r>
  <r>
    <s v="FLUJO"/>
    <n v="20608563157"/>
    <s v="ACCESORIOS DFSK PERU E.I.R.L."/>
    <m/>
    <d v="2025-11-07T00:00:00"/>
    <n v="230.94"/>
    <x v="2"/>
    <x v="1"/>
  </r>
  <r>
    <s v="FLUJO"/>
    <n v="20608666851"/>
    <s v="GT AMAO S.A.C."/>
    <m/>
    <d v="2025-11-07T00:00:00"/>
    <n v="129.63999999999999"/>
    <x v="2"/>
    <x v="1"/>
  </r>
  <r>
    <s v="FLUJO"/>
    <n v="20609499517"/>
    <s v="MULTISERVICIOS MENA E.I.R.L."/>
    <m/>
    <d v="2025-11-07T00:00:00"/>
    <n v="518.54999999999995"/>
    <x v="2"/>
    <x v="1"/>
  </r>
  <r>
    <s v="FLUJO"/>
    <n v="20609757575"/>
    <s v="GROUP SAMUSA S.A.C."/>
    <m/>
    <d v="2025-11-07T00:00:00"/>
    <n v="259.27"/>
    <x v="2"/>
    <x v="1"/>
  </r>
  <r>
    <s v="FLUJO"/>
    <n v="20610786414"/>
    <s v="CONSTRUCTORA MONTECARLO MV S.R.L."/>
    <m/>
    <d v="2025-11-07T00:00:00"/>
    <n v="129.63999999999999"/>
    <x v="2"/>
    <x v="1"/>
  </r>
  <r>
    <s v="FLUJO"/>
    <n v="20610854215"/>
    <s v="DON JUAN CORPORATION E.I.R.L."/>
    <m/>
    <d v="2025-11-07T00:00:00"/>
    <n v="396.94"/>
    <x v="2"/>
    <x v="1"/>
  </r>
  <r>
    <s v="FLUJO"/>
    <n v="20611998245"/>
    <s v="MULTISERVICIOS CAMUS GONZALES E.I.R.L"/>
    <m/>
    <d v="2025-11-07T00:00:00"/>
    <n v="129.63999999999999"/>
    <x v="2"/>
    <x v="1"/>
  </r>
  <r>
    <s v="FLUJO"/>
    <n v="20123697864"/>
    <s v="EMPRESA DE TRANSPORTES HILDA SAC"/>
    <m/>
    <d v="2025-11-07T00:00:00"/>
    <n v="278.06"/>
    <x v="2"/>
    <x v="1"/>
  </r>
  <r>
    <s v="FLUJO"/>
    <n v="20521334089"/>
    <s v="IEP SOL DE FATIMA EIRL"/>
    <m/>
    <d v="2025-11-07T00:00:00"/>
    <n v="231.72000000000003"/>
    <x v="2"/>
    <x v="1"/>
  </r>
  <r>
    <s v="FLUJO"/>
    <n v="20524860504"/>
    <s v="Minera Tantara SAC"/>
    <m/>
    <d v="2025-11-07T00:00:00"/>
    <n v="656.33"/>
    <x v="2"/>
    <x v="1"/>
  </r>
  <r>
    <s v="FLUJO"/>
    <n v="20552615043"/>
    <s v="PROYECTOS HVAC E INGENIERIA EIRL"/>
    <m/>
    <d v="2025-11-07T00:00:00"/>
    <n v="752.88000000000011"/>
    <x v="2"/>
    <x v="1"/>
  </r>
  <r>
    <s v="FLUJO"/>
    <n v="20563578824"/>
    <s v="A &amp; H COMPANY S.A.C."/>
    <m/>
    <d v="2025-11-07T00:00:00"/>
    <n v="447.79999999999995"/>
    <x v="2"/>
    <x v="1"/>
  </r>
  <r>
    <s v="FLUJO"/>
    <n v="20600723317"/>
    <s v="REPRESENTACIONES V Y E IMPORT EXPORT S.R.L."/>
    <m/>
    <d v="2025-11-07T00:00:00"/>
    <n v="261.83999999999997"/>
    <x v="2"/>
    <x v="1"/>
  </r>
  <r>
    <s v="FLUJO"/>
    <n v="20600859251"/>
    <s v="MADELCA CONTRATISTA GENERALES EIRL"/>
    <m/>
    <d v="2025-11-07T00:00:00"/>
    <n v="130.92000000000002"/>
    <x v="2"/>
    <x v="1"/>
  </r>
  <r>
    <s v="FLUJO"/>
    <n v="20603354240"/>
    <s v="CORPORACION Y SERVICIOS MULTIPLES B J SAC"/>
    <m/>
    <d v="2025-11-07T00:00:00"/>
    <n v="669.23"/>
    <x v="2"/>
    <x v="1"/>
  </r>
  <r>
    <s v="FLUJO"/>
    <n v="20605614745"/>
    <s v="NEGOCIACIONES GRANDEZ SAC"/>
    <m/>
    <d v="2025-11-07T00:00:00"/>
    <n v="476.53000000000003"/>
    <x v="2"/>
    <x v="1"/>
  </r>
  <r>
    <s v="FLUJO"/>
    <n v="20607827592"/>
    <s v="GRUPO KALIMBO EIRL"/>
    <m/>
    <d v="2025-11-07T00:00:00"/>
    <n v="289.64999999999998"/>
    <x v="2"/>
    <x v="1"/>
  </r>
  <r>
    <s v="FLUJO"/>
    <n v="20608563157"/>
    <s v="ACCESORIOS DFSK PERU E.I.R.L."/>
    <m/>
    <d v="2025-11-07T00:00:00"/>
    <n v="262.58"/>
    <x v="2"/>
    <x v="1"/>
  </r>
  <r>
    <s v="FLUJO"/>
    <n v="20608666851"/>
    <s v="GT AMAO S.A.C."/>
    <m/>
    <d v="2025-11-07T00:00:00"/>
    <n v="130.92000000000002"/>
    <x v="2"/>
    <x v="1"/>
  </r>
  <r>
    <s v="FLUJO"/>
    <n v="20610364935"/>
    <s v="MAGOKORO SERVICE E.I.R.L."/>
    <m/>
    <d v="2025-11-07T00:00:00"/>
    <n v="523.68999999999994"/>
    <x v="2"/>
    <x v="1"/>
  </r>
  <r>
    <s v="FLUJO"/>
    <n v="20610786414"/>
    <s v="CONSTRUCTORA MONTECARLO MV S.R.L."/>
    <m/>
    <d v="2025-11-07T00:00:00"/>
    <n v="130.92000000000002"/>
    <x v="2"/>
    <x v="1"/>
  </r>
  <r>
    <s v="FLUJO"/>
    <n v="20611998245"/>
    <s v="MULTISERVICIOS CAMUS GONZALES E.I.R.L"/>
    <m/>
    <d v="2025-11-07T00:00:00"/>
    <n v="130.92000000000002"/>
    <x v="2"/>
    <x v="1"/>
  </r>
  <r>
    <s v="FLUJO"/>
    <n v="20600859251"/>
    <s v="MADELCA CONTRATISTA GENERALES EIRL"/>
    <m/>
    <d v="2025-11-07T00:00:00"/>
    <n v="131.94999999999999"/>
    <x v="2"/>
    <x v="1"/>
  </r>
  <r>
    <s v="FLUJO"/>
    <n v="20605614745"/>
    <s v="NEGOCIACIONES GRANDEZ SAC"/>
    <m/>
    <d v="2025-11-07T00:00:00"/>
    <n v="480.28000000000003"/>
    <x v="2"/>
    <x v="1"/>
  </r>
  <r>
    <s v="FLUJO"/>
    <n v="20608563157"/>
    <s v="ACCESORIOS DFSK PERU E.I.R.L."/>
    <m/>
    <d v="2025-11-07T00:00:00"/>
    <n v="264.64"/>
    <x v="2"/>
    <x v="1"/>
  </r>
  <r>
    <s v="FLUJO"/>
    <n v="20610786414"/>
    <s v="CONSTRUCTORA MONTECARLO MV S.R.L."/>
    <m/>
    <d v="2025-11-07T00:00:00"/>
    <n v="131.94999999999999"/>
    <x v="2"/>
    <x v="1"/>
  </r>
  <r>
    <s v="FLUJO"/>
    <n v="20613817264"/>
    <s v="CONSORCIO SONNE"/>
    <m/>
    <d v="2025-11-07T00:00:00"/>
    <n v="1670.36"/>
    <x v="2"/>
    <x v="1"/>
  </r>
  <r>
    <s v="FLUJO"/>
    <n v="20605614745"/>
    <s v="NEGOCIACIONES GRANDEZ SAC"/>
    <m/>
    <d v="2025-11-07T00:00:00"/>
    <n v="484.95"/>
    <x v="2"/>
    <x v="1"/>
  </r>
  <r>
    <s v="FLUJO"/>
    <n v="20607021393"/>
    <s v="INGEN TELECOM S.A.C."/>
    <m/>
    <d v="2025-11-07T00:00:00"/>
    <n v="308.09000000000003"/>
    <x v="2"/>
    <x v="1"/>
  </r>
  <r>
    <s v="FLUJO"/>
    <n v="20608563157"/>
    <s v="ACCESORIOS DFSK PERU E.I.R.L."/>
    <m/>
    <d v="2025-11-07T00:00:00"/>
    <n v="252.27999999999997"/>
    <x v="2"/>
    <x v="1"/>
  </r>
  <r>
    <s v="FLUJO"/>
    <n v="20610786414"/>
    <s v="CONSTRUCTORA MONTECARLO MV S.R.L."/>
    <m/>
    <d v="2025-11-07T00:00:00"/>
    <n v="133.23000000000002"/>
    <x v="2"/>
    <x v="1"/>
  </r>
  <r>
    <s v="FLUJO"/>
    <n v="20613817264"/>
    <s v="CONSORCIO SONNE"/>
    <m/>
    <d v="2025-11-07T00:00:00"/>
    <n v="2529.92"/>
    <x v="2"/>
    <x v="1"/>
  </r>
  <r>
    <s v="FLUJO"/>
    <n v="20605614745"/>
    <s v="NEGOCIACIONES GRANDEZ SAC"/>
    <m/>
    <d v="2025-11-07T00:00:00"/>
    <n v="489.16"/>
    <x v="2"/>
    <x v="1"/>
  </r>
  <r>
    <s v="FLUJO"/>
    <n v="20607021393"/>
    <s v="INGEN TELECOM S.A.C."/>
    <m/>
    <d v="2025-11-07T00:00:00"/>
    <n v="310.77"/>
    <x v="2"/>
    <x v="1"/>
  </r>
  <r>
    <s v="FLUJO"/>
    <n v="20608563157"/>
    <s v="ACCESORIOS DFSK PERU E.I.R.L."/>
    <m/>
    <d v="2025-11-07T00:00:00"/>
    <n v="473.15"/>
    <x v="2"/>
    <x v="1"/>
  </r>
  <r>
    <s v="FLUJO"/>
    <n v="20610786414"/>
    <s v="CONSTRUCTORA MONTECARLO MV S.R.L."/>
    <m/>
    <d v="2025-11-07T00:00:00"/>
    <n v="134.39000000000001"/>
    <x v="2"/>
    <x v="1"/>
  </r>
  <r>
    <s v="FLUJO"/>
    <n v="20613817264"/>
    <s v="CONSORCIO SONNE"/>
    <m/>
    <d v="2025-11-07T00:00:00"/>
    <n v="2115.0100000000002"/>
    <x v="2"/>
    <x v="1"/>
  </r>
  <r>
    <s v="FLUJO"/>
    <n v="20605614745"/>
    <s v="NEGOCIACIONES GRANDEZ SAC"/>
    <m/>
    <d v="2025-11-07T00:00:00"/>
    <n v="493.37"/>
    <x v="2"/>
    <x v="1"/>
  </r>
  <r>
    <s v="FLUJO"/>
    <n v="20607021393"/>
    <s v="INGEN TELECOM S.A.C."/>
    <m/>
    <d v="2025-11-07T00:00:00"/>
    <n v="313.44"/>
    <x v="2"/>
    <x v="1"/>
  </r>
  <r>
    <s v="FLUJO"/>
    <n v="20610786414"/>
    <s v="CONSTRUCTORA MONTECARLO MV S.R.L."/>
    <m/>
    <d v="2025-11-07T00:00:00"/>
    <n v="135.55000000000001"/>
    <x v="2"/>
    <x v="1"/>
  </r>
  <r>
    <s v="FLUJO"/>
    <n v="20610786414"/>
    <s v="CONSTRUCTORA MONTECARLO MV S.R.L."/>
    <m/>
    <d v="2025-11-07T00:00:00"/>
    <n v="136.69999999999999"/>
    <x v="2"/>
    <x v="1"/>
  </r>
  <r>
    <s v="FLUJO"/>
    <n v="20610786414"/>
    <s v="CONSTRUCTORA MONTECARLO MV S.R.L."/>
    <m/>
    <d v="2025-11-07T00:00:00"/>
    <n v="137.99"/>
    <x v="2"/>
    <x v="1"/>
  </r>
  <r>
    <s v="FLUJO"/>
    <n v="20480515961"/>
    <s v="CANTERA PATAPO LA VICTORIA SA"/>
    <m/>
    <d v="2025-11-08T00:00:00"/>
    <n v="129.76"/>
    <x v="2"/>
    <x v="1"/>
  </r>
  <r>
    <s v="FLUJO"/>
    <n v="20491086212"/>
    <s v="INVERSIONES SALKAMAYU E.I.R.L"/>
    <m/>
    <d v="2025-11-08T00:00:00"/>
    <n v="125.42999999999999"/>
    <x v="2"/>
    <x v="1"/>
  </r>
  <r>
    <s v="FLUJO"/>
    <n v="20492325784"/>
    <s v="4A SOLUCIONES INTEGRALES SAC"/>
    <m/>
    <d v="2025-11-08T00:00:00"/>
    <n v="574.19000000000005"/>
    <x v="2"/>
    <x v="1"/>
  </r>
  <r>
    <s v="FLUJO"/>
    <n v="20534262800"/>
    <s v="EMPRESA DE TRANSPORTES Y CONSTRUCCIONES BELLIDO SAC"/>
    <m/>
    <d v="2025-11-08T00:00:00"/>
    <n v="1061.56"/>
    <x v="2"/>
    <x v="1"/>
  </r>
  <r>
    <s v="FLUJO"/>
    <n v="20559646530"/>
    <s v="GRUPO MARREROS SAC"/>
    <m/>
    <d v="2025-11-08T00:00:00"/>
    <n v="172.26"/>
    <x v="2"/>
    <x v="1"/>
  </r>
  <r>
    <s v="FLUJO"/>
    <n v="20559934241"/>
    <s v="EMSERMUL JH EIRL SERVICIOS MULTIPLES JH SOUSA EIRL"/>
    <m/>
    <d v="2025-11-08T00:00:00"/>
    <n v="548.39"/>
    <x v="2"/>
    <x v="1"/>
  </r>
  <r>
    <s v="FLUJO"/>
    <n v="20560037628"/>
    <s v="TRANSCASE SERVICIOS LOGISTICOS S.A.C."/>
    <m/>
    <d v="2025-11-08T00:00:00"/>
    <n v="448.32"/>
    <x v="2"/>
    <x v="1"/>
  </r>
  <r>
    <s v="FLUJO"/>
    <n v="20601250773"/>
    <s v="ENGINEERING AND ROADS EIRL"/>
    <m/>
    <d v="2025-11-08T00:00:00"/>
    <n v="259.52999999999997"/>
    <x v="2"/>
    <x v="1"/>
  </r>
  <r>
    <s v="FLUJO"/>
    <n v="20601649579"/>
    <s v="PREVENCION VIGILANCIA Y SEGURIDAD DEL ORIENTE SAC"/>
    <m/>
    <d v="2025-11-08T00:00:00"/>
    <n v="469.15999999999997"/>
    <x v="2"/>
    <x v="1"/>
  </r>
  <r>
    <s v="FLUJO"/>
    <n v="20602365426"/>
    <s v="VICAR TRAZO Y PUNTO SAC"/>
    <m/>
    <d v="2025-11-08T00:00:00"/>
    <n v="318.21000000000004"/>
    <x v="2"/>
    <x v="1"/>
  </r>
  <r>
    <s v="FLUJO"/>
    <n v="20603257121"/>
    <s v="INTEGRACION DE TECNOLOGIAS INMOBILIARIAS S.A.C."/>
    <m/>
    <d v="2025-11-08T00:00:00"/>
    <n v="431.17"/>
    <x v="2"/>
    <x v="1"/>
  </r>
  <r>
    <s v="FLUJO"/>
    <n v="20607402052"/>
    <s v="ASCONTRI EMPRESARIAL S.A.C"/>
    <m/>
    <d v="2025-11-08T00:00:00"/>
    <n v="344.51"/>
    <x v="2"/>
    <x v="1"/>
  </r>
  <r>
    <s v="FLUJO"/>
    <n v="20608879022"/>
    <s v="EMPRESA DE TRANSPORTES GAF LAOS E.I.R.L."/>
    <m/>
    <d v="2025-11-08T00:00:00"/>
    <n v="287.09000000000003"/>
    <x v="2"/>
    <x v="1"/>
  </r>
  <r>
    <s v="FLUJO"/>
    <n v="20611694971"/>
    <s v="CITV GAMBETTA S.A.C."/>
    <m/>
    <d v="2025-11-08T00:00:00"/>
    <n v="259.52999999999997"/>
    <x v="2"/>
    <x v="1"/>
  </r>
  <r>
    <s v="FLUJO"/>
    <n v="20612556157"/>
    <s v="DISTRIBUIDORA INFANTE EIRL"/>
    <m/>
    <d v="2025-11-08T00:00:00"/>
    <n v="302.02"/>
    <x v="2"/>
    <x v="1"/>
  </r>
  <r>
    <s v="FLUJO"/>
    <n v="20393905825"/>
    <s v="DISTRIBUIDORA Y SERVICIOS SANTIAGO E.I.R.L"/>
    <m/>
    <d v="2025-11-08T00:00:00"/>
    <n v="131.05000000000001"/>
    <x v="2"/>
    <x v="1"/>
  </r>
  <r>
    <s v="FLUJO"/>
    <n v="20480515961"/>
    <s v="CANTERA PATAPO LA VICTORIA SA"/>
    <m/>
    <d v="2025-11-08T00:00:00"/>
    <n v="122.32"/>
    <x v="2"/>
    <x v="1"/>
  </r>
  <r>
    <s v="FLUJO"/>
    <n v="20491086212"/>
    <s v="INVERSIONES SALKAMAYU E.I.R.L"/>
    <m/>
    <d v="2025-11-08T00:00:00"/>
    <n v="139.78"/>
    <x v="2"/>
    <x v="1"/>
  </r>
  <r>
    <s v="FLUJO"/>
    <n v="20549945083"/>
    <s v="CONSORCIO EDUCATIVO DIVINO CORAZON DE JESUS SAC"/>
    <m/>
    <d v="2025-11-08T00:00:00"/>
    <n v="405.90999999999997"/>
    <x v="2"/>
    <x v="1"/>
  </r>
  <r>
    <s v="FLUJO"/>
    <n v="20559646530"/>
    <s v="GRUPO MARREROS SAC"/>
    <m/>
    <d v="2025-11-08T00:00:00"/>
    <n v="173.96"/>
    <x v="2"/>
    <x v="1"/>
  </r>
  <r>
    <s v="FLUJO"/>
    <n v="20600879970"/>
    <s v="MARKYS  B &amp; K S.A.C"/>
    <m/>
    <d v="2025-11-08T00:00:00"/>
    <n v="670.39"/>
    <x v="2"/>
    <x v="1"/>
  </r>
  <r>
    <s v="FLUJO"/>
    <n v="20603928718"/>
    <s v="OVRC INVERSIONES EN TURISMO EIRL"/>
    <m/>
    <d v="2025-11-08T00:00:00"/>
    <n v="115.26"/>
    <x v="2"/>
    <x v="1"/>
  </r>
  <r>
    <s v="FLUJO"/>
    <n v="20559646530"/>
    <s v="GRUPO MARREROS SAC"/>
    <m/>
    <d v="2025-11-08T00:00:00"/>
    <n v="175.32999999999998"/>
    <x v="2"/>
    <x v="1"/>
  </r>
  <r>
    <s v="FLUJO"/>
    <n v="20544296222"/>
    <s v="INVERSIONES Y SERVICIOS LOS LAGOS SAC"/>
    <m/>
    <d v="2025-11-09T00:00:00"/>
    <n v="517.11"/>
    <x v="2"/>
    <x v="1"/>
  </r>
  <r>
    <s v="FLUJO"/>
    <n v="20603792115"/>
    <s v="AGENCIA DE VIAJES Y TRANSPORTE TURISTICO JJ PERU E.I.R.L."/>
    <m/>
    <d v="2025-11-09T00:00:00"/>
    <n v="129.76"/>
    <x v="2"/>
    <x v="1"/>
  </r>
  <r>
    <s v="FLUJO"/>
    <n v="20605742701"/>
    <s v="FUNDO ECOTURISTICO EL COLIBRI S.A.C."/>
    <m/>
    <d v="2025-11-09T00:00:00"/>
    <n v="229.67000000000002"/>
    <x v="2"/>
    <x v="1"/>
  </r>
  <r>
    <s v="FLUJO"/>
    <n v="20606176199"/>
    <s v="BOTICA DERMA PERU S Y S S.A.C."/>
    <m/>
    <d v="2025-11-09T00:00:00"/>
    <n v="611.72"/>
    <x v="2"/>
    <x v="1"/>
  </r>
  <r>
    <s v="FLUJO"/>
    <n v="20614289407"/>
    <s v="E-MAX PERU S.A.C."/>
    <m/>
    <d v="2025-11-09T00:00:00"/>
    <n v="129.76"/>
    <x v="2"/>
    <x v="1"/>
  </r>
  <r>
    <s v="FLUJO"/>
    <n v="20603792115"/>
    <s v="AGENCIA DE VIAJES Y TRANSPORTE TURISTICO JJ PERU E.I.R.L."/>
    <m/>
    <d v="2025-11-09T00:00:00"/>
    <n v="131.05000000000001"/>
    <x v="2"/>
    <x v="1"/>
  </r>
  <r>
    <s v="FLUJO"/>
    <n v="20614289407"/>
    <s v="E-MAX PERU S.A.C."/>
    <m/>
    <d v="2025-11-09T00:00:00"/>
    <n v="232.53"/>
    <x v="2"/>
    <x v="1"/>
  </r>
  <r>
    <s v="FLUJO"/>
    <n v="10004908843"/>
    <s v="QUISPE CALDERON LIZANDRO"/>
    <m/>
    <d v="2025-11-10T00:00:00"/>
    <n v="277.78999999999996"/>
    <x v="2"/>
    <x v="2"/>
  </r>
  <r>
    <s v="FLUJO"/>
    <n v="10107845513"/>
    <s v="IPARRAGUIRRE CAHUANA"/>
    <m/>
    <d v="2025-11-10T00:00:00"/>
    <n v="206.71"/>
    <x v="2"/>
    <x v="2"/>
  </r>
  <r>
    <s v="FLUJO"/>
    <n v="15603354831"/>
    <s v="Aracelli de Lima Paulino Gamio"/>
    <m/>
    <d v="2025-11-10T00:00:00"/>
    <n v="129.76"/>
    <x v="2"/>
    <x v="2"/>
  </r>
  <r>
    <s v="FLUJO"/>
    <n v="20454377011"/>
    <s v="ROHA CONSTRUCCION Y MINERIA SAC"/>
    <m/>
    <d v="2025-11-10T00:00:00"/>
    <n v="631.6"/>
    <x v="2"/>
    <x v="2"/>
  </r>
  <r>
    <s v="FLUJO"/>
    <n v="20479912344"/>
    <s v="EMPRESA AMAZONICA PELE Y VENUS"/>
    <m/>
    <d v="2025-11-10T00:00:00"/>
    <n v="302.02"/>
    <x v="2"/>
    <x v="2"/>
  </r>
  <r>
    <s v="FLUJO"/>
    <n v="20492865894"/>
    <s v="INVESTMENT PROJECT EIRL"/>
    <m/>
    <d v="2025-11-10T00:00:00"/>
    <n v="603.06999999999994"/>
    <x v="2"/>
    <x v="2"/>
  </r>
  <r>
    <s v="FLUJO"/>
    <n v="20498453245"/>
    <s v="PRO AVAN CE S.A.C."/>
    <m/>
    <d v="2025-11-10T00:00:00"/>
    <n v="1250.27"/>
    <x v="2"/>
    <x v="2"/>
  </r>
  <r>
    <s v="FLUJO"/>
    <n v="20504796508"/>
    <s v="ROMIFER EIRL"/>
    <m/>
    <d v="2025-11-10T00:00:00"/>
    <n v="202"/>
    <x v="2"/>
    <x v="2"/>
  </r>
  <r>
    <s v="FLUJO"/>
    <n v="20508513381"/>
    <s v="CONST JAMSA INGENIEROS CONT GENERALES SAC"/>
    <m/>
    <d v="2025-11-10T00:00:00"/>
    <n v="401.93"/>
    <x v="2"/>
    <x v="2"/>
  </r>
  <r>
    <s v="FLUJO"/>
    <n v="20508513381"/>
    <s v="CONST JAMSA INGENIEROS CONT GENERALES SAC"/>
    <m/>
    <d v="2025-11-10T00:00:00"/>
    <n v="345.96"/>
    <x v="2"/>
    <x v="2"/>
  </r>
  <r>
    <s v="FLUJO"/>
    <n v="20520855514"/>
    <s v="INMOBILIARIA NAPOLI S.A.C."/>
    <m/>
    <d v="2025-11-10T00:00:00"/>
    <n v="269.23"/>
    <x v="2"/>
    <x v="2"/>
  </r>
  <r>
    <s v="FLUJO"/>
    <n v="20520988239"/>
    <s v="JCR PRODUCCIONES SRL"/>
    <m/>
    <d v="2025-11-10T00:00:00"/>
    <n v="285.49"/>
    <x v="2"/>
    <x v="2"/>
  </r>
  <r>
    <s v="FLUJO"/>
    <n v="20524125367"/>
    <s v="ADVANCED NETWORKS EIRL"/>
    <m/>
    <d v="2025-11-10T00:00:00"/>
    <n v="201.20000000000002"/>
    <x v="2"/>
    <x v="2"/>
  </r>
  <r>
    <s v="FLUJO"/>
    <n v="20537295334"/>
    <s v="INDUSTRIAS DEL FRIO FA MAU SAC"/>
    <m/>
    <d v="2025-11-10T00:00:00"/>
    <n v="360.68"/>
    <x v="2"/>
    <x v="2"/>
  </r>
  <r>
    <s v="FLUJO"/>
    <n v="20543817512"/>
    <s v="TRANSPORTES CAJITAS CARGO EIRL"/>
    <m/>
    <d v="2025-11-10T00:00:00"/>
    <n v="129.76"/>
    <x v="2"/>
    <x v="2"/>
  </r>
  <r>
    <s v="FLUJO"/>
    <n v="20547480601"/>
    <s v="A C servicios ElectromecÃ¡nicos Industriales SAC"/>
    <m/>
    <d v="2025-11-10T00:00:00"/>
    <n v="310.06"/>
    <x v="2"/>
    <x v="2"/>
  </r>
  <r>
    <s v="FLUJO"/>
    <n v="20555523395"/>
    <s v="KFA SOLUTIONS EIRL"/>
    <m/>
    <d v="2025-11-10T00:00:00"/>
    <n v="313.16000000000003"/>
    <x v="2"/>
    <x v="2"/>
  </r>
  <r>
    <s v="FLUJO"/>
    <n v="20565870638"/>
    <s v="CORPORACION VANIA MICHELL S.A.C."/>
    <m/>
    <d v="2025-11-10T00:00:00"/>
    <n v="416.86"/>
    <x v="2"/>
    <x v="2"/>
  </r>
  <r>
    <s v="FLUJO"/>
    <n v="20601225809"/>
    <s v="GRUPO BDV SAC"/>
    <m/>
    <d v="2025-11-10T00:00:00"/>
    <n v="211.3"/>
    <x v="2"/>
    <x v="2"/>
  </r>
  <r>
    <s v="FLUJO"/>
    <n v="20601638496"/>
    <s v="ECHE CONSTRUCTORES E.I.R.L."/>
    <m/>
    <d v="2025-11-10T00:00:00"/>
    <n v="342.72999999999996"/>
    <x v="2"/>
    <x v="2"/>
  </r>
  <r>
    <s v="FLUJO"/>
    <n v="20601758823"/>
    <s v="HC TRANSPORTE Y SERVICIOS SAC"/>
    <m/>
    <d v="2025-11-10T00:00:00"/>
    <n v="272.51"/>
    <x v="2"/>
    <x v="2"/>
  </r>
  <r>
    <s v="FLUJO"/>
    <n v="20602290248"/>
    <s v="MOLINERA DON JULIO SAC"/>
    <m/>
    <d v="2025-11-10T00:00:00"/>
    <n v="267.57"/>
    <x v="2"/>
    <x v="2"/>
  </r>
  <r>
    <s v="FLUJO"/>
    <n v="20602467733"/>
    <s v="POLLERIA BROSTERIA MR COJO SAC"/>
    <m/>
    <d v="2025-11-10T00:00:00"/>
    <n v="143.43"/>
    <x v="2"/>
    <x v="2"/>
  </r>
  <r>
    <s v="FLUJO"/>
    <n v="20602699880"/>
    <s v="M &amp; M CHAF D EIRL"/>
    <m/>
    <d v="2025-11-10T00:00:00"/>
    <n v="409.4"/>
    <x v="2"/>
    <x v="2"/>
  </r>
  <r>
    <s v="FLUJO"/>
    <n v="20603210531"/>
    <s v="GRUPO SOTO GREEN HOUSE E.I.R.L."/>
    <m/>
    <d v="2025-11-10T00:00:00"/>
    <n v="519.05999999999995"/>
    <x v="2"/>
    <x v="2"/>
  </r>
  <r>
    <s v="FLUJO"/>
    <n v="20604661537"/>
    <s v="REPRESENTACIONES GENERALES K Y L S.A.C."/>
    <m/>
    <d v="2025-11-10T00:00:00"/>
    <n v="129.76"/>
    <x v="2"/>
    <x v="2"/>
  </r>
  <r>
    <s v="FLUJO"/>
    <n v="20605481656"/>
    <s v="GRUPO 33 PROYECTOS GASTRONOMICOS SOCIEDAD ANÃ“NIMA CERRADA"/>
    <m/>
    <d v="2025-11-10T00:00:00"/>
    <n v="656.81999999999994"/>
    <x v="2"/>
    <x v="2"/>
  </r>
  <r>
    <s v="FLUJO"/>
    <n v="20606543353"/>
    <s v="GRUPO DUOFARMA PERU S.A.C."/>
    <m/>
    <d v="2025-11-10T00:00:00"/>
    <n v="142.74"/>
    <x v="2"/>
    <x v="2"/>
  </r>
  <r>
    <s v="FLUJO"/>
    <n v="20607522864"/>
    <s v="E. GOURMET SAC"/>
    <m/>
    <d v="2025-11-10T00:00:00"/>
    <n v="129.76"/>
    <x v="2"/>
    <x v="2"/>
  </r>
  <r>
    <s v="FLUJO"/>
    <n v="20608703277"/>
    <s v="ITS MANAGEMENT S.A.C."/>
    <m/>
    <d v="2025-11-10T00:00:00"/>
    <n v="269.87"/>
    <x v="2"/>
    <x v="2"/>
  </r>
  <r>
    <s v="FLUJO"/>
    <n v="20608885693"/>
    <s v="OCEAN RECRUITMENT AGENT E.I.R.L"/>
    <m/>
    <d v="2025-11-10T00:00:00"/>
    <n v="218.19"/>
    <x v="2"/>
    <x v="2"/>
  </r>
  <r>
    <s v="FLUJO"/>
    <n v="20609988658"/>
    <s v="INVERSIONES MAQUINSERVICE S.A.C"/>
    <m/>
    <d v="2025-11-10T00:00:00"/>
    <n v="172.26"/>
    <x v="2"/>
    <x v="2"/>
  </r>
  <r>
    <s v="FLUJO"/>
    <n v="20610091955"/>
    <s v="HRC ENGINEERED SECURITY S.A.C."/>
    <m/>
    <d v="2025-11-10T00:00:00"/>
    <n v="219.17"/>
    <x v="2"/>
    <x v="2"/>
  </r>
  <r>
    <s v="FLUJO"/>
    <n v="20610521739"/>
    <s v="CORPORACION BENAVIDES Y ASOCIADOS GUTIERREZ SAC"/>
    <m/>
    <d v="2025-11-10T00:00:00"/>
    <n v="229.67000000000002"/>
    <x v="2"/>
    <x v="2"/>
  </r>
  <r>
    <s v="FLUJO"/>
    <n v="20611000121"/>
    <s v="HERTZ ELECTRICIDAD Y AUTOMATIZACION INDUSTRIAL E.I.R.L."/>
    <m/>
    <d v="2025-11-10T00:00:00"/>
    <n v="129.76"/>
    <x v="2"/>
    <x v="2"/>
  </r>
  <r>
    <s v="FLUJO"/>
    <n v="20612189189"/>
    <s v="INSTITUCION EDUCATIVA PRIVADA SAN JUAN BAUTISTA DE LIMA  S.A"/>
    <m/>
    <d v="2025-11-10T00:00:00"/>
    <n v="736.8"/>
    <x v="2"/>
    <x v="2"/>
  </r>
  <r>
    <s v="FLUJO"/>
    <n v="20612866814"/>
    <s v="AVO SANTA S.A.C."/>
    <m/>
    <d v="2025-11-10T00:00:00"/>
    <n v="223.06"/>
    <x v="2"/>
    <x v="2"/>
  </r>
  <r>
    <s v="FLUJO"/>
    <n v="20612887021"/>
    <s v="LOGISTIC LUCCIANA E.I.R.L."/>
    <m/>
    <d v="2025-11-10T00:00:00"/>
    <n v="137.80000000000001"/>
    <x v="2"/>
    <x v="2"/>
  </r>
  <r>
    <s v="FLUJO"/>
    <n v="20612966797"/>
    <s v="REPRESENTACIONES LA REINA S.A.C."/>
    <m/>
    <d v="2025-11-10T00:00:00"/>
    <n v="206.05"/>
    <x v="2"/>
    <x v="2"/>
  </r>
  <r>
    <s v="FLUJO"/>
    <n v="20613280821"/>
    <s v="ARANGAXEL E.I.R.L"/>
    <m/>
    <d v="2025-11-10T00:00:00"/>
    <n v="259.52999999999997"/>
    <x v="2"/>
    <x v="2"/>
  </r>
  <r>
    <s v="FLUJO"/>
    <n v="20614407728"/>
    <s v="CONSORCIO SAN MATEO"/>
    <m/>
    <d v="2025-11-10T00:00:00"/>
    <n v="533.99"/>
    <x v="2"/>
    <x v="2"/>
  </r>
  <r>
    <s v="FLUJO"/>
    <n v="15603354831"/>
    <s v="Aracelli de Lima Paulino Gamio"/>
    <m/>
    <d v="2025-11-10T00:00:00"/>
    <n v="131.05000000000001"/>
    <x v="2"/>
    <x v="2"/>
  </r>
  <r>
    <s v="FLUJO"/>
    <n v="20492865894"/>
    <s v="INVESTMENT PROJECT EIRL"/>
    <m/>
    <d v="2025-11-10T00:00:00"/>
    <n v="609.04"/>
    <x v="2"/>
    <x v="2"/>
  </r>
  <r>
    <s v="FLUJO"/>
    <n v="20536873695"/>
    <s v="VALETAXI SAC"/>
    <m/>
    <d v="2025-11-10T00:00:00"/>
    <n v="131.05000000000001"/>
    <x v="2"/>
    <x v="2"/>
  </r>
  <r>
    <s v="FLUJO"/>
    <n v="20541672533"/>
    <s v="CADENA DE AUTOSERVICOS HAKATA EIRL"/>
    <m/>
    <d v="2025-11-10T00:00:00"/>
    <n v="158.29999999999998"/>
    <x v="2"/>
    <x v="2"/>
  </r>
  <r>
    <s v="FLUJO"/>
    <n v="20543817512"/>
    <s v="TRANSPORTES CAJITAS CARGO EIRL"/>
    <m/>
    <d v="2025-11-10T00:00:00"/>
    <n v="131.05000000000001"/>
    <x v="2"/>
    <x v="2"/>
  </r>
  <r>
    <s v="FLUJO"/>
    <n v="20602467733"/>
    <s v="POLLERIA BROSTERIA MR COJO SAC"/>
    <m/>
    <d v="2025-11-10T00:00:00"/>
    <n v="144.85"/>
    <x v="2"/>
    <x v="2"/>
  </r>
  <r>
    <s v="FLUJO"/>
    <n v="20603063296"/>
    <s v="GEOINNOVACION S.A.C."/>
    <m/>
    <d v="2025-11-10T00:00:00"/>
    <n v="306"/>
    <x v="2"/>
    <x v="2"/>
  </r>
  <r>
    <s v="FLUJO"/>
    <n v="20604661537"/>
    <s v="REPRESENTACIONES GENERALES K Y L S.A.C."/>
    <m/>
    <d v="2025-11-10T00:00:00"/>
    <n v="131.05000000000001"/>
    <x v="2"/>
    <x v="2"/>
  </r>
  <r>
    <s v="FLUJO"/>
    <n v="20606543353"/>
    <s v="GRUPO DUOFARMA PERU S.A.C."/>
    <m/>
    <d v="2025-11-10T00:00:00"/>
    <n v="144.16"/>
    <x v="2"/>
    <x v="2"/>
  </r>
  <r>
    <s v="FLUJO"/>
    <n v="20607100510"/>
    <s v="CAMINO DEL CAFÃ‰ S.R.L"/>
    <m/>
    <d v="2025-11-10T00:00:00"/>
    <n v="131.05000000000001"/>
    <x v="2"/>
    <x v="2"/>
  </r>
  <r>
    <s v="FLUJO"/>
    <n v="20607522864"/>
    <s v="E. GOURMET SAC"/>
    <m/>
    <d v="2025-11-10T00:00:00"/>
    <n v="131.05000000000001"/>
    <x v="2"/>
    <x v="2"/>
  </r>
  <r>
    <s v="FLUJO"/>
    <n v="20609988658"/>
    <s v="INVERSIONES MAQUINSERVICE S.A.C"/>
    <m/>
    <d v="2025-11-10T00:00:00"/>
    <n v="173.96"/>
    <x v="2"/>
    <x v="2"/>
  </r>
  <r>
    <s v="FLUJO"/>
    <n v="20611000121"/>
    <s v="HERTZ ELECTRICIDAD Y AUTOMATIZACION INDUSTRIAL E.I.R.L."/>
    <m/>
    <d v="2025-11-10T00:00:00"/>
    <n v="131.05000000000001"/>
    <x v="2"/>
    <x v="2"/>
  </r>
  <r>
    <s v="FLUJO"/>
    <n v="20612887021"/>
    <s v="LOGISTIC LUCCIANA E.I.R.L."/>
    <m/>
    <d v="2025-11-10T00:00:00"/>
    <n v="139.17000000000002"/>
    <x v="2"/>
    <x v="2"/>
  </r>
  <r>
    <s v="FLUJO"/>
    <n v="20613280821"/>
    <s v="ARANGAXEL E.I.R.L"/>
    <m/>
    <d v="2025-11-10T00:00:00"/>
    <n v="262.10000000000002"/>
    <x v="2"/>
    <x v="2"/>
  </r>
  <r>
    <s v="FLUJO"/>
    <n v="15603354831"/>
    <s v="Aracelli de Lima Paulino Gamio"/>
    <m/>
    <d v="2025-11-10T00:00:00"/>
    <n v="132.07"/>
    <x v="2"/>
    <x v="2"/>
  </r>
  <r>
    <s v="FLUJO"/>
    <n v="20492865894"/>
    <s v="INVESTMENT PROJECT EIRL"/>
    <m/>
    <d v="2025-11-10T00:00:00"/>
    <n v="613.81000000000006"/>
    <x v="2"/>
    <x v="2"/>
  </r>
  <r>
    <s v="FLUJO"/>
    <n v="20536873695"/>
    <s v="VALETAXI SAC"/>
    <m/>
    <d v="2025-11-10T00:00:00"/>
    <n v="132.07"/>
    <x v="2"/>
    <x v="2"/>
  </r>
  <r>
    <s v="FLUJO"/>
    <n v="20543817512"/>
    <s v="TRANSPORTES CAJITAS CARGO EIRL"/>
    <m/>
    <d v="2025-11-10T00:00:00"/>
    <n v="132.07"/>
    <x v="2"/>
    <x v="2"/>
  </r>
  <r>
    <s v="FLUJO"/>
    <n v="20602467733"/>
    <s v="POLLERIA BROSTERIA MR COJO SAC"/>
    <m/>
    <d v="2025-11-10T00:00:00"/>
    <n v="145.99"/>
    <x v="2"/>
    <x v="2"/>
  </r>
  <r>
    <s v="FLUJO"/>
    <n v="20603063296"/>
    <s v="GEOINNOVACION S.A.C."/>
    <m/>
    <d v="2025-11-10T00:00:00"/>
    <n v="308.39999999999998"/>
    <x v="2"/>
    <x v="2"/>
  </r>
  <r>
    <s v="FLUJO"/>
    <n v="20607100510"/>
    <s v="CAMINO DEL CAFÃ‰ S.R.L"/>
    <m/>
    <d v="2025-11-10T00:00:00"/>
    <n v="132.07"/>
    <x v="2"/>
    <x v="2"/>
  </r>
  <r>
    <s v="FLUJO"/>
    <n v="20607522864"/>
    <s v="E. GOURMET SAC"/>
    <m/>
    <d v="2025-11-10T00:00:00"/>
    <n v="132.07"/>
    <x v="2"/>
    <x v="2"/>
  </r>
  <r>
    <s v="FLUJO"/>
    <n v="20609988658"/>
    <s v="INVERSIONES MAQUINSERVICE S.A.C"/>
    <m/>
    <d v="2025-11-10T00:00:00"/>
    <n v="175.32999999999998"/>
    <x v="2"/>
    <x v="2"/>
  </r>
  <r>
    <s v="FLUJO"/>
    <n v="20612510581"/>
    <s v="CORPORACION SINCHI AYLLU S.A.C."/>
    <m/>
    <d v="2025-11-10T00:00:00"/>
    <n v="151.94999999999999"/>
    <x v="2"/>
    <x v="2"/>
  </r>
  <r>
    <s v="FLUJO"/>
    <n v="20492865894"/>
    <s v="INVESTMENT PROJECT EIRL"/>
    <m/>
    <d v="2025-11-10T00:00:00"/>
    <n v="619.79"/>
    <x v="2"/>
    <x v="2"/>
  </r>
  <r>
    <s v="FLUJO"/>
    <n v="20536873695"/>
    <s v="VALETAXI SAC"/>
    <m/>
    <d v="2025-11-10T00:00:00"/>
    <n v="133.36000000000001"/>
    <x v="2"/>
    <x v="2"/>
  </r>
  <r>
    <s v="FLUJO"/>
    <n v="20543817512"/>
    <s v="TRANSPORTES CAJITAS CARGO EIRL"/>
    <m/>
    <d v="2025-11-10T00:00:00"/>
    <n v="133.36000000000001"/>
    <x v="2"/>
    <x v="2"/>
  </r>
  <r>
    <s v="FLUJO"/>
    <n v="20602467733"/>
    <s v="POLLERIA BROSTERIA MR COJO SAC"/>
    <m/>
    <d v="2025-11-10T00:00:00"/>
    <n v="147.41"/>
    <x v="2"/>
    <x v="2"/>
  </r>
  <r>
    <s v="FLUJO"/>
    <n v="20609988658"/>
    <s v="INVERSIONES MAQUINSERVICE S.A.C"/>
    <m/>
    <d v="2025-11-10T00:00:00"/>
    <n v="177.02999999999997"/>
    <x v="2"/>
    <x v="2"/>
  </r>
  <r>
    <s v="FLUJO"/>
    <n v="20492865894"/>
    <s v="INVESTMENT PROJECT EIRL"/>
    <m/>
    <d v="2025-11-10T00:00:00"/>
    <n v="648.90000000000009"/>
    <x v="2"/>
    <x v="2"/>
  </r>
  <r>
    <s v="FLUJO"/>
    <n v="20536873695"/>
    <s v="VALETAXI SAC"/>
    <m/>
    <d v="2025-11-10T00:00:00"/>
    <n v="134.52000000000001"/>
    <x v="2"/>
    <x v="2"/>
  </r>
  <r>
    <s v="FLUJO"/>
    <n v="20602467733"/>
    <s v="POLLERIA BROSTERIA MR COJO SAC"/>
    <m/>
    <d v="2025-11-10T00:00:00"/>
    <n v="84.32"/>
    <x v="2"/>
    <x v="2"/>
  </r>
  <r>
    <s v="FLUJO"/>
    <n v="20492865894"/>
    <s v="INVESTMENT PROJECT EIRL"/>
    <m/>
    <d v="2025-11-10T00:00:00"/>
    <n v="654.48"/>
    <x v="2"/>
    <x v="2"/>
  </r>
  <r>
    <s v="FLUJO"/>
    <n v="20602467733"/>
    <s v="POLLERIA BROSTERIA MR COJO SAC"/>
    <m/>
    <d v="2025-11-10T00:00:00"/>
    <n v="149.95999999999998"/>
    <x v="2"/>
    <x v="2"/>
  </r>
  <r>
    <s v="FLUJO"/>
    <n v="20492865894"/>
    <s v="INVESTMENT PROJECT EIRL"/>
    <m/>
    <d v="2025-11-10T00:00:00"/>
    <n v="660.05"/>
    <x v="2"/>
    <x v="2"/>
  </r>
  <r>
    <s v="FLUJO"/>
    <n v="20602467733"/>
    <s v="POLLERIA BROSTERIA MR COJO SAC"/>
    <m/>
    <d v="2025-11-10T00:00:00"/>
    <n v="151.24"/>
    <x v="2"/>
    <x v="2"/>
  </r>
  <r>
    <s v="FLUJO"/>
    <n v="20492865894"/>
    <s v="INVESTMENT PROJECT EIRL"/>
    <m/>
    <d v="2025-11-10T00:00:00"/>
    <n v="665.64"/>
    <x v="2"/>
    <x v="2"/>
  </r>
  <r>
    <s v="FLUJO"/>
    <n v="20602467733"/>
    <s v="POLLERIA BROSTERIA MR COJO SAC"/>
    <m/>
    <d v="2025-11-10T00:00:00"/>
    <n v="152.51999999999998"/>
    <x v="2"/>
    <x v="2"/>
  </r>
  <r>
    <s v="FLUJO"/>
    <n v="20602467733"/>
    <s v="POLLERIA BROSTERIA MR COJO SAC"/>
    <m/>
    <d v="2025-11-10T00:00:00"/>
    <n v="153.80000000000001"/>
    <x v="2"/>
    <x v="2"/>
  </r>
  <r>
    <s v="FLUJO"/>
    <n v="20602467733"/>
    <s v="POLLERIA BROSTERIA MR COJO SAC"/>
    <m/>
    <d v="2025-11-10T00:00:00"/>
    <n v="158.23000000000002"/>
    <x v="2"/>
    <x v="2"/>
  </r>
  <r>
    <s v="FLUJO"/>
    <n v="20602467733"/>
    <s v="POLLERIA BROSTERIA MR COJO SAC"/>
    <m/>
    <d v="2025-11-10T00:00:00"/>
    <n v="159.67999999999998"/>
    <x v="2"/>
    <x v="2"/>
  </r>
  <r>
    <s v="FLUJO"/>
    <n v="20602467733"/>
    <s v="POLLERIA BROSTERIA MR COJO SAC"/>
    <m/>
    <d v="2025-11-10T00:00:00"/>
    <n v="160.84"/>
    <x v="2"/>
    <x v="2"/>
  </r>
  <r>
    <s v="FLUJO"/>
    <n v="20602467733"/>
    <s v="POLLERIA BROSTERIA MR COJO SAC"/>
    <m/>
    <d v="2025-11-10T00:00:00"/>
    <n v="162.29000000000002"/>
    <x v="2"/>
    <x v="2"/>
  </r>
  <r>
    <s v="FLUJO"/>
    <n v="20602467733"/>
    <s v="POLLERIA BROSTERIA MR COJO SAC"/>
    <m/>
    <d v="2025-11-10T00:00:00"/>
    <n v="163.60000000000002"/>
    <x v="2"/>
    <x v="2"/>
  </r>
  <r>
    <s v="FLUJO"/>
    <n v="20602467733"/>
    <s v="POLLERIA BROSTERIA MR COJO SAC"/>
    <m/>
    <d v="2025-11-10T00:00:00"/>
    <n v="164.89"/>
    <x v="2"/>
    <x v="2"/>
  </r>
  <r>
    <s v="FLUJO"/>
    <n v="20602467733"/>
    <s v="POLLERIA BROSTERIA MR COJO SAC"/>
    <m/>
    <d v="2025-11-10T00:00:00"/>
    <n v="166.35000000000002"/>
    <x v="2"/>
    <x v="2"/>
  </r>
  <r>
    <s v="FLUJO"/>
    <n v="20602467733"/>
    <s v="POLLERIA BROSTERIA MR COJO SAC"/>
    <m/>
    <d v="2025-11-10T00:00:00"/>
    <n v="167.36"/>
    <x v="2"/>
    <x v="2"/>
  </r>
  <r>
    <s v="REAL TOTAL"/>
    <n v="20605468919"/>
    <s v="ELVIS INVERSIONES INMOBILIARIAS EIRL"/>
    <m/>
    <d v="2025-11-10T00:00:00"/>
    <n v="366.34"/>
    <x v="2"/>
    <x v="2"/>
  </r>
  <r>
    <s v="REAL TOTAL"/>
    <n v="20605468919"/>
    <s v="ELVIS INVERSIONES INMOBILIARIAS EIRL"/>
    <m/>
    <d v="2025-11-10T00:00:00"/>
    <n v="369.40999999999997"/>
    <x v="2"/>
    <x v="2"/>
  </r>
  <r>
    <s v="REAL TOTAL"/>
    <n v="20605468919"/>
    <s v="ELVIS INVERSIONES INMOBILIARIAS EIRL"/>
    <m/>
    <d v="2025-11-10T00:00:00"/>
    <n v="383.29"/>
    <x v="2"/>
    <x v="2"/>
  </r>
  <r>
    <s v="REAL TOTAL"/>
    <n v="20605468919"/>
    <s v="ELVIS INVERSIONES INMOBILIARIAS EIRL"/>
    <m/>
    <d v="2025-11-10T00:00:00"/>
    <n v="386.8"/>
    <x v="2"/>
    <x v="2"/>
  </r>
  <r>
    <s v="REAL TOTAL"/>
    <n v="20605468919"/>
    <s v="ELVIS INVERSIONES INMOBILIARIAS EIRL"/>
    <m/>
    <d v="2025-11-10T00:00:00"/>
    <n v="389.61"/>
    <x v="2"/>
    <x v="2"/>
  </r>
  <r>
    <s v="REAL TOTAL"/>
    <n v="20605468919"/>
    <s v="ELVIS INVERSIONES INMOBILIARIAS EIRL"/>
    <m/>
    <d v="2025-11-10T00:00:00"/>
    <n v="393.12"/>
    <x v="2"/>
    <x v="2"/>
  </r>
  <r>
    <s v="REAL TOTAL"/>
    <n v="20605468919"/>
    <s v="ELVIS INVERSIONES INMOBILIARIAS EIRL"/>
    <m/>
    <d v="2025-11-10T00:00:00"/>
    <n v="396.28"/>
    <x v="2"/>
    <x v="2"/>
  </r>
  <r>
    <s v="REAL TOTAL"/>
    <n v="20605468919"/>
    <s v="ELVIS INVERSIONES INMOBILIARIAS EIRL"/>
    <m/>
    <d v="2025-11-10T00:00:00"/>
    <n v="399.44"/>
    <x v="2"/>
    <x v="2"/>
  </r>
  <r>
    <s v="REAL TOTAL"/>
    <n v="20605468919"/>
    <s v="ELVIS INVERSIONES INMOBILIARIAS EIRL"/>
    <m/>
    <d v="2025-11-10T00:00:00"/>
    <n v="402.95"/>
    <x v="2"/>
    <x v="2"/>
  </r>
  <r>
    <s v="REAL TOTAL"/>
    <n v="20605468919"/>
    <s v="ELVIS INVERSIONES INMOBILIARIAS EIRL"/>
    <m/>
    <d v="2025-11-10T00:00:00"/>
    <n v="405.40999999999997"/>
    <x v="2"/>
    <x v="2"/>
  </r>
  <r>
    <s v="REAL TOTAL"/>
    <n v="20605468919"/>
    <s v="ELVIS INVERSIONES INMOBILIARIAS EIRL"/>
    <m/>
    <d v="2025-11-10T00:00:00"/>
    <n v="408.92"/>
    <x v="2"/>
    <x v="2"/>
  </r>
  <r>
    <s v="REAL TOTAL"/>
    <n v="20605468919"/>
    <s v="ELVIS INVERSIONES INMOBILIARIAS EIRL"/>
    <m/>
    <d v="2025-11-10T00:00:00"/>
    <n v="412.43"/>
    <x v="2"/>
    <x v="2"/>
  </r>
  <r>
    <s v="REAL TOTAL"/>
    <n v="20605468919"/>
    <s v="ELVIS INVERSIONES INMOBILIARIAS EIRL"/>
    <m/>
    <d v="2025-11-10T00:00:00"/>
    <n v="415.58"/>
    <x v="2"/>
    <x v="2"/>
  </r>
  <r>
    <s v="REAL TOTAL"/>
    <n v="20605468919"/>
    <s v="ELVIS INVERSIONES INMOBILIARIAS EIRL"/>
    <m/>
    <d v="2025-11-10T00:00:00"/>
    <n v="418.74"/>
    <x v="2"/>
    <x v="2"/>
  </r>
  <r>
    <s v="REDIRECCIONAMIENTO"/>
    <n v="20107945874"/>
    <s v="IDEAS APLICADAS S.A"/>
    <m/>
    <d v="2025-11-10T00:00:00"/>
    <n v="1044.6400000000001"/>
    <x v="2"/>
    <x v="2"/>
  </r>
  <r>
    <s v="REDIRECCIONAMIENTO"/>
    <n v="20509470848"/>
    <s v="GINOR EMPRESA INDIVIDUAL DE RESPONSABILIDAD LIMITA"/>
    <m/>
    <d v="2025-11-10T00:00:00"/>
    <n v="383.97"/>
    <x v="2"/>
    <x v="2"/>
  </r>
  <r>
    <s v="REDIRECCIONAMIENTO"/>
    <n v="20509470848"/>
    <s v="GINOR EMPRESA INDIVIDUAL DE RESPONSABILIDAD LIMITA"/>
    <m/>
    <d v="2025-11-10T00:00:00"/>
    <n v="378.69"/>
    <x v="2"/>
    <x v="2"/>
  </r>
  <r>
    <s v="REDIRECCIONAMIENTO"/>
    <n v="20509470848"/>
    <s v="GINOR EMPRESA INDIVIDUAL DE RESPONSABILIDAD LIMITA"/>
    <m/>
    <d v="2025-11-10T00:00:00"/>
    <n v="372.92"/>
    <x v="2"/>
    <x v="2"/>
  </r>
  <r>
    <s v="REDIRECCIONAMIENTO"/>
    <n v="20509470848"/>
    <s v="GINOR EMPRESA INDIVIDUAL DE RESPONSABILIDAD LIMITA"/>
    <m/>
    <d v="2025-11-10T00:00:00"/>
    <n v="361.75"/>
    <x v="2"/>
    <x v="2"/>
  </r>
  <r>
    <s v="REDIRECCIONAMIENTO"/>
    <n v="20509470848"/>
    <s v="GINOR EMPRESA INDIVIDUAL DE RESPONSABILIDAD LIMITA"/>
    <m/>
    <d v="2025-11-10T00:00:00"/>
    <n v="356.48"/>
    <x v="2"/>
    <x v="2"/>
  </r>
  <r>
    <s v="REDIRECCIONAMIENTO"/>
    <n v="20509470848"/>
    <s v="GINOR EMPRESA INDIVIDUAL DE RESPONSABILIDAD LIMITA"/>
    <m/>
    <d v="2025-11-10T00:00:00"/>
    <n v="351.4"/>
    <x v="2"/>
    <x v="2"/>
  </r>
  <r>
    <s v="REDIRECCIONAMIENTO"/>
    <n v="20509470848"/>
    <s v="GINOR EMPRESA INDIVIDUAL DE RESPONSABILIDAD LIMITA"/>
    <m/>
    <d v="2025-11-10T00:00:00"/>
    <n v="346.41"/>
    <x v="2"/>
    <x v="2"/>
  </r>
  <r>
    <s v="REDIRECCIONAMIENTO"/>
    <n v="20509470848"/>
    <s v="GINOR EMPRESA INDIVIDUAL DE RESPONSABILIDAD LIMITA"/>
    <m/>
    <d v="2025-11-10T00:00:00"/>
    <n v="341.62"/>
    <x v="2"/>
    <x v="2"/>
  </r>
  <r>
    <s v="REDIRECCIONAMIENTO"/>
    <n v="20509470848"/>
    <s v="GINOR EMPRESA INDIVIDUAL DE RESPONSABILIDAD LIMITA"/>
    <m/>
    <d v="2025-11-10T00:00:00"/>
    <n v="332.11"/>
    <x v="2"/>
    <x v="2"/>
  </r>
  <r>
    <s v="REDIRECCIONAMIENTO"/>
    <n v="20509470848"/>
    <s v="GINOR EMPRESA INDIVIDUAL DE RESPONSABILIDAD LIMITA"/>
    <m/>
    <d v="2025-11-10T00:00:00"/>
    <n v="327.45999999999998"/>
    <x v="2"/>
    <x v="2"/>
  </r>
  <r>
    <s v="REDIRECCIONAMIENTO"/>
    <n v="20509470848"/>
    <s v="GINOR EMPRESA INDIVIDUAL DE RESPONSABILIDAD LIMITA"/>
    <m/>
    <d v="2025-11-10T00:00:00"/>
    <n v="656.55"/>
    <x v="2"/>
    <x v="2"/>
  </r>
  <r>
    <s v="REDIRECCIONAMIENTO"/>
    <n v="20509470848"/>
    <s v="GINOR EMPRESA INDIVIDUAL DE RESPONSABILIDAD LIMITA"/>
    <m/>
    <d v="2025-11-10T00:00:00"/>
    <n v="0"/>
    <x v="2"/>
    <x v="2"/>
  </r>
  <r>
    <s v="REDIRECCIONAMIENTO"/>
    <n v="20509470848"/>
    <s v="GINOR EMPRESA INDIVIDUAL DE RESPONSABILIDAD LIMITA"/>
    <m/>
    <d v="2025-11-10T00:00:00"/>
    <n v="324.68"/>
    <x v="2"/>
    <x v="2"/>
  </r>
  <r>
    <s v="FLUJO"/>
    <n v="10026192400"/>
    <s v="SILVESTRE NUEZ SAAVEDRA"/>
    <m/>
    <d v="2025-11-11T00:00:00"/>
    <n v="389.22"/>
    <x v="2"/>
    <x v="3"/>
  </r>
  <r>
    <s v="FLUJO"/>
    <n v="10178375291"/>
    <s v="VEGA RODRIGUEZ MIGUEL ANGEL"/>
    <m/>
    <d v="2025-11-11T00:00:00"/>
    <n v="324.74"/>
    <x v="2"/>
    <x v="3"/>
  </r>
  <r>
    <s v="FLUJO"/>
    <n v="10321087952"/>
    <s v="ARGUEDAS VIZCARRA RENE LUIS"/>
    <m/>
    <d v="2025-11-11T00:00:00"/>
    <n v="108.25"/>
    <x v="2"/>
    <x v="3"/>
  </r>
  <r>
    <s v="FLUJO"/>
    <n v="10425400725"/>
    <s v="RIVERA MORENO MIKEY VICENTE"/>
    <m/>
    <d v="2025-11-11T00:00:00"/>
    <n v="259.79000000000002"/>
    <x v="2"/>
    <x v="3"/>
  </r>
  <r>
    <s v="FLUJO"/>
    <n v="20100112648"/>
    <s v="ARQUITEX SA"/>
    <m/>
    <d v="2025-11-11T00:00:00"/>
    <n v="472.78999999999996"/>
    <x v="2"/>
    <x v="3"/>
  </r>
  <r>
    <s v="FLUJO"/>
    <n v="20255097653"/>
    <s v="EMPRESA DE SERVICIO  DE HOSPEDAJE EL GALEON"/>
    <m/>
    <d v="2025-11-11T00:00:00"/>
    <n v="129.88999999999999"/>
    <x v="2"/>
    <x v="3"/>
  </r>
  <r>
    <s v="FLUJO"/>
    <n v="20397809171"/>
    <s v="TRUJILLO PAN SAC"/>
    <m/>
    <d v="2025-11-11T00:00:00"/>
    <n v="278.07"/>
    <x v="2"/>
    <x v="3"/>
  </r>
  <r>
    <s v="FLUJO"/>
    <n v="20447895821"/>
    <s v="talentum cgz empresa individual de responsabilidad limitda"/>
    <m/>
    <d v="2025-11-11T00:00:00"/>
    <n v="129.88999999999999"/>
    <x v="2"/>
    <x v="3"/>
  </r>
  <r>
    <s v="FLUJO"/>
    <n v="20455362629"/>
    <s v="ENERGIA Y ECOLOGIA S.A.C."/>
    <m/>
    <d v="2025-11-11T00:00:00"/>
    <n v="408.53000000000003"/>
    <x v="2"/>
    <x v="3"/>
  </r>
  <r>
    <s v="FLUJO"/>
    <n v="20477680471"/>
    <s v="CORPORACION E INVERSIONES PISCIS SAC"/>
    <m/>
    <d v="2025-11-11T00:00:00"/>
    <n v="172.43"/>
    <x v="2"/>
    <x v="3"/>
  </r>
  <r>
    <s v="FLUJO"/>
    <n v="20487368319"/>
    <s v="HOSTALES Y RESTAURANTS EL ESCUDERO EIRL"/>
    <m/>
    <d v="2025-11-11T00:00:00"/>
    <n v="302.32"/>
    <x v="2"/>
    <x v="3"/>
  </r>
  <r>
    <s v="FLUJO"/>
    <n v="20493382528"/>
    <s v="PANADERIA Y PASTELERIA AVE MARIA E.I.R.L."/>
    <m/>
    <d v="2025-11-11T00:00:00"/>
    <n v="392.41999999999996"/>
    <x v="2"/>
    <x v="3"/>
  </r>
  <r>
    <s v="FLUJO"/>
    <n v="20506249601"/>
    <s v="CORONA IMPORTADORES E.I.R.L."/>
    <m/>
    <d v="2025-11-11T00:00:00"/>
    <n v="865.22"/>
    <x v="2"/>
    <x v="3"/>
  </r>
  <r>
    <s v="FLUJO"/>
    <n v="20516697467"/>
    <s v="DONOSTI  S.A.C."/>
    <m/>
    <d v="2025-11-11T00:00:00"/>
    <n v="693.33999999999992"/>
    <x v="2"/>
    <x v="3"/>
  </r>
  <r>
    <s v="FLUJO"/>
    <n v="20520460501"/>
    <s v="INVERSIONES CHUPACA SAC"/>
    <m/>
    <d v="2025-11-11T00:00:00"/>
    <n v="129.88999999999999"/>
    <x v="2"/>
    <x v="3"/>
  </r>
  <r>
    <s v="FLUJO"/>
    <n v="20532580260"/>
    <s v="CONSULTORIA DE INGENIERIA Y CONSTRUCCION SA"/>
    <m/>
    <d v="2025-11-11T00:00:00"/>
    <n v="413.99"/>
    <x v="2"/>
    <x v="3"/>
  </r>
  <r>
    <s v="FLUJO"/>
    <n v="20535090883"/>
    <s v="MULTISERVICIOS EXPRESO DEL SUR SAC"/>
    <m/>
    <d v="2025-11-11T00:00:00"/>
    <n v="344.85"/>
    <x v="2"/>
    <x v="3"/>
  </r>
  <r>
    <s v="FLUJO"/>
    <n v="20536873695"/>
    <s v="VALETAXI SAC"/>
    <m/>
    <d v="2025-11-11T00:00:00"/>
    <n v="129.88999999999999"/>
    <x v="2"/>
    <x v="3"/>
  </r>
  <r>
    <s v="FLUJO"/>
    <n v="20552448554"/>
    <s v="CORPORACION XIANFI SAC"/>
    <m/>
    <d v="2025-11-11T00:00:00"/>
    <n v="129.88999999999999"/>
    <x v="2"/>
    <x v="3"/>
  </r>
  <r>
    <s v="FLUJO"/>
    <n v="20553393257"/>
    <s v="C S NEGOCIOS INMOBILIARIOS SAC"/>
    <m/>
    <d v="2025-11-11T00:00:00"/>
    <n v="754.65000000000009"/>
    <x v="2"/>
    <x v="3"/>
  </r>
  <r>
    <s v="FLUJO"/>
    <n v="20563657538"/>
    <s v="ENMODEL S.A.C"/>
    <m/>
    <d v="2025-11-11T00:00:00"/>
    <n v="545.32000000000005"/>
    <x v="2"/>
    <x v="3"/>
  </r>
  <r>
    <s v="FLUJO"/>
    <n v="20569085790"/>
    <s v="4G EVENTS SAC"/>
    <m/>
    <d v="2025-11-11T00:00:00"/>
    <n v="344.85"/>
    <x v="2"/>
    <x v="3"/>
  </r>
  <r>
    <s v="FLUJO"/>
    <n v="20600447824"/>
    <s v="ENGINEERS SYSTEMS AND INVESTMENTS SAC"/>
    <m/>
    <d v="2025-11-11T00:00:00"/>
    <n v="152.54"/>
    <x v="2"/>
    <x v="3"/>
  </r>
  <r>
    <s v="FLUJO"/>
    <n v="20600689321"/>
    <s v="BERNACHEA IMPORT S.A.C."/>
    <m/>
    <d v="2025-11-11T00:00:00"/>
    <n v="259.79000000000002"/>
    <x v="2"/>
    <x v="3"/>
  </r>
  <r>
    <s v="FLUJO"/>
    <n v="20601050286"/>
    <s v="cyber value sac."/>
    <m/>
    <d v="2025-11-11T00:00:00"/>
    <n v="206.91"/>
    <x v="2"/>
    <x v="3"/>
  </r>
  <r>
    <s v="FLUJO"/>
    <n v="20601373981"/>
    <s v="SERVICIOS GRUPOS ELECTROGENOS TELECOMUNICACIONES ENERGIA SRL"/>
    <m/>
    <d v="2025-11-11T00:00:00"/>
    <n v="285.76"/>
    <x v="2"/>
    <x v="3"/>
  </r>
  <r>
    <s v="FLUJO"/>
    <n v="20601652600"/>
    <s v="GRUPO VARBUS SAC"/>
    <m/>
    <d v="2025-11-11T00:00:00"/>
    <n v="587.74"/>
    <x v="2"/>
    <x v="3"/>
  </r>
  <r>
    <s v="FLUJO"/>
    <n v="20602972683"/>
    <s v="DAR ASESORES Y CORREDORES DE SEGUROS SAC"/>
    <m/>
    <d v="2025-11-11T00:00:00"/>
    <n v="229.89999999999998"/>
    <x v="2"/>
    <x v="3"/>
  </r>
  <r>
    <s v="FLUJO"/>
    <n v="20603129742"/>
    <s v="CENTRO INTEGRAL LA CASITA DE JOAQUIN EIRL"/>
    <m/>
    <d v="2025-11-11T00:00:00"/>
    <n v="137.94"/>
    <x v="2"/>
    <x v="3"/>
  </r>
  <r>
    <s v="FLUJO"/>
    <n v="20604630372"/>
    <s v="SELINSAB S.A.C."/>
    <m/>
    <d v="2025-11-11T00:00:00"/>
    <n v="427.52"/>
    <x v="2"/>
    <x v="3"/>
  </r>
  <r>
    <s v="FLUJO"/>
    <n v="20605625585"/>
    <s v="XMIEL TECHNOLOGY SOCIEDAD ANONIMA CERRADA"/>
    <m/>
    <d v="2025-11-11T00:00:00"/>
    <n v="278.07"/>
    <x v="2"/>
    <x v="3"/>
  </r>
  <r>
    <s v="FLUJO"/>
    <n v="20605733027"/>
    <s v="HISPANATURA SAC"/>
    <m/>
    <d v="2025-11-11T00:00:00"/>
    <n v="645.22"/>
    <x v="2"/>
    <x v="3"/>
  </r>
  <r>
    <s v="FLUJO"/>
    <n v="20605954597"/>
    <s v="EMPRESA ROMAEDRU EIRL"/>
    <m/>
    <d v="2025-11-11T00:00:00"/>
    <n v="219.49"/>
    <x v="2"/>
    <x v="3"/>
  </r>
  <r>
    <s v="FLUJO"/>
    <n v="20606038101"/>
    <s v="DEVIAL.N INFINITY E.I.R.L."/>
    <m/>
    <d v="2025-11-11T00:00:00"/>
    <n v="287.38"/>
    <x v="2"/>
    <x v="3"/>
  </r>
  <r>
    <s v="FLUJO"/>
    <n v="20606242906"/>
    <s v="GAANDY E.I.R.L.."/>
    <m/>
    <d v="2025-11-11T00:00:00"/>
    <n v="129.88999999999999"/>
    <x v="2"/>
    <x v="3"/>
  </r>
  <r>
    <s v="FLUJO"/>
    <n v="20606512636"/>
    <s v="INVERSIONES Y SERVICIOS REMA S.A.C."/>
    <m/>
    <d v="2025-11-11T00:00:00"/>
    <n v="290.82"/>
    <x v="2"/>
    <x v="3"/>
  </r>
  <r>
    <s v="FLUJO"/>
    <n v="20608064240"/>
    <s v="JARDINES DE LOS ANGELES E.I.R.L."/>
    <m/>
    <d v="2025-11-11T00:00:00"/>
    <n v="142.88999999999999"/>
    <x v="2"/>
    <x v="3"/>
  </r>
  <r>
    <s v="FLUJO"/>
    <n v="20608752201"/>
    <s v="GRUPO PECAN S.A.C."/>
    <m/>
    <d v="2025-11-11T00:00:00"/>
    <n v="436.81"/>
    <x v="2"/>
    <x v="3"/>
  </r>
  <r>
    <s v="FLUJO"/>
    <n v="20611590564"/>
    <s v="KUNAK THINK SECURE S.A.C."/>
    <m/>
    <d v="2025-11-11T00:00:00"/>
    <n v="439.69"/>
    <x v="2"/>
    <x v="3"/>
  </r>
  <r>
    <s v="FLUJO"/>
    <n v="20611606355"/>
    <s v="BAYONETT S.A.C."/>
    <m/>
    <d v="2025-11-11T00:00:00"/>
    <n v="355.08000000000004"/>
    <x v="2"/>
    <x v="3"/>
  </r>
  <r>
    <s v="FLUJO"/>
    <n v="20611773201"/>
    <s v="CORPOOL TELECOM Y ELECTRIC PERÃš SAC"/>
    <m/>
    <d v="2025-11-11T00:00:00"/>
    <n v="129.88999999999999"/>
    <x v="2"/>
    <x v="3"/>
  </r>
  <r>
    <s v="FLUJO"/>
    <n v="20613495526"/>
    <s v="MATRG INVERSIONES E.I.R.L."/>
    <m/>
    <d v="2025-11-11T00:00:00"/>
    <n v="129.88999999999999"/>
    <x v="2"/>
    <x v="3"/>
  </r>
  <r>
    <s v="FLUJO"/>
    <n v="10425400725"/>
    <s v="RIVERA MORENO MIKEY VICENTE"/>
    <m/>
    <d v="2025-11-11T00:00:00"/>
    <n v="262.10000000000002"/>
    <x v="2"/>
    <x v="3"/>
  </r>
  <r>
    <s v="FLUJO"/>
    <n v="20255097653"/>
    <s v="EMPRESA DE SERVICIO  DE HOSPEDAJE EL GALEON"/>
    <m/>
    <d v="2025-11-11T00:00:00"/>
    <n v="131.05000000000001"/>
    <x v="2"/>
    <x v="3"/>
  </r>
  <r>
    <s v="FLUJO"/>
    <n v="20447895821"/>
    <s v="talentum cgz empresa individual de responsabilidad limitda"/>
    <m/>
    <d v="2025-11-11T00:00:00"/>
    <n v="131.05000000000001"/>
    <x v="2"/>
    <x v="3"/>
  </r>
  <r>
    <s v="FLUJO"/>
    <n v="20506249601"/>
    <s v="CORONA IMPORTADORES E.I.R.L."/>
    <m/>
    <d v="2025-11-11T00:00:00"/>
    <n v="563.89"/>
    <x v="2"/>
    <x v="3"/>
  </r>
  <r>
    <s v="FLUJO"/>
    <n v="20516697467"/>
    <s v="DONOSTI  S.A.C."/>
    <m/>
    <d v="2025-11-11T00:00:00"/>
    <n v="899.26"/>
    <x v="2"/>
    <x v="3"/>
  </r>
  <r>
    <s v="FLUJO"/>
    <n v="20520460501"/>
    <s v="INVERSIONES CHUPACA SAC"/>
    <m/>
    <d v="2025-11-11T00:00:00"/>
    <n v="131.05000000000001"/>
    <x v="2"/>
    <x v="3"/>
  </r>
  <r>
    <s v="FLUJO"/>
    <n v="20535090883"/>
    <s v="MULTISERVICIOS EXPRESO DEL SUR SAC"/>
    <m/>
    <d v="2025-11-11T00:00:00"/>
    <n v="347.92"/>
    <x v="2"/>
    <x v="3"/>
  </r>
  <r>
    <s v="FLUJO"/>
    <n v="20544703553"/>
    <s v="CODIFICACION PERU SA"/>
    <m/>
    <d v="2025-11-11T00:00:00"/>
    <n v="772.29"/>
    <x v="2"/>
    <x v="3"/>
  </r>
  <r>
    <s v="FLUJO"/>
    <n v="20563657538"/>
    <s v="ENMODEL S.A.C"/>
    <m/>
    <d v="2025-11-11T00:00:00"/>
    <n v="550.17999999999995"/>
    <x v="2"/>
    <x v="3"/>
  </r>
  <r>
    <s v="FLUJO"/>
    <n v="20603901429"/>
    <s v="SERVICIOS GENERALES CRISJHAR Y MILA S.A.C."/>
    <m/>
    <d v="2025-11-11T00:00:00"/>
    <n v="289.94"/>
    <x v="2"/>
    <x v="3"/>
  </r>
  <r>
    <s v="FLUJO"/>
    <n v="20606242906"/>
    <s v="GAANDY E.I.R.L.."/>
    <m/>
    <d v="2025-11-11T00:00:00"/>
    <n v="131.05000000000001"/>
    <x v="2"/>
    <x v="3"/>
  </r>
  <r>
    <s v="FLUJO"/>
    <n v="20608064240"/>
    <s v="JARDINES DE LOS ANGELES E.I.R.L."/>
    <m/>
    <d v="2025-11-11T00:00:00"/>
    <n v="144.16"/>
    <x v="2"/>
    <x v="3"/>
  </r>
  <r>
    <s v="FLUJO"/>
    <n v="20608577069"/>
    <s v="VISUALIZA JK E.I.R.L."/>
    <m/>
    <d v="2025-11-11T00:00:00"/>
    <n v="233.16"/>
    <x v="2"/>
    <x v="3"/>
  </r>
  <r>
    <s v="FLUJO"/>
    <n v="20613495526"/>
    <s v="MATRG INVERSIONES E.I.R.L."/>
    <m/>
    <d v="2025-11-11T00:00:00"/>
    <n v="131.05000000000001"/>
    <x v="2"/>
    <x v="3"/>
  </r>
  <r>
    <s v="FLUJO"/>
    <n v="20225058319"/>
    <s v="CROMOPLASTIC EIRL"/>
    <m/>
    <d v="2025-11-11T00:00:00"/>
    <n v="368.86"/>
    <x v="2"/>
    <x v="3"/>
  </r>
  <r>
    <s v="FLUJO"/>
    <n v="20392484176"/>
    <s v="FAMP  R SAC"/>
    <m/>
    <d v="2025-11-11T00:00:00"/>
    <n v="584.99"/>
    <x v="2"/>
    <x v="3"/>
  </r>
  <r>
    <s v="FLUJO"/>
    <n v="20492880346"/>
    <s v="KOMPRESSUR SAC"/>
    <m/>
    <d v="2025-11-11T00:00:00"/>
    <n v="575.75"/>
    <x v="2"/>
    <x v="3"/>
  </r>
  <r>
    <s v="FLUJO"/>
    <n v="20506249601"/>
    <s v="CORONA IMPORTADORES E.I.R.L."/>
    <m/>
    <d v="2025-11-11T00:00:00"/>
    <n v="295.04000000000002"/>
    <x v="2"/>
    <x v="3"/>
  </r>
  <r>
    <s v="FLUJO"/>
    <n v="20516697467"/>
    <s v="DONOSTI  S.A.C."/>
    <m/>
    <d v="2025-11-11T00:00:00"/>
    <n v="870.99"/>
    <x v="2"/>
    <x v="3"/>
  </r>
  <r>
    <s v="FLUJO"/>
    <n v="20520460501"/>
    <s v="INVERSIONES CHUPACA SAC"/>
    <m/>
    <d v="2025-11-11T00:00:00"/>
    <n v="132.21"/>
    <x v="2"/>
    <x v="3"/>
  </r>
  <r>
    <s v="FLUJO"/>
    <n v="20603901429"/>
    <s v="SERVICIOS GENERALES CRISJHAR Y MILA S.A.C."/>
    <m/>
    <d v="2025-11-11T00:00:00"/>
    <n v="292.49"/>
    <x v="2"/>
    <x v="3"/>
  </r>
  <r>
    <s v="FLUJO"/>
    <n v="20606242906"/>
    <s v="GAANDY E.I.R.L.."/>
    <m/>
    <d v="2025-11-11T00:00:00"/>
    <n v="132.21"/>
    <x v="2"/>
    <x v="3"/>
  </r>
  <r>
    <s v="FLUJO"/>
    <n v="20608064240"/>
    <s v="JARDINES DE LOS ANGELES E.I.R.L."/>
    <m/>
    <d v="2025-11-11T00:00:00"/>
    <n v="145.42000000000002"/>
    <x v="2"/>
    <x v="3"/>
  </r>
  <r>
    <s v="FLUJO"/>
    <n v="20225058319"/>
    <s v="CROMOPLASTIC EIRL"/>
    <m/>
    <d v="2025-11-11T00:00:00"/>
    <n v="216.63"/>
    <x v="2"/>
    <x v="3"/>
  </r>
  <r>
    <s v="FLUJO"/>
    <n v="20392484176"/>
    <s v="FAMP  R SAC"/>
    <m/>
    <d v="2025-11-11T00:00:00"/>
    <n v="590.1"/>
    <x v="2"/>
    <x v="3"/>
  </r>
  <r>
    <s v="FLUJO"/>
    <n v="20492880346"/>
    <s v="KOMPRESSUR SAC"/>
    <m/>
    <d v="2025-11-11T00:00:00"/>
    <n v="586.1"/>
    <x v="2"/>
    <x v="3"/>
  </r>
  <r>
    <s v="FLUJO"/>
    <n v="20520460501"/>
    <s v="INVERSIONES CHUPACA SAC"/>
    <m/>
    <d v="2025-11-11T00:00:00"/>
    <n v="133.36000000000001"/>
    <x v="2"/>
    <x v="3"/>
  </r>
  <r>
    <s v="FLUJO"/>
    <n v="20603901429"/>
    <s v="SERVICIOS GENERALES CRISJHAR Y MILA S.A.C."/>
    <m/>
    <d v="2025-11-11T00:00:00"/>
    <n v="295.05"/>
    <x v="2"/>
    <x v="3"/>
  </r>
  <r>
    <s v="FLUJO"/>
    <n v="20606242906"/>
    <s v="GAANDY E.I.R.L.."/>
    <m/>
    <d v="2025-11-11T00:00:00"/>
    <n v="120.97"/>
    <x v="2"/>
    <x v="3"/>
  </r>
  <r>
    <s v="FLUJO"/>
    <n v="20608064240"/>
    <s v="JARDINES DE LOS ANGELES E.I.R.L."/>
    <m/>
    <d v="2025-11-11T00:00:00"/>
    <n v="146.70000000000002"/>
    <x v="2"/>
    <x v="3"/>
  </r>
  <r>
    <s v="FLUJO"/>
    <n v="20225058319"/>
    <s v="CROMOPLASTIC EIRL"/>
    <m/>
    <d v="2025-11-11T00:00:00"/>
    <n v="214.96"/>
    <x v="2"/>
    <x v="3"/>
  </r>
  <r>
    <s v="FLUJO"/>
    <n v="20392484176"/>
    <s v="FAMP  R SAC"/>
    <m/>
    <d v="2025-11-11T00:00:00"/>
    <n v="595.22"/>
    <x v="2"/>
    <x v="3"/>
  </r>
  <r>
    <s v="FLUJO"/>
    <n v="20492880346"/>
    <s v="KOMPRESSUR SAC"/>
    <m/>
    <d v="2025-11-11T00:00:00"/>
    <n v="370.58"/>
    <x v="2"/>
    <x v="3"/>
  </r>
  <r>
    <s v="FLUJO"/>
    <n v="20603901429"/>
    <s v="SERVICIOS GENERALES CRISJHAR Y MILA S.A.C."/>
    <m/>
    <d v="2025-11-11T00:00:00"/>
    <n v="297.61"/>
    <x v="2"/>
    <x v="3"/>
  </r>
  <r>
    <s v="FLUJO"/>
    <n v="20606242906"/>
    <s v="GAANDY E.I.R.L.."/>
    <m/>
    <d v="2025-11-11T00:00:00"/>
    <n v="134.52000000000001"/>
    <x v="2"/>
    <x v="3"/>
  </r>
  <r>
    <s v="FLUJO"/>
    <n v="20608064240"/>
    <s v="JARDINES DE LOS ANGELES E.I.R.L."/>
    <m/>
    <d v="2025-11-11T00:00:00"/>
    <n v="147.96999999999997"/>
    <x v="2"/>
    <x v="3"/>
  </r>
  <r>
    <s v="FLUJO"/>
    <n v="20225058319"/>
    <s v="CROMOPLASTIC EIRL"/>
    <m/>
    <d v="2025-11-11T00:00:00"/>
    <n v="209.18"/>
    <x v="2"/>
    <x v="3"/>
  </r>
  <r>
    <s v="FLUJO"/>
    <n v="20492880346"/>
    <s v="KOMPRESSUR SAC"/>
    <m/>
    <d v="2025-11-11T00:00:00"/>
    <n v="373.77000000000004"/>
    <x v="2"/>
    <x v="3"/>
  </r>
  <r>
    <s v="FLUJO"/>
    <n v="20603901429"/>
    <s v="SERVICIOS GENERALES CRISJHAR Y MILA S.A.C."/>
    <m/>
    <d v="2025-11-11T00:00:00"/>
    <n v="300.17"/>
    <x v="2"/>
    <x v="3"/>
  </r>
  <r>
    <s v="FLUJO"/>
    <n v="20606242906"/>
    <s v="GAANDY E.I.R.L.."/>
    <m/>
    <d v="2025-11-11T00:00:00"/>
    <n v="135.68"/>
    <x v="2"/>
    <x v="3"/>
  </r>
  <r>
    <s v="FLUJO"/>
    <n v="20608064240"/>
    <s v="JARDINES DE LOS ANGELES E.I.R.L."/>
    <m/>
    <d v="2025-11-11T00:00:00"/>
    <n v="149.23999999999998"/>
    <x v="2"/>
    <x v="3"/>
  </r>
  <r>
    <s v="FLUJO"/>
    <n v="20506249601"/>
    <s v="CORONA IMPORTADORES E.I.R.L."/>
    <m/>
    <d v="2025-11-11T00:00:00"/>
    <n v="195.39"/>
    <x v="2"/>
    <x v="3"/>
  </r>
  <r>
    <s v="FLUJO"/>
    <n v="20603901429"/>
    <s v="SERVICIOS GENERALES CRISJHAR Y MILA S.A.C."/>
    <m/>
    <d v="2025-11-11T00:00:00"/>
    <n v="302.73"/>
    <x v="2"/>
    <x v="3"/>
  </r>
  <r>
    <s v="FLUJO"/>
    <n v="20608064240"/>
    <s v="JARDINES DE LOS ANGELES E.I.R.L."/>
    <m/>
    <d v="2025-11-11T00:00:00"/>
    <n v="150.51999999999998"/>
    <x v="2"/>
    <x v="3"/>
  </r>
  <r>
    <s v="FLUJO"/>
    <n v="20603901429"/>
    <s v="SERVICIOS GENERALES CRISJHAR Y MILA S.A.C."/>
    <m/>
    <d v="2025-11-11T00:00:00"/>
    <n v="305.57"/>
    <x v="2"/>
    <x v="3"/>
  </r>
  <r>
    <s v="FLUJO"/>
    <n v="20608064240"/>
    <s v="JARDINES DE LOS ANGELES E.I.R.L."/>
    <m/>
    <d v="2025-11-11T00:00:00"/>
    <n v="151.93"/>
    <x v="2"/>
    <x v="3"/>
  </r>
  <r>
    <s v="FLUJO"/>
    <n v="20603901429"/>
    <s v="SERVICIOS GENERALES CRISJHAR Y MILA S.A.C."/>
    <m/>
    <d v="2025-11-11T00:00:00"/>
    <n v="307.84000000000003"/>
    <x v="2"/>
    <x v="3"/>
  </r>
  <r>
    <s v="FLUJO"/>
    <n v="20608064240"/>
    <s v="JARDINES DE LOS ANGELES E.I.R.L."/>
    <m/>
    <d v="2025-11-11T00:00:00"/>
    <n v="153.06"/>
    <x v="2"/>
    <x v="3"/>
  </r>
  <r>
    <s v="FLUJO"/>
    <n v="20608064240"/>
    <s v="JARDINES DE LOS ANGELES E.I.R.L."/>
    <m/>
    <d v="2025-11-11T00:00:00"/>
    <n v="144.05000000000001"/>
    <x v="2"/>
    <x v="3"/>
  </r>
  <r>
    <s v="FLUJO"/>
    <n v="20608064240"/>
    <s v="JARDINES DE LOS ANGELES E.I.R.L."/>
    <m/>
    <d v="2025-11-11T00:00:00"/>
    <n v="145.38"/>
    <x v="2"/>
    <x v="3"/>
  </r>
  <r>
    <s v="FLUJO"/>
    <n v="20608064240"/>
    <s v="JARDINES DE LOS ANGELES E.I.R.L."/>
    <m/>
    <d v="2025-11-11T00:00:00"/>
    <n v="146.43"/>
    <x v="2"/>
    <x v="3"/>
  </r>
  <r>
    <s v="FLUJO"/>
    <n v="20608064240"/>
    <s v="JARDINES DE LOS ANGELES E.I.R.L."/>
    <m/>
    <d v="2025-11-11T00:00:00"/>
    <n v="147.75"/>
    <x v="2"/>
    <x v="3"/>
  </r>
  <r>
    <s v="FLUJO"/>
    <n v="20608064240"/>
    <s v="JARDINES DE LOS ANGELES E.I.R.L."/>
    <m/>
    <d v="2025-11-11T00:00:00"/>
    <n v="164.19"/>
    <x v="2"/>
    <x v="3"/>
  </r>
  <r>
    <s v="FLUJO"/>
    <n v="20608064240"/>
    <s v="JARDINES DE LOS ANGELES E.I.R.L."/>
    <m/>
    <d v="2025-11-11T00:00:00"/>
    <n v="150.13"/>
    <x v="2"/>
    <x v="3"/>
  </r>
  <r>
    <s v="FLUJO"/>
    <n v="20608064240"/>
    <s v="JARDINES DE LOS ANGELES E.I.R.L."/>
    <m/>
    <d v="2025-11-11T00:00:00"/>
    <n v="151.44999999999999"/>
    <x v="2"/>
    <x v="3"/>
  </r>
  <r>
    <s v="FLUJO"/>
    <n v="20563657538"/>
    <s v="ENMODEL S.A.C"/>
    <m/>
    <d v="2025-11-11T00:00:00"/>
    <n v="990.43999999999994"/>
    <x v="2"/>
    <x v="3"/>
  </r>
  <r>
    <s v="REAL TOTAL"/>
    <n v="20601745438"/>
    <s v="MIAVAL EIRL"/>
    <m/>
    <d v="2025-11-11T00:00:00"/>
    <n v="196.69"/>
    <x v="2"/>
    <x v="3"/>
  </r>
  <r>
    <s v="REAL TOTAL"/>
    <n v="20613793357"/>
    <s v="TABLEROS KEPAL E.I.R.L"/>
    <m/>
    <d v="2025-11-11T00:00:00"/>
    <n v="131.05000000000001"/>
    <x v="2"/>
    <x v="3"/>
  </r>
  <r>
    <s v="REAL TOTAL"/>
    <n v="20605468919"/>
    <s v="ELVIS INVERSIONES INMOBILIARIAS EIRL"/>
    <m/>
    <d v="2025-11-11T00:00:00"/>
    <n v="363.27"/>
    <x v="2"/>
    <x v="3"/>
  </r>
  <r>
    <s v="FLUJO"/>
    <n v="10181557520"/>
    <s v="PELAEZ MEREGILDO DE EUSTAQUIO SANDRA JUDITH"/>
    <m/>
    <d v="2025-11-12T00:00:00"/>
    <n v="129.88999999999999"/>
    <x v="2"/>
    <x v="4"/>
  </r>
  <r>
    <s v="FLUJO"/>
    <n v="10416073959"/>
    <s v="ANDREA PAMELA VELASQUES LOPEZ"/>
    <m/>
    <d v="2025-11-12T00:00:00"/>
    <n v="604.01"/>
    <x v="2"/>
    <x v="4"/>
  </r>
  <r>
    <s v="FLUJO"/>
    <n v="20125374761"/>
    <s v="HYDROEVAL INGENIEROS SRL"/>
    <m/>
    <d v="2025-11-12T00:00:00"/>
    <n v="259.79000000000002"/>
    <x v="2"/>
    <x v="4"/>
  </r>
  <r>
    <s v="FLUJO"/>
    <n v="20393905825"/>
    <s v="DISTRIBUIDORA Y SERVICIOS SANTIAGO E.I.R.L"/>
    <m/>
    <d v="2025-11-12T00:00:00"/>
    <n v="129.88999999999999"/>
    <x v="2"/>
    <x v="4"/>
  </r>
  <r>
    <s v="FLUJO"/>
    <n v="20523226933"/>
    <s v="W &amp; A SUMINISTROS E INSTALACIONES CONTRA INCENDIOS E.I.R.L."/>
    <m/>
    <d v="2025-11-12T00:00:00"/>
    <n v="496.59000000000003"/>
    <x v="2"/>
    <x v="4"/>
  </r>
  <r>
    <s v="FLUJO"/>
    <n v="20524725712"/>
    <s v="MYM BIENES Y SERVICIOS SAC"/>
    <m/>
    <d v="2025-11-12T00:00:00"/>
    <n v="1420.8400000000001"/>
    <x v="2"/>
    <x v="4"/>
  </r>
  <r>
    <s v="FLUJO"/>
    <n v="20537575299"/>
    <s v="J.P.M. DEL PERU S.A.C."/>
    <m/>
    <d v="2025-11-12T00:00:00"/>
    <n v="229.89999999999998"/>
    <x v="2"/>
    <x v="4"/>
  </r>
  <r>
    <s v="FLUJO"/>
    <n v="20546449573"/>
    <s v="LO DE JUAN CHICKEN GRILL"/>
    <m/>
    <d v="2025-11-12T00:00:00"/>
    <n v="632.08999999999992"/>
    <x v="2"/>
    <x v="4"/>
  </r>
  <r>
    <s v="FLUJO"/>
    <n v="20546492231"/>
    <s v="HOLDING AMBIENTAL SAC"/>
    <m/>
    <d v="2025-11-12T00:00:00"/>
    <n v="229.89999999999998"/>
    <x v="2"/>
    <x v="4"/>
  </r>
  <r>
    <s v="FLUJO"/>
    <n v="20548209332"/>
    <s v="SOLUCIONES Y NEGOCIOS HERMANOS OSPINA S.A.C"/>
    <m/>
    <d v="2025-11-12T00:00:00"/>
    <n v="616.90000000000009"/>
    <x v="2"/>
    <x v="4"/>
  </r>
  <r>
    <s v="FLUJO"/>
    <n v="20552184042"/>
    <s v="SEGUTRONIC SAC"/>
    <m/>
    <d v="2025-11-12T00:00:00"/>
    <n v="129.88999999999999"/>
    <x v="2"/>
    <x v="4"/>
  </r>
  <r>
    <s v="FLUJO"/>
    <n v="20555652012"/>
    <s v="CORPORATION LOGISTIC MALVINAS SAC"/>
    <m/>
    <d v="2025-11-12T00:00:00"/>
    <n v="149.44"/>
    <x v="2"/>
    <x v="4"/>
  </r>
  <r>
    <s v="FLUJO"/>
    <n v="20565253949"/>
    <s v="GLOBAL COLOR IMPRESORES E.I.R.L"/>
    <m/>
    <d v="2025-11-12T00:00:00"/>
    <n v="302.32"/>
    <x v="2"/>
    <x v="4"/>
  </r>
  <r>
    <s v="FLUJO"/>
    <n v="20568219610"/>
    <s v="CONTRATISTAS GENERALES SAN JOSE DRILLING PERU S.A.C"/>
    <m/>
    <d v="2025-11-12T00:00:00"/>
    <n v="517.28"/>
    <x v="2"/>
    <x v="4"/>
  </r>
  <r>
    <s v="FLUJO"/>
    <n v="20568907699"/>
    <s v="GRUPO ROQUIS EIRL"/>
    <m/>
    <d v="2025-11-12T00:00:00"/>
    <n v="149.44"/>
    <x v="2"/>
    <x v="4"/>
  </r>
  <r>
    <s v="FLUJO"/>
    <n v="20600579305"/>
    <s v="RESULTADOS Y SOLUCIONES INTEGRALES S.A.C."/>
    <m/>
    <d v="2025-11-12T00:00:00"/>
    <n v="1061.23"/>
    <x v="2"/>
    <x v="4"/>
  </r>
  <r>
    <s v="FLUJO"/>
    <n v="20600884221"/>
    <s v="VH SERVICIOS INVERSIONES GENERALES SAC"/>
    <m/>
    <d v="2025-11-12T00:00:00"/>
    <n v="278.07"/>
    <x v="2"/>
    <x v="4"/>
  </r>
  <r>
    <s v="FLUJO"/>
    <n v="20601619271"/>
    <s v="SERVICIOS  TRANSPORTES BRAINS S.R.L."/>
    <m/>
    <d v="2025-11-12T00:00:00"/>
    <n v="919.6099999999999"/>
    <x v="2"/>
    <x v="4"/>
  </r>
  <r>
    <s v="FLUJO"/>
    <n v="20602042295"/>
    <s v="CORPORACION TEXAM CHAVEZ SAC"/>
    <m/>
    <d v="2025-11-12T00:00:00"/>
    <n v="259.79000000000002"/>
    <x v="2"/>
    <x v="4"/>
  </r>
  <r>
    <s v="FLUJO"/>
    <n v="20602667813"/>
    <s v="TRANSPORTE COPYY  SAC"/>
    <m/>
    <d v="2025-11-12T00:00:00"/>
    <n v="129.88999999999999"/>
    <x v="2"/>
    <x v="4"/>
  </r>
  <r>
    <s v="FLUJO"/>
    <n v="20602720391"/>
    <s v="GRUPO TECKNOMEAL FYN SAC"/>
    <m/>
    <d v="2025-11-12T00:00:00"/>
    <n v="278.07"/>
    <x v="2"/>
    <x v="4"/>
  </r>
  <r>
    <s v="FLUJO"/>
    <n v="20602729584"/>
    <s v="CIANES SAC"/>
    <m/>
    <d v="2025-11-12T00:00:00"/>
    <n v="229.89999999999998"/>
    <x v="2"/>
    <x v="4"/>
  </r>
  <r>
    <s v="FLUJO"/>
    <n v="20602799361"/>
    <s v="HR SOLUTIONS &amp; SUPPORT E.I.R.L."/>
    <m/>
    <d v="2025-11-12T00:00:00"/>
    <n v="406.84"/>
    <x v="2"/>
    <x v="4"/>
  </r>
  <r>
    <s v="FLUJO"/>
    <n v="20603076533"/>
    <s v="M Y H INGENIERIA ELECTRICA S.A.C."/>
    <m/>
    <d v="2025-11-12T00:00:00"/>
    <n v="219.14"/>
    <x v="2"/>
    <x v="4"/>
  </r>
  <r>
    <s v="FLUJO"/>
    <n v="20603083670"/>
    <s v="SIETE MEDIOS SAC"/>
    <m/>
    <d v="2025-11-12T00:00:00"/>
    <n v="287.38"/>
    <x v="2"/>
    <x v="4"/>
  </r>
  <r>
    <s v="FLUJO"/>
    <n v="20603513925"/>
    <s v="PERUVIAN INKA FRUIT SAC"/>
    <m/>
    <d v="2025-11-12T00:00:00"/>
    <n v="465.12"/>
    <x v="2"/>
    <x v="4"/>
  </r>
  <r>
    <s v="FLUJO"/>
    <n v="20604245738"/>
    <s v="BRAVO CORAL E.I.R.L."/>
    <m/>
    <d v="2025-11-12T00:00:00"/>
    <n v="223.37"/>
    <x v="2"/>
    <x v="4"/>
  </r>
  <r>
    <s v="FLUJO"/>
    <n v="20604502129"/>
    <s v="ARSOU GROUP S.A.C."/>
    <m/>
    <d v="2025-11-12T00:00:00"/>
    <n v="272.77999999999997"/>
    <x v="2"/>
    <x v="4"/>
  </r>
  <r>
    <s v="FLUJO"/>
    <n v="20606269031"/>
    <s v="LEON TRUCK LOGISTICS E.I.R.L."/>
    <m/>
    <d v="2025-11-12T00:00:00"/>
    <n v="489.69"/>
    <x v="2"/>
    <x v="4"/>
  </r>
  <r>
    <s v="FLUJO"/>
    <n v="20606994924"/>
    <s v="REGALOS COSITA LINDA DEL PERU E.I.R.L."/>
    <m/>
    <d v="2025-11-12T00:00:00"/>
    <n v="160.93"/>
    <x v="2"/>
    <x v="4"/>
  </r>
  <r>
    <s v="FLUJO"/>
    <n v="20607705969"/>
    <s v="CORPORACION 4C SOCIEDAD ANONIMA CERRADA"/>
    <m/>
    <d v="2025-11-12T00:00:00"/>
    <n v="227.98"/>
    <x v="2"/>
    <x v="4"/>
  </r>
  <r>
    <s v="FLUJO"/>
    <n v="20608051016"/>
    <s v="REVISION TECNICA VEHICULAR NAZCA PERU S.A.C."/>
    <m/>
    <d v="2025-11-12T00:00:00"/>
    <n v="278.07"/>
    <x v="2"/>
    <x v="4"/>
  </r>
  <r>
    <s v="FLUJO"/>
    <n v="20608197681"/>
    <s v="AYVA E.I.R.L ."/>
    <m/>
    <d v="2025-11-12T00:00:00"/>
    <n v="794.4"/>
    <x v="2"/>
    <x v="4"/>
  </r>
  <r>
    <s v="FLUJO"/>
    <n v="20609040433"/>
    <s v="MULTISERVICIOS MEJAMS SAC"/>
    <m/>
    <d v="2025-11-12T00:00:00"/>
    <n v="389.68"/>
    <x v="2"/>
    <x v="4"/>
  </r>
  <r>
    <s v="FLUJO"/>
    <n v="20609392208"/>
    <s v="METAL GROUP MR SAC"/>
    <m/>
    <d v="2025-11-12T00:00:00"/>
    <n v="853.77"/>
    <x v="2"/>
    <x v="4"/>
  </r>
  <r>
    <s v="FLUJO"/>
    <n v="20609730341"/>
    <s v="JENY ARQUITECTURA CONSTRUCCIÃ“N E INMOBILIARIA E.I.R.L."/>
    <m/>
    <d v="2025-11-12T00:00:00"/>
    <n v="259.79000000000002"/>
    <x v="2"/>
    <x v="4"/>
  </r>
  <r>
    <s v="FLUJO"/>
    <n v="20609904110"/>
    <s v="SOFEDAS E.I.R.L."/>
    <m/>
    <d v="2025-11-12T00:00:00"/>
    <n v="327.99"/>
    <x v="2"/>
    <x v="4"/>
  </r>
  <r>
    <s v="FLUJO"/>
    <n v="20610786686"/>
    <s v="PRANEE SAC"/>
    <m/>
    <d v="2025-11-12T00:00:00"/>
    <n v="532.22"/>
    <x v="2"/>
    <x v="4"/>
  </r>
  <r>
    <s v="FLUJO"/>
    <n v="20611751291"/>
    <s v="CEPOS SOLUCIONES INTEGRALES S.A.C."/>
    <m/>
    <d v="2025-11-12T00:00:00"/>
    <n v="415.31"/>
    <x v="2"/>
    <x v="4"/>
  </r>
  <r>
    <s v="FLUJO"/>
    <n v="20612350915"/>
    <s v="GWU TRADE S.A.C."/>
    <m/>
    <d v="2025-11-12T00:00:00"/>
    <n v="302.32"/>
    <x v="2"/>
    <x v="4"/>
  </r>
  <r>
    <s v="FLUJO"/>
    <n v="20612609692"/>
    <s v="INVERSIONES MOURAA EIRL"/>
    <m/>
    <d v="2025-11-12T00:00:00"/>
    <n v="459.79999999999995"/>
    <x v="2"/>
    <x v="4"/>
  </r>
  <r>
    <s v="FLUJO"/>
    <n v="20613592602"/>
    <s v="SOLUCIONES TECNOLOGICAS DE ALTA CALIDAD S.A.C."/>
    <m/>
    <d v="2025-11-12T00:00:00"/>
    <n v="206.91"/>
    <x v="2"/>
    <x v="4"/>
  </r>
  <r>
    <s v="FLUJO"/>
    <n v="20614520729"/>
    <s v="EL BUEN CONTADOR S.A.C."/>
    <m/>
    <d v="2025-11-12T00:00:00"/>
    <n v="129.88999999999999"/>
    <x v="2"/>
    <x v="4"/>
  </r>
  <r>
    <s v="FLUJO"/>
    <n v="10081338774"/>
    <s v="MONTENEGRO ROSALINO JOSE DALMAZ"/>
    <m/>
    <d v="2025-11-12T00:00:00"/>
    <n v="280.54000000000002"/>
    <x v="2"/>
    <x v="4"/>
  </r>
  <r>
    <s v="FLUJO"/>
    <n v="10181557520"/>
    <s v="PELAEZ MEREGILDO DE EUSTAQUIO SANDRA JUDITH"/>
    <m/>
    <d v="2025-11-12T00:00:00"/>
    <n v="131.05000000000001"/>
    <x v="2"/>
    <x v="4"/>
  </r>
  <r>
    <s v="FLUJO"/>
    <n v="20492880346"/>
    <s v="KOMPRESSUR SAC"/>
    <m/>
    <d v="2025-11-12T00:00:00"/>
    <n v="575.30999999999995"/>
    <x v="2"/>
    <x v="4"/>
  </r>
  <r>
    <s v="FLUJO"/>
    <n v="20529404434"/>
    <s v="SERVICIOS MEDICOS Y LABORATORIOS VIRGEN DEL CARMEN E.I.R.L."/>
    <m/>
    <d v="2025-11-12T00:00:00"/>
    <n v="569.83000000000004"/>
    <x v="2"/>
    <x v="4"/>
  </r>
  <r>
    <s v="FLUJO"/>
    <n v="20552184042"/>
    <s v="SEGUTRONIC SAC"/>
    <m/>
    <d v="2025-11-12T00:00:00"/>
    <n v="131.05000000000001"/>
    <x v="2"/>
    <x v="4"/>
  </r>
  <r>
    <s v="FLUJO"/>
    <n v="20555652012"/>
    <s v="CORPORATION LOGISTIC MALVINAS SAC"/>
    <m/>
    <d v="2025-11-12T00:00:00"/>
    <n v="150.76999999999998"/>
    <x v="2"/>
    <x v="4"/>
  </r>
  <r>
    <s v="FLUJO"/>
    <n v="20568219610"/>
    <s v="CONTRATISTAS GENERALES SAN JOSE DRILLING PERU S.A.C"/>
    <m/>
    <d v="2025-11-12T00:00:00"/>
    <n v="521.88"/>
    <x v="2"/>
    <x v="4"/>
  </r>
  <r>
    <s v="FLUJO"/>
    <n v="20568907699"/>
    <s v="GRUPO ROQUIS EIRL"/>
    <m/>
    <d v="2025-11-12T00:00:00"/>
    <n v="150.76999999999998"/>
    <x v="2"/>
    <x v="4"/>
  </r>
  <r>
    <s v="FLUJO"/>
    <n v="20602667813"/>
    <s v="TRANSPORTE COPYY  SAC"/>
    <m/>
    <d v="2025-11-12T00:00:00"/>
    <n v="131.05000000000001"/>
    <x v="2"/>
    <x v="4"/>
  </r>
  <r>
    <s v="FLUJO"/>
    <n v="20607705969"/>
    <s v="CORPORACION 4C SOCIEDAD ANONIMA CERRADA"/>
    <m/>
    <d v="2025-11-12T00:00:00"/>
    <n v="162.36000000000001"/>
    <x v="2"/>
    <x v="4"/>
  </r>
  <r>
    <s v="FLUJO"/>
    <n v="20610786686"/>
    <s v="PRANEE SAC"/>
    <m/>
    <d v="2025-11-12T00:00:00"/>
    <n v="591.47"/>
    <x v="2"/>
    <x v="4"/>
  </r>
  <r>
    <s v="FLUJO"/>
    <n v="20611751291"/>
    <s v="CEPOS SOLUCIONES INTEGRALES S.A.C."/>
    <m/>
    <d v="2025-11-12T00:00:00"/>
    <n v="419.02"/>
    <x v="2"/>
    <x v="4"/>
  </r>
  <r>
    <s v="FLUJO"/>
    <n v="20614520729"/>
    <s v="EL BUEN CONTADOR S.A.C."/>
    <m/>
    <d v="2025-11-12T00:00:00"/>
    <n v="131.05000000000001"/>
    <x v="2"/>
    <x v="4"/>
  </r>
  <r>
    <s v="FLUJO"/>
    <n v="20568219610"/>
    <s v="CONTRATISTAS GENERALES SAN JOSE DRILLING PERU S.A.C"/>
    <m/>
    <d v="2025-11-12T00:00:00"/>
    <n v="132.21"/>
    <x v="2"/>
    <x v="4"/>
  </r>
  <r>
    <s v="FLUJO"/>
    <n v="20602667813"/>
    <s v="TRANSPORTE COPYY  SAC"/>
    <m/>
    <d v="2025-11-12T00:00:00"/>
    <n v="132.21"/>
    <x v="2"/>
    <x v="4"/>
  </r>
  <r>
    <s v="FLUJO"/>
    <n v="20610786686"/>
    <s v="PRANEE SAC"/>
    <m/>
    <d v="2025-11-12T00:00:00"/>
    <n v="210.6"/>
    <x v="2"/>
    <x v="4"/>
  </r>
  <r>
    <s v="FLUJO"/>
    <n v="20610786686"/>
    <s v="PRANEE SAC"/>
    <m/>
    <d v="2025-11-12T00:00:00"/>
    <n v="187.2"/>
    <x v="2"/>
    <x v="4"/>
  </r>
  <r>
    <s v="FLUJO"/>
    <n v="20568219610"/>
    <s v="CONTRATISTAS GENERALES SAN JOSE DRILLING PERU S.A.C"/>
    <m/>
    <d v="2025-11-12T00:00:00"/>
    <n v="133.36000000000001"/>
    <x v="2"/>
    <x v="4"/>
  </r>
  <r>
    <s v="FLUJO"/>
    <n v="20602667813"/>
    <s v="TRANSPORTE COPYY  SAC"/>
    <m/>
    <d v="2025-11-12T00:00:00"/>
    <n v="133.36000000000001"/>
    <x v="2"/>
    <x v="4"/>
  </r>
  <r>
    <s v="FLUJO"/>
    <n v="20543817512"/>
    <s v="TRANSPORTES CAJITAS CARGO EIRL"/>
    <m/>
    <d v="2025-11-12T00:00:00"/>
    <n v="134.63999999999999"/>
    <x v="2"/>
    <x v="4"/>
  </r>
  <r>
    <s v="FLUJO"/>
    <n v="20602667813"/>
    <s v="TRANSPORTE COPYY  SAC"/>
    <m/>
    <d v="2025-11-12T00:00:00"/>
    <n v="134.63999999999999"/>
    <x v="2"/>
    <x v="4"/>
  </r>
  <r>
    <s v="FLUJO"/>
    <n v="20602667813"/>
    <s v="TRANSPORTE COPYY  SAC"/>
    <m/>
    <d v="2025-11-12T00:00:00"/>
    <n v="135.68"/>
    <x v="2"/>
    <x v="4"/>
  </r>
  <r>
    <s v="REAL TOTAL"/>
    <n v="20613538365"/>
    <s v="CLINIC MEDICAL MANCORA S.A.C."/>
    <m/>
    <d v="2025-11-12T00:00:00"/>
    <n v="235.79"/>
    <x v="2"/>
    <x v="4"/>
  </r>
  <r>
    <s v="REAL TOTAL"/>
    <n v="20481079153"/>
    <s v="TECNOPLAS SRL"/>
    <m/>
    <d v="2025-11-12T00:00:00"/>
    <n v="363"/>
    <x v="2"/>
    <x v="4"/>
  </r>
  <r>
    <s v="REDIRECCIONAMIENTO"/>
    <n v="20519499780"/>
    <s v="COPY FAST TECH S.A.C."/>
    <m/>
    <d v="2025-11-12T00:00:00"/>
    <n v="296.89"/>
    <x v="2"/>
    <x v="4"/>
  </r>
  <r>
    <s v="REDIRECCIONAMIENTO"/>
    <n v="20519499780"/>
    <s v="COPY FAST TECH S.A.C."/>
    <m/>
    <d v="2025-11-12T00:00:00"/>
    <n v="292.83999999999997"/>
    <x v="2"/>
    <x v="4"/>
  </r>
  <r>
    <s v="REDIRECCIONAMIENTO"/>
    <n v="20519499780"/>
    <s v="COPY FAST TECH S.A.C."/>
    <m/>
    <d v="2025-11-12T00:00:00"/>
    <n v="288.52999999999997"/>
    <x v="2"/>
    <x v="4"/>
  </r>
  <r>
    <s v="REDIRECCIONAMIENTO"/>
    <n v="20519499780"/>
    <s v="COPY FAST TECH S.A.C."/>
    <m/>
    <d v="2025-11-12T00:00:00"/>
    <n v="280.17"/>
    <x v="2"/>
    <x v="4"/>
  </r>
  <r>
    <s v="REDIRECCIONAMIENTO"/>
    <n v="20519499780"/>
    <s v="COPY FAST TECH S.A.C."/>
    <m/>
    <d v="2025-11-12T00:00:00"/>
    <n v="306.93"/>
    <x v="2"/>
    <x v="4"/>
  </r>
  <r>
    <s v="REDIRECCIONAMIENTO"/>
    <n v="20519499780"/>
    <s v="COPY FAST TECH S.A.C."/>
    <m/>
    <d v="2025-11-12T00:00:00"/>
    <n v="302.43"/>
    <x v="2"/>
    <x v="4"/>
  </r>
  <r>
    <s v="REDIRECCIONAMIENTO"/>
    <n v="20519499780"/>
    <s v="COPY FAST TECH S.A.C."/>
    <m/>
    <d v="2025-11-12T00:00:00"/>
    <n v="297.93"/>
    <x v="2"/>
    <x v="4"/>
  </r>
  <r>
    <s v="REDIRECCIONAMIENTO"/>
    <n v="20519499780"/>
    <s v="COPY FAST TECH S.A.C."/>
    <m/>
    <d v="2025-11-12T00:00:00"/>
    <n v="293.63"/>
    <x v="2"/>
    <x v="4"/>
  </r>
  <r>
    <s v="REDIRECCIONAMIENTO"/>
    <n v="20519499780"/>
    <s v="COPY FAST TECH S.A.C."/>
    <m/>
    <d v="2025-11-12T00:00:00"/>
    <n v="281.92"/>
    <x v="2"/>
    <x v="4"/>
  </r>
  <r>
    <s v="REDIRECCIONAMIENTO"/>
    <n v="20519499780"/>
    <s v="COPY FAST TECH S.A.C."/>
    <m/>
    <d v="2025-11-12T00:00:00"/>
    <n v="277.77"/>
    <x v="2"/>
    <x v="4"/>
  </r>
  <r>
    <s v="FLUJO"/>
    <n v="10410886150"/>
    <s v="rosales huerta jando diogenes"/>
    <m/>
    <d v="2025-11-13T00:00:00"/>
    <n v="516.91999999999996"/>
    <x v="2"/>
    <x v="5"/>
  </r>
  <r>
    <s v="FLUJO"/>
    <n v="20321592229"/>
    <s v="ASOCIACION BIO HUERTO VILLA MIRAFLORES"/>
    <m/>
    <d v="2025-11-13T00:00:00"/>
    <n v="521.63"/>
    <x v="2"/>
    <x v="5"/>
  </r>
  <r>
    <s v="FLUJO"/>
    <n v="20411090257"/>
    <s v="JR ESTUDIO CONTABLE SRL"/>
    <m/>
    <d v="2025-11-13T00:00:00"/>
    <n v="129.88999999999999"/>
    <x v="2"/>
    <x v="5"/>
  </r>
  <r>
    <s v="FLUJO"/>
    <n v="20453989861"/>
    <s v="IEP NUESTRA SENORA DE LA ASUNTA SRL"/>
    <m/>
    <d v="2025-11-13T00:00:00"/>
    <n v="172.43"/>
    <x v="2"/>
    <x v="5"/>
  </r>
  <r>
    <s v="FLUJO"/>
    <n v="20494347742"/>
    <s v="Transportes Jaimito EIRL"/>
    <m/>
    <d v="2025-11-13T00:00:00"/>
    <n v="172.43"/>
    <x v="2"/>
    <x v="5"/>
  </r>
  <r>
    <s v="FLUJO"/>
    <n v="20494854768"/>
    <s v="VELASQUEZ Y BENDEZU INGENIEROS SAC"/>
    <m/>
    <d v="2025-11-13T00:00:00"/>
    <n v="229.89999999999998"/>
    <x v="2"/>
    <x v="5"/>
  </r>
  <r>
    <s v="FLUJO"/>
    <n v="20504145159"/>
    <s v="R&amp;C Contenedores S.A.C."/>
    <m/>
    <d v="2025-11-13T00:00:00"/>
    <n v="206.91"/>
    <x v="2"/>
    <x v="5"/>
  </r>
  <r>
    <s v="FLUJO"/>
    <n v="20515204165"/>
    <s v="CORPORACION VIRGEN DE GUADALUPE SAC"/>
    <m/>
    <d v="2025-11-13T00:00:00"/>
    <n v="410.38"/>
    <x v="2"/>
    <x v="5"/>
  </r>
  <r>
    <s v="FLUJO"/>
    <n v="20525171761"/>
    <s v="INVERSIONES VICCA VERDE SAC"/>
    <m/>
    <d v="2025-11-13T00:00:00"/>
    <n v="417.28"/>
    <x v="2"/>
    <x v="5"/>
  </r>
  <r>
    <s v="FLUJO"/>
    <n v="20541245627"/>
    <s v="SISTEMAS INTEGRALES HR SAC"/>
    <m/>
    <d v="2025-11-13T00:00:00"/>
    <n v="129.88999999999999"/>
    <x v="2"/>
    <x v="5"/>
  </r>
  <r>
    <s v="FLUJO"/>
    <n v="20547689403"/>
    <s v="SERVICIO DE CALIBRACION Y LABORATORIOS SAC"/>
    <m/>
    <d v="2025-11-13T00:00:00"/>
    <n v="459.79999999999995"/>
    <x v="2"/>
    <x v="5"/>
  </r>
  <r>
    <s v="FLUJO"/>
    <n v="20549017470"/>
    <s v="S Y V TRANSPORTES Y SERVICIOS GENERALES SAC"/>
    <m/>
    <d v="2025-11-13T00:00:00"/>
    <n v="229.89999999999998"/>
    <x v="2"/>
    <x v="5"/>
  </r>
  <r>
    <s v="FLUJO"/>
    <n v="20601096430"/>
    <s v="REPRESENTACIONES VALEFAN S.A.C."/>
    <m/>
    <d v="2025-11-13T00:00:00"/>
    <n v="457.78"/>
    <x v="2"/>
    <x v="5"/>
  </r>
  <r>
    <s v="FLUJO"/>
    <n v="20601363691"/>
    <s v="CASAVID S.A.C."/>
    <m/>
    <d v="2025-11-13T00:00:00"/>
    <n v="142.88999999999999"/>
    <x v="2"/>
    <x v="5"/>
  </r>
  <r>
    <s v="FLUJO"/>
    <n v="20601648661"/>
    <s v="FABRICACIONES OSELU EIRL"/>
    <m/>
    <d v="2025-11-13T00:00:00"/>
    <n v="129.88999999999999"/>
    <x v="2"/>
    <x v="5"/>
  </r>
  <r>
    <s v="FLUJO"/>
    <n v="20601864216"/>
    <s v="AVANTI DISENOS Y PROYECTOS SAC"/>
    <m/>
    <d v="2025-11-13T00:00:00"/>
    <n v="259.79000000000002"/>
    <x v="2"/>
    <x v="5"/>
  </r>
  <r>
    <s v="FLUJO"/>
    <n v="20602022308"/>
    <s v="CONSULTORA MORALES Y REYES SAC"/>
    <m/>
    <d v="2025-11-13T00:00:00"/>
    <n v="581.36"/>
    <x v="2"/>
    <x v="5"/>
  </r>
  <r>
    <s v="FLUJO"/>
    <n v="20602331327"/>
    <s v="INGENIEROS &amp; ASOCIADOS IBERAM S.A.C"/>
    <m/>
    <d v="2025-11-13T00:00:00"/>
    <n v="229.89999999999998"/>
    <x v="2"/>
    <x v="5"/>
  </r>
  <r>
    <s v="FLUJO"/>
    <n v="20603061081"/>
    <s v="JESPINOZA EIRL"/>
    <m/>
    <d v="2025-11-13T00:00:00"/>
    <n v="179.48999999999998"/>
    <x v="2"/>
    <x v="5"/>
  </r>
  <r>
    <s v="FLUJO"/>
    <n v="20603061081"/>
    <s v="JESPINOZA EIRL"/>
    <m/>
    <d v="2025-11-13T00:00:00"/>
    <n v="162.36000000000001"/>
    <x v="2"/>
    <x v="5"/>
  </r>
  <r>
    <s v="FLUJO"/>
    <n v="20603122535"/>
    <s v="FANTASTIC TRADE SAC"/>
    <m/>
    <d v="2025-11-13T00:00:00"/>
    <n v="129.88999999999999"/>
    <x v="2"/>
    <x v="5"/>
  </r>
  <r>
    <s v="FLUJO"/>
    <n v="20603841418"/>
    <s v="LA TAULA FOOD S.R.L"/>
    <m/>
    <d v="2025-11-13T00:00:00"/>
    <n v="210.95999999999998"/>
    <x v="2"/>
    <x v="5"/>
  </r>
  <r>
    <s v="FLUJO"/>
    <n v="20603930283"/>
    <s v="HEARTBEAT MARKETING S.A.C."/>
    <m/>
    <d v="2025-11-13T00:00:00"/>
    <n v="206.91"/>
    <x v="2"/>
    <x v="5"/>
  </r>
  <r>
    <s v="FLUJO"/>
    <n v="20604726906"/>
    <s v="MRL IMPORT &amp; TRADING S.A.C"/>
    <m/>
    <d v="2025-11-13T00:00:00"/>
    <n v="1162.49"/>
    <x v="2"/>
    <x v="5"/>
  </r>
  <r>
    <s v="FLUJO"/>
    <n v="20605737502"/>
    <s v="ALAYO Y ASOCIADOS SAC"/>
    <m/>
    <d v="2025-11-13T00:00:00"/>
    <n v="241.27"/>
    <x v="2"/>
    <x v="5"/>
  </r>
  <r>
    <s v="FLUJO"/>
    <n v="20606173351"/>
    <s v="VELCCO INSTALACIONES MINERAS S.A.C."/>
    <m/>
    <d v="2025-11-13T00:00:00"/>
    <n v="537.54"/>
    <x v="2"/>
    <x v="5"/>
  </r>
  <r>
    <s v="FLUJO"/>
    <n v="20607965626"/>
    <s v="POWERSTEEL MANTENIMIENTO INDUSTRIAL  SAC"/>
    <m/>
    <d v="2025-11-13T00:00:00"/>
    <n v="278.07"/>
    <x v="2"/>
    <x v="5"/>
  </r>
  <r>
    <s v="FLUJO"/>
    <n v="20608023373"/>
    <s v="CON Y AR INGENIEROS Y CONTRATISTAS S.R.L"/>
    <m/>
    <d v="2025-11-13T00:00:00"/>
    <n v="129.88999999999999"/>
    <x v="2"/>
    <x v="5"/>
  </r>
  <r>
    <s v="FLUJO"/>
    <n v="20610390057"/>
    <s v="DYET ARQUITECTURA INGENIERIA Y CONSTRUCCION S.A.C."/>
    <m/>
    <d v="2025-11-13T00:00:00"/>
    <n v="367.84"/>
    <x v="2"/>
    <x v="5"/>
  </r>
  <r>
    <s v="FLUJO"/>
    <n v="20610390057"/>
    <s v="DYET ARQUITECTURA INGENIERIA Y CONSTRUCCION S.A.C."/>
    <m/>
    <d v="2025-11-13T00:00:00"/>
    <n v="406.03000000000003"/>
    <x v="2"/>
    <x v="5"/>
  </r>
  <r>
    <s v="FLUJO"/>
    <n v="20610900730"/>
    <s v="AREMIR SERVICIOS GENERALES SAC"/>
    <m/>
    <d v="2025-11-13T00:00:00"/>
    <n v="185.41"/>
    <x v="2"/>
    <x v="5"/>
  </r>
  <r>
    <s v="FLUJO"/>
    <n v="20612215376"/>
    <s v="DULCE VICTORIA CAFE BAR SAC"/>
    <m/>
    <d v="2025-11-13T00:00:00"/>
    <n v="259.79000000000002"/>
    <x v="2"/>
    <x v="5"/>
  </r>
  <r>
    <s v="FLUJO"/>
    <n v="20614142627"/>
    <s v="INMOBILIARIA CAVANA S.A.C."/>
    <m/>
    <d v="2025-11-13T00:00:00"/>
    <n v="402.33000000000004"/>
    <x v="2"/>
    <x v="5"/>
  </r>
  <r>
    <s v="FLUJO"/>
    <n v="10321087952"/>
    <s v="ARGUEDAS VIZCARRA RENE LUIS"/>
    <m/>
    <d v="2025-11-13T00:00:00"/>
    <n v="109.32000000000001"/>
    <x v="2"/>
    <x v="5"/>
  </r>
  <r>
    <s v="FLUJO"/>
    <n v="20411090257"/>
    <s v="JR ESTUDIO CONTABLE SRL"/>
    <m/>
    <d v="2025-11-13T00:00:00"/>
    <n v="131.18"/>
    <x v="2"/>
    <x v="5"/>
  </r>
  <r>
    <s v="FLUJO"/>
    <n v="20494347742"/>
    <s v="Transportes Jaimito EIRL"/>
    <m/>
    <d v="2025-11-13T00:00:00"/>
    <n v="174.13"/>
    <x v="2"/>
    <x v="5"/>
  </r>
  <r>
    <s v="FLUJO"/>
    <n v="20502446364"/>
    <s v="EDEN PHARMACEUTICAL SAC"/>
    <m/>
    <d v="2025-11-13T00:00:00"/>
    <n v="267"/>
    <x v="2"/>
    <x v="5"/>
  </r>
  <r>
    <s v="FLUJO"/>
    <n v="20541245627"/>
    <s v="SISTEMAS INTEGRALES HR SAC"/>
    <m/>
    <d v="2025-11-13T00:00:00"/>
    <n v="131.18"/>
    <x v="2"/>
    <x v="5"/>
  </r>
  <r>
    <s v="FLUJO"/>
    <n v="20549017470"/>
    <s v="S Y V TRANSPORTES Y SERVICIOS GENERALES SAC"/>
    <m/>
    <d v="2025-11-13T00:00:00"/>
    <n v="232.17999999999998"/>
    <x v="2"/>
    <x v="5"/>
  </r>
  <r>
    <s v="FLUJO"/>
    <n v="20558622068"/>
    <s v="hv electric services sac"/>
    <m/>
    <d v="2025-11-13T00:00:00"/>
    <n v="699.54"/>
    <x v="2"/>
    <x v="5"/>
  </r>
  <r>
    <s v="FLUJO"/>
    <n v="20601363691"/>
    <s v="CASAVID S.A.C."/>
    <m/>
    <d v="2025-11-13T00:00:00"/>
    <n v="144.30000000000001"/>
    <x v="2"/>
    <x v="5"/>
  </r>
  <r>
    <s v="FLUJO"/>
    <n v="20601648661"/>
    <s v="FABRICACIONES OSELU EIRL"/>
    <m/>
    <d v="2025-11-13T00:00:00"/>
    <n v="131.18"/>
    <x v="2"/>
    <x v="5"/>
  </r>
  <r>
    <s v="FLUJO"/>
    <n v="20602024122"/>
    <s v="BOSQUES Y CONSTRUCCIONES INGENIEROS S.R.L."/>
    <m/>
    <d v="2025-11-13T00:00:00"/>
    <n v="173.49"/>
    <x v="2"/>
    <x v="5"/>
  </r>
  <r>
    <s v="FLUJO"/>
    <n v="20608023373"/>
    <s v="CON Y AR INGENIEROS Y CONTRATISTAS S.R.L"/>
    <m/>
    <d v="2025-11-13T00:00:00"/>
    <n v="131.18"/>
    <x v="2"/>
    <x v="5"/>
  </r>
  <r>
    <s v="FLUJO"/>
    <n v="20610157450"/>
    <s v="JDM STO DOMINGO DE GUZMAN S.A.C."/>
    <m/>
    <d v="2025-11-13T00:00:00"/>
    <n v="594.66999999999996"/>
    <x v="2"/>
    <x v="5"/>
  </r>
  <r>
    <s v="FLUJO"/>
    <n v="20610900730"/>
    <s v="AREMIR SERVICIOS GENERALES SAC"/>
    <m/>
    <d v="2025-11-13T00:00:00"/>
    <n v="187.25"/>
    <x v="2"/>
    <x v="5"/>
  </r>
  <r>
    <s v="FLUJO"/>
    <n v="20612601772"/>
    <s v="SERVICIOS KARTING S.A.C."/>
    <m/>
    <d v="2025-11-13T00:00:00"/>
    <n v="919.92000000000007"/>
    <x v="2"/>
    <x v="5"/>
  </r>
  <r>
    <s v="FLUJO"/>
    <n v="20613318802"/>
    <s v="ESTILOS DARUAST EIRL"/>
    <m/>
    <d v="2025-11-13T00:00:00"/>
    <n v="262.36"/>
    <x v="2"/>
    <x v="5"/>
  </r>
  <r>
    <s v="FLUJO"/>
    <n v="20614142627"/>
    <s v="INMOBILIARIA CAVANA S.A.C."/>
    <m/>
    <d v="2025-11-13T00:00:00"/>
    <n v="284.42"/>
    <x v="2"/>
    <x v="5"/>
  </r>
  <r>
    <s v="FLUJO"/>
    <n v="20411090257"/>
    <s v="JR ESTUDIO CONTABLE SRL"/>
    <m/>
    <d v="2025-11-13T00:00:00"/>
    <n v="132.21"/>
    <x v="2"/>
    <x v="5"/>
  </r>
  <r>
    <s v="FLUJO"/>
    <n v="20494347742"/>
    <s v="Transportes Jaimito EIRL"/>
    <m/>
    <d v="2025-11-13T00:00:00"/>
    <n v="175.5"/>
    <x v="2"/>
    <x v="5"/>
  </r>
  <r>
    <s v="FLUJO"/>
    <n v="20541245627"/>
    <s v="SISTEMAS INTEGRALES HR SAC"/>
    <m/>
    <d v="2025-11-13T00:00:00"/>
    <n v="132.21"/>
    <x v="2"/>
    <x v="5"/>
  </r>
  <r>
    <s v="FLUJO"/>
    <n v="20558622068"/>
    <s v="hv electric services sac"/>
    <m/>
    <d v="2025-11-13T00:00:00"/>
    <n v="646.54"/>
    <x v="2"/>
    <x v="5"/>
  </r>
  <r>
    <s v="FLUJO"/>
    <n v="20600298080"/>
    <s v="ASOCIACION CIVIL EDUCATIVA AGAPE KAI DIACONIA OLMOS"/>
    <m/>
    <d v="2025-11-13T00:00:00"/>
    <n v="292.49"/>
    <x v="2"/>
    <x v="5"/>
  </r>
  <r>
    <s v="FLUJO"/>
    <n v="20601363691"/>
    <s v="CASAVID S.A.C."/>
    <m/>
    <d v="2025-11-13T00:00:00"/>
    <n v="145.42000000000002"/>
    <x v="2"/>
    <x v="5"/>
  </r>
  <r>
    <s v="FLUJO"/>
    <n v="20608023373"/>
    <s v="CON Y AR INGENIEROS Y CONTRATISTAS S.R.L"/>
    <m/>
    <d v="2025-11-13T00:00:00"/>
    <n v="132.21"/>
    <x v="2"/>
    <x v="5"/>
  </r>
  <r>
    <s v="FLUJO"/>
    <n v="20612601772"/>
    <s v="SERVICIOS KARTING S.A.C."/>
    <m/>
    <d v="2025-11-13T00:00:00"/>
    <n v="978.17"/>
    <x v="2"/>
    <x v="5"/>
  </r>
  <r>
    <s v="FLUJO"/>
    <n v="20613318802"/>
    <s v="ESTILOS DARUAST EIRL"/>
    <m/>
    <d v="2025-11-13T00:00:00"/>
    <n v="264.41000000000003"/>
    <x v="2"/>
    <x v="5"/>
  </r>
  <r>
    <s v="FLUJO"/>
    <n v="20541245627"/>
    <s v="SISTEMAS INTEGRALES HR SAC"/>
    <m/>
    <d v="2025-11-13T00:00:00"/>
    <n v="133.49"/>
    <x v="2"/>
    <x v="5"/>
  </r>
  <r>
    <s v="FLUJO"/>
    <n v="20558622068"/>
    <s v="hv electric services sac"/>
    <m/>
    <d v="2025-11-13T00:00:00"/>
    <n v="700.07"/>
    <x v="2"/>
    <x v="5"/>
  </r>
  <r>
    <s v="FLUJO"/>
    <n v="20600298080"/>
    <s v="ASOCIACION CIVIL EDUCATIVA AGAPE KAI DIACONIA OLMOS"/>
    <m/>
    <d v="2025-11-13T00:00:00"/>
    <n v="295.34000000000003"/>
    <x v="2"/>
    <x v="5"/>
  </r>
  <r>
    <s v="FLUJO"/>
    <n v="20601363691"/>
    <s v="CASAVID S.A.C."/>
    <m/>
    <d v="2025-11-13T00:00:00"/>
    <n v="48.949999999999996"/>
    <x v="2"/>
    <x v="5"/>
  </r>
  <r>
    <s v="FLUJO"/>
    <n v="20608023373"/>
    <s v="CON Y AR INGENIEROS Y CONTRATISTAS S.R.L"/>
    <m/>
    <d v="2025-11-13T00:00:00"/>
    <n v="133.49"/>
    <x v="2"/>
    <x v="5"/>
  </r>
  <r>
    <s v="FLUJO"/>
    <n v="20612601772"/>
    <s v="SERVICIOS KARTING S.A.C."/>
    <m/>
    <d v="2025-11-13T00:00:00"/>
    <n v="936.14"/>
    <x v="2"/>
    <x v="5"/>
  </r>
  <r>
    <s v="FLUJO"/>
    <n v="20541245627"/>
    <s v="SISTEMAS INTEGRALES HR SAC"/>
    <m/>
    <d v="2025-11-13T00:00:00"/>
    <n v="134.63999999999999"/>
    <x v="2"/>
    <x v="5"/>
  </r>
  <r>
    <s v="FLUJO"/>
    <n v="20558622068"/>
    <s v="hv electric services sac"/>
    <m/>
    <d v="2025-11-13T00:00:00"/>
    <n v="658.46"/>
    <x v="2"/>
    <x v="5"/>
  </r>
  <r>
    <s v="FLUJO"/>
    <n v="20558622068"/>
    <s v="hv electric services sac"/>
    <m/>
    <d v="2025-11-13T00:00:00"/>
    <n v="664.13"/>
    <x v="2"/>
    <x v="5"/>
  </r>
  <r>
    <s v="FLUJO"/>
    <n v="20610900730"/>
    <s v="AREMIR SERVICIOS GENERALES SAC"/>
    <m/>
    <d v="2025-11-13T00:00:00"/>
    <n v="202.88"/>
    <x v="2"/>
    <x v="5"/>
  </r>
  <r>
    <s v="FLUJO"/>
    <n v="20610900730"/>
    <s v="AREMIR SERVICIOS GENERALES SAC"/>
    <m/>
    <d v="2025-11-13T00:00:00"/>
    <n v="204.63"/>
    <x v="2"/>
    <x v="5"/>
  </r>
  <r>
    <s v="FLUJO"/>
    <n v="20610900730"/>
    <s v="AREMIR SERVICIOS GENERALES SAC"/>
    <m/>
    <d v="2025-11-13T00:00:00"/>
    <n v="206.39000000000001"/>
    <x v="2"/>
    <x v="5"/>
  </r>
  <r>
    <s v="FLUJO"/>
    <n v="20453989861"/>
    <s v="IEP NUESTRA SENORA DE LA ASUNTA SRL"/>
    <m/>
    <d v="2025-11-13T00:00:00"/>
    <n v="173.96"/>
    <x v="2"/>
    <x v="5"/>
  </r>
  <r>
    <s v="REAL TOTAL"/>
    <n v="20440395164"/>
    <s v="CAPRI'S BULLS S.R.L."/>
    <m/>
    <d v="2025-11-13T00:00:00"/>
    <n v="229.89999999999998"/>
    <x v="2"/>
    <x v="5"/>
  </r>
  <r>
    <s v="REAL TOTAL"/>
    <n v="20614385287"/>
    <s v="CONSORCIO SUPERVISOR DESARROLLO VIAL"/>
    <m/>
    <d v="2025-11-13T00:00:00"/>
    <n v="129.88999999999999"/>
    <x v="2"/>
    <x v="5"/>
  </r>
  <r>
    <s v="REAL TOTAL"/>
    <n v="20522272591"/>
    <s v="CORPORACION DE CONSTRUCCION Y TRANSPORTE MAYRA SAC"/>
    <m/>
    <d v="2025-11-13T00:00:00"/>
    <n v="258.14"/>
    <x v="2"/>
    <x v="5"/>
  </r>
  <r>
    <s v="FLUJO"/>
    <n v="10427930616"/>
    <s v="PIZANO ALIAGA JHON EDWARD"/>
    <m/>
    <d v="2025-11-14T00:00:00"/>
    <n v="129.88999999999999"/>
    <x v="2"/>
    <x v="6"/>
  </r>
  <r>
    <s v="FLUJO"/>
    <n v="20440312137"/>
    <s v="SOCIEDAD MINERA JA EL MILAGRO SA"/>
    <m/>
    <d v="2025-11-14T00:00:00"/>
    <n v="1468.8100000000002"/>
    <x v="2"/>
    <x v="6"/>
  </r>
  <r>
    <s v="FLUJO"/>
    <n v="20482489851"/>
    <s v="INVERSIONES MINERAS W Y R S.A.C."/>
    <m/>
    <d v="2025-11-14T00:00:00"/>
    <n v="888.11"/>
    <x v="2"/>
    <x v="6"/>
  </r>
  <r>
    <s v="FLUJO"/>
    <n v="20487914844"/>
    <s v="CGEL SECURITY SAC"/>
    <m/>
    <d v="2025-11-14T00:00:00"/>
    <n v="202.95000000000002"/>
    <x v="2"/>
    <x v="6"/>
  </r>
  <r>
    <s v="FLUJO"/>
    <n v="20498082913"/>
    <s v="TUBOL SA"/>
    <m/>
    <d v="2025-11-14T00:00:00"/>
    <n v="444.84"/>
    <x v="2"/>
    <x v="6"/>
  </r>
  <r>
    <s v="FLUJO"/>
    <n v="20510202946"/>
    <s v="CORPORACION ANGO SAC"/>
    <m/>
    <d v="2025-11-14T00:00:00"/>
    <n v="1305.3799999999999"/>
    <x v="2"/>
    <x v="6"/>
  </r>
  <r>
    <s v="FLUJO"/>
    <n v="20513487615"/>
    <s v="ASISTENCIA TECNICA INTERNACIONAL SAC"/>
    <m/>
    <d v="2025-11-14T00:00:00"/>
    <n v="195.42000000000002"/>
    <x v="2"/>
    <x v="6"/>
  </r>
  <r>
    <s v="FLUJO"/>
    <n v="20549119043"/>
    <s v="VITALITY SAC"/>
    <m/>
    <d v="2025-11-14T00:00:00"/>
    <n v="259.79000000000002"/>
    <x v="2"/>
    <x v="6"/>
  </r>
  <r>
    <s v="FLUJO"/>
    <n v="20557954016"/>
    <s v="PHOENIX EPC SAC"/>
    <m/>
    <d v="2025-11-14T00:00:00"/>
    <n v="229.89999999999998"/>
    <x v="2"/>
    <x v="6"/>
  </r>
  <r>
    <s v="FLUJO"/>
    <n v="20602024122"/>
    <s v="BOSQUES Y CONSTRUCCIONES INGENIEROS S.R.L."/>
    <m/>
    <d v="2025-11-14T00:00:00"/>
    <n v="53.95"/>
    <x v="2"/>
    <x v="6"/>
  </r>
  <r>
    <s v="FLUJO"/>
    <n v="20602455514"/>
    <s v="COLEGIO PARTICULAR KLARETIANO PUERTO MALDONADO EIRL"/>
    <m/>
    <d v="2025-11-14T00:00:00"/>
    <n v="259.79000000000002"/>
    <x v="2"/>
    <x v="6"/>
  </r>
  <r>
    <s v="FLUJO"/>
    <n v="20603078889"/>
    <s v="PLANTAS Y SOLUCIONES CATMET SRL"/>
    <m/>
    <d v="2025-11-14T00:00:00"/>
    <n v="129.88999999999999"/>
    <x v="2"/>
    <x v="6"/>
  </r>
  <r>
    <s v="FLUJO"/>
    <n v="20603587023"/>
    <s v="REPRESENTACIONES EL VIAJERO E.I.R.L."/>
    <m/>
    <d v="2025-11-14T00:00:00"/>
    <n v="344.85"/>
    <x v="2"/>
    <x v="6"/>
  </r>
  <r>
    <s v="FLUJO"/>
    <n v="20605965505"/>
    <s v="CIMANDESPERU S.A.C."/>
    <m/>
    <d v="2025-11-14T00:00:00"/>
    <n v="129.88999999999999"/>
    <x v="2"/>
    <x v="6"/>
  </r>
  <r>
    <s v="FLUJO"/>
    <n v="20607592927"/>
    <s v="LYL GRANE SAGITARIO S.A.C."/>
    <m/>
    <d v="2025-11-14T00:00:00"/>
    <n v="158.38"/>
    <x v="2"/>
    <x v="6"/>
  </r>
  <r>
    <s v="FLUJO"/>
    <n v="20607965740"/>
    <s v="MOXI-DENTAL GROUP S.A.C."/>
    <m/>
    <d v="2025-11-14T00:00:00"/>
    <n v="1001.34"/>
    <x v="2"/>
    <x v="6"/>
  </r>
  <r>
    <s v="FLUJO"/>
    <n v="20608310143"/>
    <s v="FLS CONAN SECURITY S.A.C."/>
    <m/>
    <d v="2025-11-14T00:00:00"/>
    <n v="406.84"/>
    <x v="2"/>
    <x v="6"/>
  </r>
  <r>
    <s v="FLUJO"/>
    <n v="20608683209"/>
    <s v="DARS SOLUTIONS E.I.R.L."/>
    <m/>
    <d v="2025-11-14T00:00:00"/>
    <n v="229.89999999999998"/>
    <x v="2"/>
    <x v="6"/>
  </r>
  <r>
    <s v="FLUJO"/>
    <n v="20609032333"/>
    <s v="BORGOÃ‘O SERVICIOS Y PRODUCCION DE ALIMENTOS S.A.C."/>
    <m/>
    <d v="2025-11-14T00:00:00"/>
    <n v="261.93"/>
    <x v="2"/>
    <x v="6"/>
  </r>
  <r>
    <s v="FLUJO"/>
    <n v="20611662492"/>
    <s v="MEAT GOURMET HP S.A.C."/>
    <m/>
    <d v="2025-11-14T00:00:00"/>
    <n v="278.07"/>
    <x v="2"/>
    <x v="6"/>
  </r>
  <r>
    <s v="FLUJO"/>
    <n v="20611665076"/>
    <s v="INDUSTRIAS GANADERAS HP S.A.C"/>
    <m/>
    <d v="2025-11-14T00:00:00"/>
    <n v="595.78"/>
    <x v="2"/>
    <x v="6"/>
  </r>
  <r>
    <s v="FLUJO"/>
    <n v="20611694394"/>
    <s v="SOLEGA ASOCIADOS S.A.C."/>
    <m/>
    <d v="2025-11-14T00:00:00"/>
    <n v="259.79000000000002"/>
    <x v="2"/>
    <x v="6"/>
  </r>
  <r>
    <s v="FLUJO"/>
    <n v="20612404454"/>
    <s v="CENTRO AGROPECUARIO PUENTE S.R.L."/>
    <m/>
    <d v="2025-11-14T00:00:00"/>
    <n v="459.79999999999995"/>
    <x v="2"/>
    <x v="6"/>
  </r>
  <r>
    <s v="FLUJO"/>
    <n v="20613176528"/>
    <s v="LA ESTAMPIDA DEL MALL S.A.C."/>
    <m/>
    <d v="2025-11-14T00:00:00"/>
    <n v="516.9"/>
    <x v="2"/>
    <x v="6"/>
  </r>
  <r>
    <s v="FLUJO"/>
    <n v="10427930616"/>
    <s v="PIZANO ALIAGA JHON EDWARD"/>
    <m/>
    <d v="2025-11-14T00:00:00"/>
    <n v="131.18"/>
    <x v="2"/>
    <x v="6"/>
  </r>
  <r>
    <s v="FLUJO"/>
    <n v="20513487615"/>
    <s v="ASISTENCIA TECNICA INTERNACIONAL SAC"/>
    <m/>
    <d v="2025-11-14T00:00:00"/>
    <n v="197.35"/>
    <x v="2"/>
    <x v="6"/>
  </r>
  <r>
    <s v="FLUJO"/>
    <n v="20519215854"/>
    <s v="TRANSPORTES E INVERSIONES SANCHEZ SAC"/>
    <m/>
    <d v="2025-11-14T00:00:00"/>
    <n v="139.31"/>
    <x v="2"/>
    <x v="6"/>
  </r>
  <r>
    <s v="FLUJO"/>
    <n v="20603078889"/>
    <s v="PLANTAS Y SOLUCIONES CATMET SRL"/>
    <m/>
    <d v="2025-11-14T00:00:00"/>
    <n v="131.18"/>
    <x v="2"/>
    <x v="6"/>
  </r>
  <r>
    <s v="FLUJO"/>
    <n v="20603122535"/>
    <s v="FANTASTIC TRADE SAC"/>
    <m/>
    <d v="2025-11-14T00:00:00"/>
    <n v="131.18"/>
    <x v="2"/>
    <x v="6"/>
  </r>
  <r>
    <s v="FLUJO"/>
    <n v="20603587023"/>
    <s v="REPRESENTACIONES EL VIAJERO E.I.R.L."/>
    <m/>
    <d v="2025-11-14T00:00:00"/>
    <n v="348.26"/>
    <x v="2"/>
    <x v="6"/>
  </r>
  <r>
    <s v="FLUJO"/>
    <n v="20605965505"/>
    <s v="CIMANDESPERU S.A.C."/>
    <m/>
    <d v="2025-11-14T00:00:00"/>
    <n v="126.78999999999999"/>
    <x v="2"/>
    <x v="6"/>
  </r>
  <r>
    <s v="FLUJO"/>
    <n v="20607592927"/>
    <s v="LYL GRANE SAGITARIO S.A.C."/>
    <m/>
    <d v="2025-11-14T00:00:00"/>
    <n v="160.38"/>
    <x v="2"/>
    <x v="6"/>
  </r>
  <r>
    <s v="FLUJO"/>
    <n v="20611659131"/>
    <s v="VIGO PERU S.A.C."/>
    <m/>
    <d v="2025-11-14T00:00:00"/>
    <n v="262.36"/>
    <x v="2"/>
    <x v="6"/>
  </r>
  <r>
    <s v="FLUJO"/>
    <n v="20611694394"/>
    <s v="SOLEGA ASOCIADOS S.A.C."/>
    <m/>
    <d v="2025-11-14T00:00:00"/>
    <n v="262.36"/>
    <x v="2"/>
    <x v="6"/>
  </r>
  <r>
    <s v="FLUJO"/>
    <n v="20612873497"/>
    <s v="TABLEROS BREÃ‘A S.A.C."/>
    <m/>
    <d v="2025-11-14T00:00:00"/>
    <n v="262.36"/>
    <x v="2"/>
    <x v="6"/>
  </r>
  <r>
    <s v="FLUJO"/>
    <n v="20482489851"/>
    <s v="INVERSIONES MINERAS W Y R S.A.C."/>
    <m/>
    <d v="2025-11-14T00:00:00"/>
    <n v="656.71"/>
    <x v="2"/>
    <x v="6"/>
  </r>
  <r>
    <s v="FLUJO"/>
    <n v="20513487615"/>
    <s v="ASISTENCIA TECNICA INTERNACIONAL SAC"/>
    <m/>
    <d v="2025-11-14T00:00:00"/>
    <n v="198.9"/>
    <x v="2"/>
    <x v="6"/>
  </r>
  <r>
    <s v="FLUJO"/>
    <n v="20603078889"/>
    <s v="PLANTAS Y SOLUCIONES CATMET SRL"/>
    <m/>
    <d v="2025-11-14T00:00:00"/>
    <n v="132.21"/>
    <x v="2"/>
    <x v="6"/>
  </r>
  <r>
    <s v="FLUJO"/>
    <n v="20603122535"/>
    <s v="FANTASTIC TRADE SAC"/>
    <m/>
    <d v="2025-11-14T00:00:00"/>
    <n v="132.21"/>
    <x v="2"/>
    <x v="6"/>
  </r>
  <r>
    <s v="FLUJO"/>
    <n v="20604136548"/>
    <s v="ALLESMARKT EMPRESA INDIVIDUAL DE RESPONSABILIDAD LIMITADA"/>
    <m/>
    <d v="2025-11-14T00:00:00"/>
    <n v="163.80000000000001"/>
    <x v="2"/>
    <x v="6"/>
  </r>
  <r>
    <s v="FLUJO"/>
    <n v="20607592927"/>
    <s v="LYL GRANE SAGITARIO S.A.C."/>
    <m/>
    <d v="2025-11-14T00:00:00"/>
    <n v="163.80000000000001"/>
    <x v="2"/>
    <x v="6"/>
  </r>
  <r>
    <s v="FLUJO"/>
    <n v="20611694394"/>
    <s v="SOLEGA ASOCIADOS S.A.C."/>
    <m/>
    <d v="2025-11-14T00:00:00"/>
    <n v="264.41000000000003"/>
    <x v="2"/>
    <x v="6"/>
  </r>
  <r>
    <s v="FLUJO"/>
    <n v="20603078889"/>
    <s v="PLANTAS Y SOLUCIONES CATMET SRL"/>
    <m/>
    <d v="2025-11-14T00:00:00"/>
    <n v="133.49"/>
    <x v="2"/>
    <x v="6"/>
  </r>
  <r>
    <s v="FLUJO"/>
    <n v="20603122535"/>
    <s v="FANTASTIC TRADE SAC"/>
    <m/>
    <d v="2025-11-14T00:00:00"/>
    <n v="133.49"/>
    <x v="2"/>
    <x v="6"/>
  </r>
  <r>
    <s v="FLUJO"/>
    <n v="20603587023"/>
    <s v="REPRESENTACIONES EL VIAJERO E.I.R.L."/>
    <m/>
    <d v="2025-11-14T00:00:00"/>
    <n v="354.4"/>
    <x v="2"/>
    <x v="6"/>
  </r>
  <r>
    <s v="FLUJO"/>
    <n v="20604136548"/>
    <s v="ALLESMARKT EMPRESA INDIVIDUAL DE RESPONSABILIDAD LIMITADA"/>
    <m/>
    <d v="2025-11-14T00:00:00"/>
    <n v="165.39000000000001"/>
    <x v="2"/>
    <x v="6"/>
  </r>
  <r>
    <s v="FLUJO"/>
    <n v="20607592927"/>
    <s v="LYL GRANE SAGITARIO S.A.C."/>
    <m/>
    <d v="2025-11-14T00:00:00"/>
    <n v="165.39000000000001"/>
    <x v="2"/>
    <x v="6"/>
  </r>
  <r>
    <s v="FLUJO"/>
    <n v="20609498880"/>
    <s v="CORPORACION LOGISTIC A Y G SAC"/>
    <m/>
    <d v="2025-11-14T00:00:00"/>
    <n v="266.98"/>
    <x v="2"/>
    <x v="6"/>
  </r>
  <r>
    <s v="FLUJO"/>
    <n v="20610769773"/>
    <s v="ACIP-ACADEMIA CIENTIFICA DEL PACIFICO S.A.C."/>
    <m/>
    <d v="2025-11-14T00:00:00"/>
    <n v="133.49"/>
    <x v="2"/>
    <x v="6"/>
  </r>
  <r>
    <s v="FLUJO"/>
    <n v="20611694394"/>
    <s v="SOLEGA ASOCIADOS S.A.C."/>
    <m/>
    <d v="2025-11-14T00:00:00"/>
    <n v="266.98"/>
    <x v="2"/>
    <x v="6"/>
  </r>
  <r>
    <s v="FLUJO"/>
    <n v="20603078889"/>
    <s v="PLANTAS Y SOLUCIONES CATMET SRL"/>
    <m/>
    <d v="2025-11-14T00:00:00"/>
    <n v="134.63999999999999"/>
    <x v="2"/>
    <x v="6"/>
  </r>
  <r>
    <s v="FLUJO"/>
    <n v="20603122535"/>
    <s v="FANTASTIC TRADE SAC"/>
    <m/>
    <d v="2025-11-14T00:00:00"/>
    <n v="134.63999999999999"/>
    <x v="2"/>
    <x v="6"/>
  </r>
  <r>
    <s v="FLUJO"/>
    <n v="20607592927"/>
    <s v="LYL GRANE SAGITARIO S.A.C."/>
    <m/>
    <d v="2025-11-14T00:00:00"/>
    <n v="256.83"/>
    <x v="2"/>
    <x v="6"/>
  </r>
  <r>
    <s v="FLUJO"/>
    <n v="20609498880"/>
    <s v="CORPORACION LOGISTIC A Y G SAC"/>
    <m/>
    <d v="2025-11-14T00:00:00"/>
    <n v="370.86"/>
    <x v="2"/>
    <x v="6"/>
  </r>
  <r>
    <s v="FLUJO"/>
    <n v="20610769773"/>
    <s v="ACIP-ACADEMIA CIENTIFICA DEL PACIFICO S.A.C."/>
    <m/>
    <d v="2025-11-14T00:00:00"/>
    <n v="134.63999999999999"/>
    <x v="2"/>
    <x v="6"/>
  </r>
  <r>
    <s v="FLUJO"/>
    <n v="20611694394"/>
    <s v="SOLEGA ASOCIADOS S.A.C."/>
    <m/>
    <d v="2025-11-14T00:00:00"/>
    <n v="269.3"/>
    <x v="2"/>
    <x v="6"/>
  </r>
  <r>
    <s v="FLUJO"/>
    <n v="10736183191"/>
    <s v="VARGAS MEDINA LUIS FERNANDO"/>
    <m/>
    <d v="2025-11-14T00:00:00"/>
    <n v="135.80000000000001"/>
    <x v="2"/>
    <x v="6"/>
  </r>
  <r>
    <s v="FLUJO"/>
    <n v="20603078889"/>
    <s v="PLANTAS Y SOLUCIONES CATMET SRL"/>
    <m/>
    <d v="2025-11-14T00:00:00"/>
    <n v="135.80000000000001"/>
    <x v="2"/>
    <x v="6"/>
  </r>
  <r>
    <s v="FLUJO"/>
    <n v="20603122535"/>
    <s v="FANTASTIC TRADE SAC"/>
    <m/>
    <d v="2025-11-14T00:00:00"/>
    <n v="135.80000000000001"/>
    <x v="2"/>
    <x v="6"/>
  </r>
  <r>
    <s v="FLUJO"/>
    <n v="20604136548"/>
    <s v="ALLESMARKT EMPRESA INDIVIDUAL DE RESPONSABILIDAD LIMITADA"/>
    <m/>
    <d v="2025-11-14T00:00:00"/>
    <n v="168.25"/>
    <x v="2"/>
    <x v="6"/>
  </r>
  <r>
    <s v="FLUJO"/>
    <n v="20607592927"/>
    <s v="LYL GRANE SAGITARIO S.A.C."/>
    <m/>
    <d v="2025-11-14T00:00:00"/>
    <n v="164.68"/>
    <x v="2"/>
    <x v="6"/>
  </r>
  <r>
    <s v="FLUJO"/>
    <n v="20609498880"/>
    <s v="CORPORACION LOGISTIC A Y G SAC"/>
    <m/>
    <d v="2025-11-14T00:00:00"/>
    <n v="407.40999999999997"/>
    <x v="2"/>
    <x v="6"/>
  </r>
  <r>
    <s v="FLUJO"/>
    <n v="20610769773"/>
    <s v="ACIP-ACADEMIA CIENTIFICA DEL PACIFICO S.A.C."/>
    <m/>
    <d v="2025-11-14T00:00:00"/>
    <n v="135.80000000000001"/>
    <x v="2"/>
    <x v="6"/>
  </r>
  <r>
    <s v="FLUJO"/>
    <n v="10736183191"/>
    <s v="VARGAS MEDINA LUIS FERNANDO"/>
    <m/>
    <d v="2025-11-14T00:00:00"/>
    <n v="136.95999999999998"/>
    <x v="2"/>
    <x v="6"/>
  </r>
  <r>
    <s v="FLUJO"/>
    <n v="20607592927"/>
    <s v="LYL GRANE SAGITARIO S.A.C."/>
    <m/>
    <d v="2025-11-14T00:00:00"/>
    <n v="242.17000000000002"/>
    <x v="2"/>
    <x v="6"/>
  </r>
  <r>
    <s v="FLUJO"/>
    <n v="20609498880"/>
    <s v="CORPORACION LOGISTIC A Y G SAC"/>
    <m/>
    <d v="2025-11-14T00:00:00"/>
    <n v="410.88"/>
    <x v="2"/>
    <x v="6"/>
  </r>
  <r>
    <s v="FLUJO"/>
    <n v="20610769773"/>
    <s v="ACIP-ACADEMIA CIENTIFICA DEL PACIFICO S.A.C."/>
    <m/>
    <d v="2025-11-14T00:00:00"/>
    <n v="136.95999999999998"/>
    <x v="2"/>
    <x v="6"/>
  </r>
  <r>
    <s v="FLUJO"/>
    <n v="20610769773"/>
    <s v="ACIP-ACADEMIA CIENTIFICA DEL PACIFICO S.A.C."/>
    <m/>
    <d v="2025-11-14T00:00:00"/>
    <n v="138.25"/>
    <x v="2"/>
    <x v="6"/>
  </r>
  <r>
    <s v="FLUJO"/>
    <n v="20610769773"/>
    <s v="ACIP-ACADEMIA CIENTIFICA DEL PACIFICO S.A.C."/>
    <m/>
    <d v="2025-11-14T00:00:00"/>
    <n v="139.26999999999998"/>
    <x v="2"/>
    <x v="6"/>
  </r>
  <r>
    <s v="PRESUNTA"/>
    <n v="20548085005"/>
    <s v="AZARPERU SAC"/>
    <m/>
    <d v="2025-11-14T00:00:00"/>
    <n v="327.82"/>
    <x v="2"/>
    <x v="6"/>
  </r>
  <r>
    <s v="PRESUNTA"/>
    <n v="20613847449"/>
    <s v="INDUSTRIAS Y SERVICIOS FORESTALES EL CEDRO EIRL"/>
    <m/>
    <d v="2025-11-14T00:00:00"/>
    <n v="150.81"/>
    <x v="2"/>
    <x v="6"/>
  </r>
  <r>
    <s v="REAL TOTAL"/>
    <n v="20532440255"/>
    <s v="CORIDIMIS S.R.L."/>
    <m/>
    <d v="2025-11-14T00:00:00"/>
    <n v="208.29999999999998"/>
    <x v="2"/>
    <x v="6"/>
  </r>
  <r>
    <s v="REAL TOTAL"/>
    <n v="20530803831"/>
    <s v="INVERSIONES Y NEGOCIACIONES TURISTICAS FYM EIRL"/>
    <m/>
    <d v="2025-11-14T00:00:00"/>
    <n v="135.53"/>
    <x v="2"/>
    <x v="6"/>
  </r>
  <r>
    <s v="REAL TOTAL"/>
    <n v="20530803831"/>
    <s v="INVERSIONES Y NEGOCIACIONES TURISTICAS FYM EIRL"/>
    <m/>
    <d v="2025-11-14T00:00:00"/>
    <n v="136.6"/>
    <x v="2"/>
    <x v="6"/>
  </r>
  <r>
    <s v="REAL TOTAL"/>
    <n v="20530803831"/>
    <s v="INVERSIONES Y NEGOCIACIONES TURISTICAS FYM EIRL"/>
    <m/>
    <d v="2025-11-14T00:00:00"/>
    <n v="137.80000000000001"/>
    <x v="2"/>
    <x v="6"/>
  </r>
  <r>
    <s v="REAL TOTAL"/>
    <n v="20530803831"/>
    <s v="INVERSIONES Y NEGOCIACIONES TURISTICAS FYM EIRL"/>
    <m/>
    <d v="2025-11-14T00:00:00"/>
    <n v="138.76"/>
    <x v="2"/>
    <x v="6"/>
  </r>
  <r>
    <s v="REAL TOTAL"/>
    <n v="20203252324"/>
    <s v="AGROPECUARIA VALLECITO SA"/>
    <m/>
    <d v="2025-11-14T00:00:00"/>
    <n v="158.56"/>
    <x v="2"/>
    <x v="6"/>
  </r>
  <r>
    <s v="REAL TOTAL"/>
    <n v="20203252324"/>
    <s v="AGROPECUARIA VALLECITO SA"/>
    <m/>
    <d v="2025-11-14T00:00:00"/>
    <n v="213.99"/>
    <x v="2"/>
    <x v="6"/>
  </r>
  <r>
    <s v="REAL TOTAL"/>
    <n v="20203252324"/>
    <s v="AGROPECUARIA VALLECITO SA"/>
    <m/>
    <d v="2025-11-14T00:00:00"/>
    <n v="509.37"/>
    <x v="2"/>
    <x v="6"/>
  </r>
  <r>
    <s v="REAL TOTAL"/>
    <n v="10070065571"/>
    <s v="MANUEL ESTUARDO MASIAS MARROU"/>
    <m/>
    <d v="2025-11-14T00:00:00"/>
    <n v="63720.08"/>
    <x v="2"/>
    <x v="6"/>
  </r>
  <r>
    <s v="REDIRECCIONAMIENTO"/>
    <n v="20477349243"/>
    <s v="FORESTALES DAXSA E.I.R.L."/>
    <m/>
    <d v="2025-11-14T00:00:00"/>
    <n v="337.42"/>
    <x v="2"/>
    <x v="6"/>
  </r>
  <r>
    <s v="REDIRECCIONAMIENTO"/>
    <n v="20477349243"/>
    <s v="FORESTALES DAXSA E.I.R.L."/>
    <m/>
    <d v="2025-11-14T00:00:00"/>
    <n v="332.80500000000001"/>
    <x v="2"/>
    <x v="6"/>
  </r>
  <r>
    <s v="REDIRECCIONAMIENTO"/>
    <n v="20477349243"/>
    <s v="FORESTALES DAXSA E.I.R.L."/>
    <m/>
    <d v="2025-11-14T00:00:00"/>
    <n v="332.80500000000001"/>
    <x v="2"/>
    <x v="6"/>
  </r>
  <r>
    <s v="REDIRECCIONAMIENTO"/>
    <n v="20477349243"/>
    <s v="FORESTALES DAXSA E.I.R.L."/>
    <m/>
    <d v="2025-11-14T00:00:00"/>
    <n v="331.26499999999999"/>
    <x v="2"/>
    <x v="6"/>
  </r>
  <r>
    <s v="REDIRECCIONAMIENTO"/>
    <n v="20477349243"/>
    <s v="FORESTALES DAXSA E.I.R.L."/>
    <m/>
    <d v="2025-11-14T00:00:00"/>
    <n v="331.26499999999999"/>
    <x v="2"/>
    <x v="6"/>
  </r>
  <r>
    <s v="REDIRECCIONAMIENTO"/>
    <n v="20477349243"/>
    <s v="FORESTALES DAXSA E.I.R.L."/>
    <m/>
    <d v="2025-11-14T00:00:00"/>
    <n v="329.73"/>
    <x v="2"/>
    <x v="6"/>
  </r>
  <r>
    <s v="REDIRECCIONAMIENTO"/>
    <n v="20477349243"/>
    <s v="FORESTALES DAXSA E.I.R.L."/>
    <m/>
    <d v="2025-11-14T00:00:00"/>
    <n v="329.73"/>
    <x v="2"/>
    <x v="6"/>
  </r>
  <r>
    <s v="REDIRECCIONAMIENTO"/>
    <n v="20477349243"/>
    <s v="FORESTALES DAXSA E.I.R.L."/>
    <m/>
    <d v="2025-11-14T00:00:00"/>
    <n v="326.27"/>
    <x v="2"/>
    <x v="6"/>
  </r>
  <r>
    <s v="REDIRECCIONAMIENTO"/>
    <n v="20477349243"/>
    <s v="FORESTALES DAXSA E.I.R.L."/>
    <m/>
    <d v="2025-11-14T00:00:00"/>
    <n v="326.27"/>
    <x v="2"/>
    <x v="6"/>
  </r>
  <r>
    <s v="REDIRECCIONAMIENTO"/>
    <n v="20477349243"/>
    <s v="FORESTALES DAXSA E.I.R.L."/>
    <m/>
    <d v="2025-11-14T00:00:00"/>
    <n v="323.20999999999998"/>
    <x v="2"/>
    <x v="6"/>
  </r>
  <r>
    <s v="REDIRECCIONAMIENTO"/>
    <n v="20477349243"/>
    <s v="FORESTALES DAXSA E.I.R.L."/>
    <m/>
    <d v="2025-11-14T00:00:00"/>
    <n v="321.685"/>
    <x v="2"/>
    <x v="6"/>
  </r>
  <r>
    <s v="REDIRECCIONAMIENTO"/>
    <n v="20477349243"/>
    <s v="FORESTALES DAXSA E.I.R.L."/>
    <m/>
    <d v="2025-11-14T00:00:00"/>
    <n v="321.685"/>
    <x v="2"/>
    <x v="6"/>
  </r>
  <r>
    <s v="REDIRECCIONAMIENTO"/>
    <n v="20477349243"/>
    <s v="FORESTALES DAXSA E.I.R.L."/>
    <m/>
    <d v="2025-11-14T00:00:00"/>
    <n v="320.28500000000003"/>
    <x v="2"/>
    <x v="6"/>
  </r>
  <r>
    <s v="REDIRECCIONAMIENTO"/>
    <n v="20477349243"/>
    <s v="FORESTALES DAXSA E.I.R.L."/>
    <m/>
    <d v="2025-11-14T00:00:00"/>
    <n v="320.28500000000003"/>
    <x v="2"/>
    <x v="6"/>
  </r>
  <r>
    <s v="REDIRECCIONAMIENTO"/>
    <n v="20477349243"/>
    <s v="FORESTALES DAXSA E.I.R.L."/>
    <m/>
    <d v="2025-11-14T00:00:00"/>
    <n v="318.625"/>
    <x v="2"/>
    <x v="6"/>
  </r>
  <r>
    <s v="REDIRECCIONAMIENTO"/>
    <n v="20477349243"/>
    <s v="FORESTALES DAXSA E.I.R.L."/>
    <m/>
    <d v="2025-11-14T00:00:00"/>
    <n v="318.625"/>
    <x v="2"/>
    <x v="6"/>
  </r>
  <r>
    <s v="REDIRECCIONAMIENTO"/>
    <n v="20477349243"/>
    <s v="FORESTALES DAXSA E.I.R.L."/>
    <m/>
    <d v="2025-11-14T00:00:00"/>
    <n v="317.10000000000002"/>
    <x v="2"/>
    <x v="6"/>
  </r>
  <r>
    <s v="REDIRECCIONAMIENTO"/>
    <n v="20477349243"/>
    <s v="FORESTALES DAXSA E.I.R.L."/>
    <m/>
    <d v="2025-11-14T00:00:00"/>
    <n v="317.10000000000002"/>
    <x v="2"/>
    <x v="6"/>
  </r>
  <r>
    <s v="REDIRECCIONAMIENTO"/>
    <n v="20477349243"/>
    <s v="FORESTALES DAXSA E.I.R.L."/>
    <m/>
    <d v="2025-11-14T00:00:00"/>
    <n v="314.04000000000002"/>
    <x v="2"/>
    <x v="6"/>
  </r>
  <r>
    <s v="REDIRECCIONAMIENTO"/>
    <n v="20477349243"/>
    <s v="FORESTALES DAXSA E.I.R.L."/>
    <m/>
    <d v="2025-11-14T00:00:00"/>
    <n v="312.38499999999999"/>
    <x v="2"/>
    <x v="6"/>
  </r>
  <r>
    <s v="REDIRECCIONAMIENTO"/>
    <n v="20477349243"/>
    <s v="FORESTALES DAXSA E.I.R.L."/>
    <m/>
    <d v="2025-11-14T00:00:00"/>
    <n v="312.38499999999999"/>
    <x v="2"/>
    <x v="6"/>
  </r>
  <r>
    <s v="REDIRECCIONAMIENTO"/>
    <n v="20477349243"/>
    <s v="FORESTALES DAXSA E.I.R.L."/>
    <m/>
    <d v="2025-11-14T00:00:00"/>
    <n v="310.98500000000001"/>
    <x v="2"/>
    <x v="6"/>
  </r>
  <r>
    <s v="REDIRECCIONAMIENTO"/>
    <n v="20477349243"/>
    <s v="FORESTALES DAXSA E.I.R.L."/>
    <m/>
    <d v="2025-11-14T00:00:00"/>
    <n v="310.98500000000001"/>
    <x v="2"/>
    <x v="6"/>
  </r>
  <r>
    <s v="REDIRECCIONAMIENTO"/>
    <n v="20477349243"/>
    <s v="FORESTALES DAXSA E.I.R.L."/>
    <m/>
    <d v="2025-11-14T00:00:00"/>
    <n v="309.32499999999999"/>
    <x v="2"/>
    <x v="6"/>
  </r>
  <r>
    <s v="REDIRECCIONAMIENTO"/>
    <n v="20477349243"/>
    <s v="FORESTALES DAXSA E.I.R.L."/>
    <m/>
    <d v="2025-11-14T00:00:00"/>
    <n v="309.32499999999999"/>
    <x v="2"/>
    <x v="6"/>
  </r>
  <r>
    <s v="REDIRECCIONAMIENTO"/>
    <n v="20477349243"/>
    <s v="FORESTALES DAXSA E.I.R.L."/>
    <m/>
    <d v="2025-11-14T00:00:00"/>
    <n v="307.8"/>
    <x v="2"/>
    <x v="6"/>
  </r>
  <r>
    <s v="REDIRECCIONAMIENTO"/>
    <n v="20477349243"/>
    <s v="FORESTALES DAXSA E.I.R.L."/>
    <m/>
    <d v="2025-11-14T00:00:00"/>
    <n v="307.8"/>
    <x v="2"/>
    <x v="6"/>
  </r>
  <r>
    <s v="REDIRECCIONAMIENTO"/>
    <n v="20508114843"/>
    <s v="CORPORACION ELIANA E.I.R.L."/>
    <m/>
    <d v="2025-11-14T00:00:00"/>
    <n v="297.64"/>
    <x v="2"/>
    <x v="6"/>
  </r>
  <r>
    <s v="REDIRECCIONAMIENTO"/>
    <n v="20508114843"/>
    <s v="CORPORACION ELIANA E.I.R.L."/>
    <m/>
    <d v="2025-11-14T00:00:00"/>
    <n v="293.43"/>
    <x v="2"/>
    <x v="6"/>
  </r>
  <r>
    <s v="REDIRECCIONAMIENTO"/>
    <n v="20508114843"/>
    <s v="CORPORACION ELIANA E.I.R.L."/>
    <m/>
    <d v="2025-11-14T00:00:00"/>
    <n v="285.98"/>
    <x v="2"/>
    <x v="6"/>
  </r>
  <r>
    <s v="REDIRECCIONAMIENTO"/>
    <n v="20508114843"/>
    <s v="CORPORACION ELIANA E.I.R.L."/>
    <m/>
    <d v="2025-11-14T00:00:00"/>
    <n v="281.92"/>
    <x v="2"/>
    <x v="6"/>
  </r>
  <r>
    <s v="FLUJO"/>
    <n v="20548414424"/>
    <s v="AAR SERVICIOS DE ALIMENTACION S.A.C."/>
    <m/>
    <d v="2025-11-15T00:00:00"/>
    <n v="631.24"/>
    <x v="2"/>
    <x v="6"/>
  </r>
  <r>
    <s v="FLUJO"/>
    <n v="20607244686"/>
    <s v="SALVADOR LOGISTICA INTEGRADA S.A.C"/>
    <m/>
    <d v="2025-11-15T00:00:00"/>
    <n v="148.32"/>
    <x v="2"/>
    <x v="6"/>
  </r>
  <r>
    <s v="FLUJO"/>
    <n v="20609655870"/>
    <s v="REFRIGERACION Y SERVICIOS GENERALES ALCASA S.A.C."/>
    <m/>
    <d v="2025-11-15T00:00:00"/>
    <n v="273.05"/>
    <x v="2"/>
    <x v="6"/>
  </r>
  <r>
    <s v="FLUJO"/>
    <n v="20610011609"/>
    <s v="CORPORATIVO ATAUCHI E.I.R.L."/>
    <m/>
    <d v="2025-11-15T00:00:00"/>
    <n v="233.32000000000002"/>
    <x v="2"/>
    <x v="6"/>
  </r>
  <r>
    <s v="FLUJO"/>
    <n v="20610920129"/>
    <s v="CAFE Y SPA SAC"/>
    <m/>
    <d v="2025-11-15T00:00:00"/>
    <n v="283.92"/>
    <x v="2"/>
    <x v="6"/>
  </r>
  <r>
    <s v="FLUJO"/>
    <n v="20612873497"/>
    <s v="TABLEROS BREÃ‘A S.A.C."/>
    <m/>
    <d v="2025-11-15T00:00:00"/>
    <n v="260.04000000000002"/>
    <x v="2"/>
    <x v="6"/>
  </r>
  <r>
    <s v="FLUJO"/>
    <n v="20607244686"/>
    <s v="SALVADOR LOGISTICA INTEGRADA S.A.C"/>
    <m/>
    <d v="2025-11-15T00:00:00"/>
    <n v="149.79"/>
    <x v="2"/>
    <x v="6"/>
  </r>
  <r>
    <s v="PRESUNTA"/>
    <n v="20600767152"/>
    <s v="FAENCAR SRL"/>
    <m/>
    <d v="2025-11-15T00:00:00"/>
    <n v="130.03"/>
    <x v="2"/>
    <x v="6"/>
  </r>
  <r>
    <s v="FLUJO"/>
    <n v="20601355214"/>
    <s v="INVERSIONES INDUSTIALES JMQ EIRL"/>
    <m/>
    <d v="2025-11-16T00:00:00"/>
    <n v="314.13"/>
    <x v="2"/>
    <x v="6"/>
  </r>
  <r>
    <s v="FLUJO"/>
    <n v="20605990194"/>
    <s v="PEXOM GAS S.A.C."/>
    <m/>
    <d v="2025-11-16T00:00:00"/>
    <n v="221.88"/>
    <x v="2"/>
    <x v="6"/>
  </r>
  <r>
    <s v="FLUJO"/>
    <n v="10023887156"/>
    <s v="SUNI HUANCA JESUS"/>
    <m/>
    <d v="2025-11-17T00:00:00"/>
    <n v="345.19000000000005"/>
    <x v="2"/>
    <x v="7"/>
  </r>
  <r>
    <s v="FLUJO"/>
    <n v="10733543511"/>
    <s v="RODRIGUEZ JUAREZ VICTOR ALEXIS"/>
    <m/>
    <d v="2025-11-17T00:00:00"/>
    <n v="130.03"/>
    <x v="2"/>
    <x v="7"/>
  </r>
  <r>
    <s v="FLUJO"/>
    <n v="20101302475"/>
    <s v="DISTRIBUIDORA COMERCIAL SAN BLAS S.R.L."/>
    <m/>
    <d v="2025-11-17T00:00:00"/>
    <n v="130.03"/>
    <x v="2"/>
    <x v="7"/>
  </r>
  <r>
    <s v="FLUJO"/>
    <n v="20376827055"/>
    <s v="AQUA FLASH FONTANEROS S.R.L"/>
    <m/>
    <d v="2025-11-17T00:00:00"/>
    <n v="897.95999999999992"/>
    <x v="2"/>
    <x v="7"/>
  </r>
  <r>
    <s v="FLUJO"/>
    <n v="20511804451"/>
    <s v="GM INGESA SAC"/>
    <m/>
    <d v="2025-11-17T00:00:00"/>
    <n v="612.59"/>
    <x v="2"/>
    <x v="7"/>
  </r>
  <r>
    <s v="FLUJO"/>
    <n v="20515104454"/>
    <s v="PERU CONCEPT SOCIEDAD ANONIMA CERRADA"/>
    <m/>
    <d v="2025-11-17T00:00:00"/>
    <n v="230.13"/>
    <x v="2"/>
    <x v="7"/>
  </r>
  <r>
    <s v="FLUJO"/>
    <n v="20517265617"/>
    <s v="MANUFACTURAS METALICAS HERJISA S.A.C"/>
    <m/>
    <d v="2025-11-17T00:00:00"/>
    <n v="251.38"/>
    <x v="2"/>
    <x v="7"/>
  </r>
  <r>
    <s v="FLUJO"/>
    <n v="20531638230"/>
    <s v="CONSTRUCTORA ROKA SAC"/>
    <m/>
    <d v="2025-11-17T00:00:00"/>
    <n v="130.03"/>
    <x v="2"/>
    <x v="7"/>
  </r>
  <r>
    <s v="FLUJO"/>
    <n v="20538512312"/>
    <s v="H &amp; Q COMERCIAL LISAGE E.I.R.L"/>
    <m/>
    <d v="2025-11-17T00:00:00"/>
    <n v="130.03"/>
    <x v="2"/>
    <x v="7"/>
  </r>
  <r>
    <s v="FLUJO"/>
    <n v="20549066250"/>
    <s v="COMERCIAL ALEX JOS E.I.R.L."/>
    <m/>
    <d v="2025-11-17T00:00:00"/>
    <n v="130.03"/>
    <x v="2"/>
    <x v="7"/>
  </r>
  <r>
    <s v="FLUJO"/>
    <n v="20600621131"/>
    <s v="S&amp;V MULTITOYS SAC"/>
    <m/>
    <d v="2025-11-17T00:00:00"/>
    <n v="230.13"/>
    <x v="2"/>
    <x v="7"/>
  </r>
  <r>
    <s v="FLUJO"/>
    <n v="20601068088"/>
    <s v="ARCONDI ARQUITECTOS E INGENIEROS SERVICIOS GENERALES EIRL"/>
    <m/>
    <d v="2025-11-17T00:00:00"/>
    <n v="326.02000000000004"/>
    <x v="2"/>
    <x v="7"/>
  </r>
  <r>
    <s v="FLUJO"/>
    <n v="20601068088"/>
    <s v="ARCONDI ARQUITECTOS E INGENIEROS SERVICIOS GENERALES EIRL"/>
    <m/>
    <d v="2025-11-17T00:00:00"/>
    <n v="602.62"/>
    <x v="2"/>
    <x v="7"/>
  </r>
  <r>
    <s v="FLUJO"/>
    <n v="20601158800"/>
    <s v="LAURELES 321 SAC"/>
    <m/>
    <d v="2025-11-17T00:00:00"/>
    <n v="759.92000000000007"/>
    <x v="2"/>
    <x v="7"/>
  </r>
  <r>
    <s v="FLUJO"/>
    <n v="20602550151"/>
    <s v="FISEND SERVICIOS GENERALES SAC"/>
    <m/>
    <d v="2025-11-17T00:00:00"/>
    <n v="130.03"/>
    <x v="2"/>
    <x v="7"/>
  </r>
  <r>
    <s v="FLUJO"/>
    <n v="20602937055"/>
    <s v="IVISA CATERING EMPRESA INDIVIDUAL DE RESPONSABILIDAD LIMITAD"/>
    <m/>
    <d v="2025-11-17T00:00:00"/>
    <n v="515.09"/>
    <x v="2"/>
    <x v="7"/>
  </r>
  <r>
    <s v="FLUJO"/>
    <n v="20602937055"/>
    <s v="IVISA CATERING EMPRESA INDIVIDUAL DE RESPONSABILIDAD LIMITAD"/>
    <m/>
    <d v="2025-11-17T00:00:00"/>
    <n v="850.44"/>
    <x v="2"/>
    <x v="7"/>
  </r>
  <r>
    <s v="FLUJO"/>
    <n v="20602937055"/>
    <s v="IVISA CATERING EMPRESA INDIVIDUAL DE RESPONSABILIDAD LIMITAD"/>
    <m/>
    <d v="2025-11-17T00:00:00"/>
    <n v="148.32"/>
    <x v="2"/>
    <x v="7"/>
  </r>
  <r>
    <s v="FLUJO"/>
    <n v="20607702714"/>
    <s v="DOS TORRES CORPORATION S.A.C."/>
    <m/>
    <d v="2025-11-17T00:00:00"/>
    <n v="470.16999999999996"/>
    <x v="2"/>
    <x v="7"/>
  </r>
  <r>
    <s v="FLUJO"/>
    <n v="20609059223"/>
    <s v="DECORACIONES IMPORT Y EXPORT DILUSADA SAC"/>
    <m/>
    <d v="2025-11-17T00:00:00"/>
    <n v="143.02000000000001"/>
    <x v="2"/>
    <x v="7"/>
  </r>
  <r>
    <s v="FLUJO"/>
    <n v="20609957302"/>
    <s v="MULTINET WORKING SAC"/>
    <m/>
    <d v="2025-11-17T00:00:00"/>
    <n v="230.13"/>
    <x v="2"/>
    <x v="7"/>
  </r>
  <r>
    <s v="FLUJO"/>
    <n v="20610065041"/>
    <s v="ADMINISTRADORA GRUPO CARMELINO S.A.C."/>
    <m/>
    <d v="2025-11-17T00:00:00"/>
    <n v="293.18"/>
    <x v="2"/>
    <x v="7"/>
  </r>
  <r>
    <s v="FLUJO"/>
    <n v="20614047446"/>
    <s v="CALDERON HERNANDEZ EQUIPAMIENTO SOCIEDAD ANONIMA CERRADA"/>
    <m/>
    <d v="2025-11-17T00:00:00"/>
    <n v="218.97"/>
    <x v="2"/>
    <x v="7"/>
  </r>
  <r>
    <s v="FLUJO"/>
    <n v="10214871284"/>
    <s v="RAMOS PALOMINO YLIANA GLADYS"/>
    <m/>
    <d v="2025-11-17T00:00:00"/>
    <n v="131.31"/>
    <x v="2"/>
    <x v="7"/>
  </r>
  <r>
    <s v="FLUJO"/>
    <n v="10733543511"/>
    <s v="RODRIGUEZ JUAREZ VICTOR ALEXIS"/>
    <m/>
    <d v="2025-11-17T00:00:00"/>
    <n v="131.31"/>
    <x v="2"/>
    <x v="7"/>
  </r>
  <r>
    <s v="FLUJO"/>
    <n v="20101302475"/>
    <s v="DISTRIBUIDORA COMERCIAL SAN BLAS S.R.L."/>
    <m/>
    <d v="2025-11-17T00:00:00"/>
    <n v="131.31"/>
    <x v="2"/>
    <x v="7"/>
  </r>
  <r>
    <s v="FLUJO"/>
    <n v="20376827055"/>
    <s v="AQUA FLASH FONTANEROS S.R.L"/>
    <m/>
    <d v="2025-11-17T00:00:00"/>
    <n v="327.11"/>
    <x v="2"/>
    <x v="7"/>
  </r>
  <r>
    <s v="FLUJO"/>
    <n v="20515104454"/>
    <s v="PERU CONCEPT SOCIEDAD ANONIMA CERRADA"/>
    <m/>
    <d v="2025-11-17T00:00:00"/>
    <n v="232.4"/>
    <x v="2"/>
    <x v="7"/>
  </r>
  <r>
    <s v="FLUJO"/>
    <n v="20516464799"/>
    <s v="S GAS S.A"/>
    <m/>
    <d v="2025-11-17T00:00:00"/>
    <n v="223.09"/>
    <x v="2"/>
    <x v="7"/>
  </r>
  <r>
    <s v="FLUJO"/>
    <n v="20531638230"/>
    <s v="CONSTRUCTORA ROKA SAC"/>
    <m/>
    <d v="2025-11-17T00:00:00"/>
    <n v="131.31"/>
    <x v="2"/>
    <x v="7"/>
  </r>
  <r>
    <s v="FLUJO"/>
    <n v="20538512312"/>
    <s v="H &amp; Q COMERCIAL LISAGE E.I.R.L"/>
    <m/>
    <d v="2025-11-17T00:00:00"/>
    <n v="131.31"/>
    <x v="2"/>
    <x v="7"/>
  </r>
  <r>
    <s v="FLUJO"/>
    <n v="20549066250"/>
    <s v="COMERCIAL ALEX JOS E.I.R.L."/>
    <m/>
    <d v="2025-11-17T00:00:00"/>
    <n v="131.31"/>
    <x v="2"/>
    <x v="7"/>
  </r>
  <r>
    <s v="FLUJO"/>
    <n v="20600510330"/>
    <s v="CORPORACION CLEANWORK EIRL"/>
    <m/>
    <d v="2025-11-17T00:00:00"/>
    <n v="131.31"/>
    <x v="2"/>
    <x v="7"/>
  </r>
  <r>
    <s v="FLUJO"/>
    <n v="20602550151"/>
    <s v="FISEND SERVICIOS GENERALES SAC"/>
    <m/>
    <d v="2025-11-17T00:00:00"/>
    <n v="131.31"/>
    <x v="2"/>
    <x v="7"/>
  </r>
  <r>
    <s v="FLUJO"/>
    <n v="20602937055"/>
    <s v="IVISA CATERING EMPRESA INDIVIDUAL DE RESPONSABILIDAD LIMITAD"/>
    <m/>
    <d v="2025-11-17T00:00:00"/>
    <n v="149.79"/>
    <x v="2"/>
    <x v="7"/>
  </r>
  <r>
    <s v="FLUJO"/>
    <n v="20609059223"/>
    <s v="DECORACIONES IMPORT Y EXPORT DILUSADA SAC"/>
    <m/>
    <d v="2025-11-17T00:00:00"/>
    <n v="144.43"/>
    <x v="2"/>
    <x v="7"/>
  </r>
  <r>
    <s v="FLUJO"/>
    <n v="20609957302"/>
    <s v="MULTINET WORKING SAC"/>
    <m/>
    <d v="2025-11-17T00:00:00"/>
    <n v="232.4"/>
    <x v="2"/>
    <x v="7"/>
  </r>
  <r>
    <s v="FLUJO"/>
    <n v="20614047446"/>
    <s v="CALDERON HERNANDEZ EQUIPAMIENTO SOCIEDAD ANONIMA CERRADA"/>
    <m/>
    <d v="2025-11-17T00:00:00"/>
    <n v="197.54000000000002"/>
    <x v="2"/>
    <x v="7"/>
  </r>
  <r>
    <s v="FLUJO"/>
    <n v="20101302475"/>
    <s v="DISTRIBUIDORA COMERCIAL SAN BLAS S.R.L."/>
    <m/>
    <d v="2025-11-17T00:00:00"/>
    <n v="132.33000000000001"/>
    <x v="2"/>
    <x v="7"/>
  </r>
  <r>
    <s v="FLUJO"/>
    <n v="20549066250"/>
    <s v="COMERCIAL ALEX JOS E.I.R.L."/>
    <m/>
    <d v="2025-11-17T00:00:00"/>
    <n v="132.33000000000001"/>
    <x v="2"/>
    <x v="7"/>
  </r>
  <r>
    <s v="FLUJO"/>
    <n v="20602550151"/>
    <s v="FISEND SERVICIOS GENERALES SAC"/>
    <m/>
    <d v="2025-11-17T00:00:00"/>
    <n v="132.33000000000001"/>
    <x v="2"/>
    <x v="7"/>
  </r>
  <r>
    <s v="FLUJO"/>
    <n v="20602550151"/>
    <s v="FISEND SERVICIOS GENERALES SAC"/>
    <m/>
    <d v="2025-11-17T00:00:00"/>
    <n v="133.62"/>
    <x v="2"/>
    <x v="7"/>
  </r>
  <r>
    <s v="FLUJO"/>
    <n v="20512679669"/>
    <s v="AGUAS LATINAS PERU S.A.C."/>
    <m/>
    <d v="2025-11-17T00:00:00"/>
    <n v="274.57"/>
    <x v="2"/>
    <x v="7"/>
  </r>
  <r>
    <s v="FLUJO"/>
    <n v="20602550151"/>
    <s v="FISEND SERVICIOS GENERALES SAC"/>
    <m/>
    <d v="2025-11-17T00:00:00"/>
    <n v="134.78"/>
    <x v="2"/>
    <x v="7"/>
  </r>
  <r>
    <s v="FLUJO"/>
    <n v="20493707508"/>
    <s v="BUSINESS RENTS &amp; SERVICES E.I.R.L."/>
    <m/>
    <d v="2025-11-17T00:00:00"/>
    <n v="149.53"/>
    <x v="2"/>
    <x v="7"/>
  </r>
  <r>
    <s v="FLUJO"/>
    <n v="20512679669"/>
    <s v="AGUAS LATINAS PERU S.A.C."/>
    <m/>
    <d v="2025-11-17T00:00:00"/>
    <n v="278.93"/>
    <x v="2"/>
    <x v="7"/>
  </r>
  <r>
    <s v="FLUJO"/>
    <n v="20493707508"/>
    <s v="BUSINESS RENTS &amp; SERVICES E.I.R.L."/>
    <m/>
    <d v="2025-11-17T00:00:00"/>
    <n v="150.80000000000001"/>
    <x v="2"/>
    <x v="7"/>
  </r>
  <r>
    <s v="FLUJO"/>
    <n v="20512679669"/>
    <s v="AGUAS LATINAS PERU S.A.C."/>
    <m/>
    <d v="2025-11-17T00:00:00"/>
    <n v="309.20999999999998"/>
    <x v="2"/>
    <x v="7"/>
  </r>
  <r>
    <s v="FLUJO"/>
    <n v="20536211552"/>
    <s v="I. E. P Â PORTAL DE BELEN S.A.C"/>
    <m/>
    <d v="2025-11-17T00:00:00"/>
    <n v="270.54000000000002"/>
    <x v="2"/>
    <x v="7"/>
  </r>
  <r>
    <s v="FLUJO"/>
    <n v="20512679669"/>
    <s v="AGUAS LATINAS PERU S.A.C."/>
    <m/>
    <d v="2025-11-17T00:00:00"/>
    <n v="257.08000000000004"/>
    <x v="2"/>
    <x v="7"/>
  </r>
  <r>
    <s v="PRESUNTA"/>
    <n v="20505174896"/>
    <s v="MINERA IRL S.A."/>
    <m/>
    <d v="2025-11-17T00:00:00"/>
    <n v="15355.29"/>
    <x v="2"/>
    <x v="7"/>
  </r>
  <r>
    <s v="PRESUNTA"/>
    <n v="20613405322"/>
    <s v="ANA KAREN NEGOCIOS Y REPRESENTACIONES S.A.C."/>
    <m/>
    <d v="2025-11-17T00:00:00"/>
    <n v="130.03"/>
    <x v="2"/>
    <x v="7"/>
  </r>
  <r>
    <s v="REAL TOTAL"/>
    <n v="20601613256"/>
    <s v="CAMARA INTERNACIONAL DE GASTRONOMIA"/>
    <m/>
    <d v="2025-11-17T00:00:00"/>
    <n v="148.32"/>
    <x v="2"/>
    <x v="7"/>
  </r>
  <r>
    <s v="FLUJO"/>
    <n v="10404047103"/>
    <s v="VILA ESQUIVEL DOLLY CARMELA"/>
    <m/>
    <d v="2025-11-18T00:00:00"/>
    <n v="230.35999999999999"/>
    <x v="2"/>
    <x v="8"/>
  </r>
  <r>
    <s v="FLUJO"/>
    <n v="10416339339"/>
    <s v="CARLA MARGARITA ROMERO BUSTILLOS"/>
    <m/>
    <d v="2025-11-18T00:00:00"/>
    <n v="130.15"/>
    <x v="2"/>
    <x v="8"/>
  </r>
  <r>
    <s v="FLUJO"/>
    <n v="10416339339"/>
    <s v="CARLA MARGARITA ROMERO BUSTILLOS"/>
    <m/>
    <d v="2025-11-18T00:00:00"/>
    <n v="130.15"/>
    <x v="2"/>
    <x v="8"/>
  </r>
  <r>
    <s v="FLUJO"/>
    <n v="20134994038"/>
    <s v="PERUVIAN SAFARIS SA"/>
    <m/>
    <d v="2025-11-18T00:00:00"/>
    <n v="506.78000000000003"/>
    <x v="2"/>
    <x v="8"/>
  </r>
  <r>
    <s v="FLUJO"/>
    <n v="20176943247"/>
    <s v="EMP DE TRANSP TRUJILLO EXPRESS SRLTDA"/>
    <m/>
    <d v="2025-11-18T00:00:00"/>
    <n v="733.68999999999994"/>
    <x v="2"/>
    <x v="8"/>
  </r>
  <r>
    <s v="FLUJO"/>
    <n v="20527420726"/>
    <s v="DANIEL PACHECO SILVA EIRL"/>
    <m/>
    <d v="2025-11-18T00:00:00"/>
    <n v="273.31"/>
    <x v="2"/>
    <x v="8"/>
  </r>
  <r>
    <s v="FLUJO"/>
    <n v="20539511123"/>
    <s v="TRANLAZ E.I.R.L"/>
    <m/>
    <d v="2025-11-18T00:00:00"/>
    <n v="130.15"/>
    <x v="2"/>
    <x v="8"/>
  </r>
  <r>
    <s v="FLUJO"/>
    <n v="20551506054"/>
    <s v="LAMIMUNDO E.I.R.L."/>
    <m/>
    <d v="2025-11-18T00:00:00"/>
    <n v="448.47"/>
    <x v="2"/>
    <x v="8"/>
  </r>
  <r>
    <s v="FLUJO"/>
    <n v="20553474257"/>
    <s v="ALTERNATIVA AZUL S.A.C"/>
    <m/>
    <d v="2025-11-18T00:00:00"/>
    <n v="340.37"/>
    <x v="2"/>
    <x v="8"/>
  </r>
  <r>
    <s v="FLUJO"/>
    <n v="20557419994"/>
    <s v="Junta de Propietarios Av Javier Prado Oeste 1740 1748 1756"/>
    <m/>
    <d v="2025-11-18T00:00:00"/>
    <n v="383.14000000000004"/>
    <x v="2"/>
    <x v="8"/>
  </r>
  <r>
    <s v="FLUJO"/>
    <n v="20600670230"/>
    <s v="SUMAC CATERING EIRL"/>
    <m/>
    <d v="2025-11-18T00:00:00"/>
    <n v="207.67"/>
    <x v="2"/>
    <x v="8"/>
  </r>
  <r>
    <s v="FLUJO"/>
    <n v="20601703387"/>
    <s v="PERUVIAN WISDOM E.I.R.L."/>
    <m/>
    <d v="2025-11-18T00:00:00"/>
    <n v="130.15"/>
    <x v="2"/>
    <x v="8"/>
  </r>
  <r>
    <s v="FLUJO"/>
    <n v="20602633901"/>
    <s v="Millennials Investments SAC"/>
    <m/>
    <d v="2025-11-18T00:00:00"/>
    <n v="287.95"/>
    <x v="2"/>
    <x v="8"/>
  </r>
  <r>
    <s v="FLUJO"/>
    <n v="20603308361"/>
    <s v="MARKETING ROOTS EIRL"/>
    <m/>
    <d v="2025-11-18T00:00:00"/>
    <n v="1439.73"/>
    <x v="2"/>
    <x v="8"/>
  </r>
  <r>
    <s v="FLUJO"/>
    <n v="20605358129"/>
    <s v="CLINICA SOLIDARIA SANTA ANITA S.A.C"/>
    <m/>
    <d v="2025-11-18T00:00:00"/>
    <n v="706.04"/>
    <x v="2"/>
    <x v="8"/>
  </r>
  <r>
    <s v="FLUJO"/>
    <n v="20606379588"/>
    <s v="DEL MAR SUREÃ‘O S.A.C."/>
    <m/>
    <d v="2025-11-18T00:00:00"/>
    <n v="293.45999999999998"/>
    <x v="2"/>
    <x v="8"/>
  </r>
  <r>
    <s v="FLUJO"/>
    <n v="20606613009"/>
    <s v="RAN LOGISTICS S.A.C."/>
    <m/>
    <d v="2025-11-18T00:00:00"/>
    <n v="287.95"/>
    <x v="2"/>
    <x v="8"/>
  </r>
  <r>
    <s v="FLUJO"/>
    <n v="20608051938"/>
    <s v="HIDALGO DENTAL CARE S.A.C."/>
    <m/>
    <d v="2025-11-18T00:00:00"/>
    <n v="1039.6300000000001"/>
    <x v="2"/>
    <x v="8"/>
  </r>
  <r>
    <s v="FLUJO"/>
    <n v="20609109531"/>
    <s v="CUATRO ESTACIONES S.A"/>
    <m/>
    <d v="2025-11-18T00:00:00"/>
    <n v="405.31000000000006"/>
    <x v="2"/>
    <x v="8"/>
  </r>
  <r>
    <s v="FLUJO"/>
    <n v="20611673583"/>
    <s v="VICMARK EXPRESS E.I.R.L."/>
    <m/>
    <d v="2025-11-18T00:00:00"/>
    <n v="130.15"/>
    <x v="2"/>
    <x v="8"/>
  </r>
  <r>
    <s v="FLUJO"/>
    <n v="20612587974"/>
    <s v="EL CLUB DEL CAMARON E.I.R.L."/>
    <m/>
    <d v="2025-11-18T00:00:00"/>
    <n v="130.15"/>
    <x v="2"/>
    <x v="8"/>
  </r>
  <r>
    <s v="FLUJO"/>
    <n v="20613388126"/>
    <s v="CONSORCIO EJECUTOR SUNEC"/>
    <m/>
    <d v="2025-11-18T00:00:00"/>
    <n v="455.7"/>
    <x v="2"/>
    <x v="8"/>
  </r>
  <r>
    <s v="FLUJO"/>
    <n v="20613454374"/>
    <s v="PULPO DEL PACIFICO E.I.R.L."/>
    <m/>
    <d v="2025-11-18T00:00:00"/>
    <n v="130.15"/>
    <x v="2"/>
    <x v="8"/>
  </r>
  <r>
    <s v="FLUJO"/>
    <n v="20613788141"/>
    <s v="AUTOFIX MOTORS S.A.C."/>
    <m/>
    <d v="2025-11-18T00:00:00"/>
    <n v="264.91000000000003"/>
    <x v="2"/>
    <x v="8"/>
  </r>
  <r>
    <s v="FLUJO"/>
    <n v="10277471332"/>
    <s v="AREVALO CORONADO HENRY"/>
    <m/>
    <d v="2025-11-18T00:00:00"/>
    <n v="262.61"/>
    <x v="2"/>
    <x v="8"/>
  </r>
  <r>
    <s v="FLUJO"/>
    <n v="20504497691"/>
    <s v="NV Y CV S.A.C."/>
    <m/>
    <d v="2025-11-18T00:00:00"/>
    <n v="131.31"/>
    <x v="2"/>
    <x v="8"/>
  </r>
  <r>
    <s v="FLUJO"/>
    <n v="20539511123"/>
    <s v="TRANLAZ E.I.R.L"/>
    <m/>
    <d v="2025-11-18T00:00:00"/>
    <n v="131.31"/>
    <x v="2"/>
    <x v="8"/>
  </r>
  <r>
    <s v="FLUJO"/>
    <n v="20551506054"/>
    <s v="LAMIMUNDO E.I.R.L."/>
    <m/>
    <d v="2025-11-18T00:00:00"/>
    <n v="369.29"/>
    <x v="2"/>
    <x v="8"/>
  </r>
  <r>
    <s v="FLUJO"/>
    <n v="20601703387"/>
    <s v="PERUVIAN WISDOM E.I.R.L."/>
    <m/>
    <d v="2025-11-18T00:00:00"/>
    <n v="131.31"/>
    <x v="2"/>
    <x v="8"/>
  </r>
  <r>
    <s v="FLUJO"/>
    <n v="20605056777"/>
    <s v="CONSTRUCCION MANTENIMIENTO DE TELECOMUNICACIONES S.A.C. - CO"/>
    <m/>
    <d v="2025-11-18T00:00:00"/>
    <n v="195.22"/>
    <x v="2"/>
    <x v="8"/>
  </r>
  <r>
    <s v="FLUJO"/>
    <n v="20606613009"/>
    <s v="RAN LOGISTICS S.A.C."/>
    <m/>
    <d v="2025-11-18T00:00:00"/>
    <n v="290.5"/>
    <x v="2"/>
    <x v="8"/>
  </r>
  <r>
    <s v="FLUJO"/>
    <n v="20608051938"/>
    <s v="HIDALGO DENTAL CARE S.A.C."/>
    <m/>
    <d v="2025-11-18T00:00:00"/>
    <n v="1048.8699999999999"/>
    <x v="2"/>
    <x v="8"/>
  </r>
  <r>
    <s v="FLUJO"/>
    <n v="20611673583"/>
    <s v="VICMARK EXPRESS E.I.R.L."/>
    <m/>
    <d v="2025-11-18T00:00:00"/>
    <n v="131.31"/>
    <x v="2"/>
    <x v="8"/>
  </r>
  <r>
    <s v="FLUJO"/>
    <n v="20612587974"/>
    <s v="EL CLUB DEL CAMARON E.I.R.L."/>
    <m/>
    <d v="2025-11-18T00:00:00"/>
    <n v="131.31"/>
    <x v="2"/>
    <x v="8"/>
  </r>
  <r>
    <s v="FLUJO"/>
    <n v="20613388126"/>
    <s v="CONSORCIO EJECUTOR SUNEC"/>
    <m/>
    <d v="2025-11-18T00:00:00"/>
    <n v="582.70000000000005"/>
    <x v="2"/>
    <x v="8"/>
  </r>
  <r>
    <s v="FLUJO"/>
    <n v="20613454374"/>
    <s v="PULPO DEL PACIFICO E.I.R.L."/>
    <m/>
    <d v="2025-11-18T00:00:00"/>
    <n v="131.31"/>
    <x v="2"/>
    <x v="8"/>
  </r>
  <r>
    <s v="FLUJO"/>
    <n v="20613788141"/>
    <s v="AUTOFIX MOTORS S.A.C."/>
    <m/>
    <d v="2025-11-18T00:00:00"/>
    <n v="267.26"/>
    <x v="2"/>
    <x v="8"/>
  </r>
  <r>
    <s v="FLUJO"/>
    <n v="20504497691"/>
    <s v="NV Y CV S.A.C."/>
    <m/>
    <d v="2025-11-18T00:00:00"/>
    <n v="132.46"/>
    <x v="2"/>
    <x v="8"/>
  </r>
  <r>
    <s v="FLUJO"/>
    <n v="20551506054"/>
    <s v="LAMIMUNDO E.I.R.L."/>
    <m/>
    <d v="2025-11-18T00:00:00"/>
    <n v="19.540000000000003"/>
    <x v="2"/>
    <x v="8"/>
  </r>
  <r>
    <s v="FLUJO"/>
    <n v="20601703387"/>
    <s v="PERUVIAN WISDOM E.I.R.L."/>
    <m/>
    <d v="2025-11-18T00:00:00"/>
    <n v="132.46"/>
    <x v="2"/>
    <x v="8"/>
  </r>
  <r>
    <s v="FLUJO"/>
    <n v="20603587023"/>
    <s v="REPRESENTACIONES EL VIAJERO E.I.R.L."/>
    <m/>
    <d v="2025-11-18T00:00:00"/>
    <n v="351.67"/>
    <x v="2"/>
    <x v="8"/>
  </r>
  <r>
    <s v="FLUJO"/>
    <n v="20606613009"/>
    <s v="RAN LOGISTICS S.A.C."/>
    <m/>
    <d v="2025-11-18T00:00:00"/>
    <n v="293.06"/>
    <x v="2"/>
    <x v="8"/>
  </r>
  <r>
    <s v="FLUJO"/>
    <n v="20611673583"/>
    <s v="VICMARK EXPRESS E.I.R.L."/>
    <m/>
    <d v="2025-11-18T00:00:00"/>
    <n v="132.46"/>
    <x v="2"/>
    <x v="8"/>
  </r>
  <r>
    <s v="FLUJO"/>
    <n v="20612587974"/>
    <s v="EL CLUB DEL CAMARON E.I.R.L."/>
    <m/>
    <d v="2025-11-18T00:00:00"/>
    <n v="132.46"/>
    <x v="2"/>
    <x v="8"/>
  </r>
  <r>
    <s v="FLUJO"/>
    <n v="20606613009"/>
    <s v="RAN LOGISTICS S.A.C."/>
    <m/>
    <d v="2025-11-18T00:00:00"/>
    <n v="295.62"/>
    <x v="2"/>
    <x v="8"/>
  </r>
  <r>
    <s v="FLUJO"/>
    <n v="20612587974"/>
    <s v="EL CLUB DEL CAMARON E.I.R.L."/>
    <m/>
    <d v="2025-11-18T00:00:00"/>
    <n v="133.62"/>
    <x v="2"/>
    <x v="8"/>
  </r>
  <r>
    <s v="FLUJO"/>
    <n v="20603587023"/>
    <s v="REPRESENTACIONES EL VIAJERO E.I.R.L."/>
    <m/>
    <d v="2025-11-18T00:00:00"/>
    <n v="358.15999999999997"/>
    <x v="2"/>
    <x v="8"/>
  </r>
  <r>
    <s v="FLUJO"/>
    <n v="20612587974"/>
    <s v="EL CLUB DEL CAMARON E.I.R.L."/>
    <m/>
    <d v="2025-11-18T00:00:00"/>
    <n v="134.9"/>
    <x v="2"/>
    <x v="8"/>
  </r>
  <r>
    <s v="FLUJO"/>
    <n v="20543548864"/>
    <s v="TE ESCUCHO CENTRO TERAPEUTICO S.A.C."/>
    <m/>
    <d v="2025-11-18T00:00:00"/>
    <n v="149.53"/>
    <x v="2"/>
    <x v="8"/>
  </r>
  <r>
    <s v="FLUJO"/>
    <n v="20612587974"/>
    <s v="EL CLUB DEL CAMARON E.I.R.L."/>
    <m/>
    <d v="2025-11-18T00:00:00"/>
    <n v="135.93"/>
    <x v="2"/>
    <x v="8"/>
  </r>
  <r>
    <s v="FLUJO"/>
    <n v="20610618457"/>
    <s v="GAEL SPORT SAC"/>
    <m/>
    <d v="2025-11-18T00:00:00"/>
    <n v="234.26"/>
    <x v="2"/>
    <x v="8"/>
  </r>
  <r>
    <s v="FLUJO"/>
    <n v="20610618457"/>
    <s v="GAEL SPORT SAC"/>
    <m/>
    <d v="2025-11-18T00:00:00"/>
    <n v="236"/>
    <x v="2"/>
    <x v="8"/>
  </r>
  <r>
    <s v="FLUJO"/>
    <n v="20611519223"/>
    <s v="QORI IMPORT EXPORT SAC"/>
    <m/>
    <d v="2025-11-18T00:00:00"/>
    <n v="287.95"/>
    <x v="2"/>
    <x v="8"/>
  </r>
  <r>
    <s v="FLUJO"/>
    <n v="20550987199"/>
    <s v="GLM SERV. TERMO - ELECTROFUSION HDPE S.A.C."/>
    <m/>
    <d v="2025-11-18T00:00:00"/>
    <n v="39.69"/>
    <x v="2"/>
    <x v="8"/>
  </r>
  <r>
    <s v="PRESUNTA"/>
    <n v="20526358024"/>
    <s v="JOCTA CONSTRUCTORES EIRL"/>
    <m/>
    <d v="2025-11-18T00:00:00"/>
    <n v="386.53"/>
    <x v="2"/>
    <x v="8"/>
  </r>
  <r>
    <s v="PRESUNTA"/>
    <n v="20526358024"/>
    <s v="JOCTA CONSTRUCTORES EIRL"/>
    <m/>
    <d v="2025-11-18T00:00:00"/>
    <n v="389.96000000000004"/>
    <x v="2"/>
    <x v="8"/>
  </r>
  <r>
    <s v="PRESUNTA"/>
    <n v="20182981983"/>
    <s v="municipalidad c p Villa del mar"/>
    <m/>
    <d v="2025-11-18T00:00:00"/>
    <n v="236.49"/>
    <x v="2"/>
    <x v="8"/>
  </r>
  <r>
    <s v="REAL TOTAL"/>
    <n v="20546107427"/>
    <s v="AISLAMIENTOS TERMICOS CERAMICOS SOCIEDAD ANONIMA CERRADA"/>
    <m/>
    <d v="2025-11-18T00:00:00"/>
    <n v="296.52"/>
    <x v="2"/>
    <x v="8"/>
  </r>
  <r>
    <s v="REAL TOTAL"/>
    <n v="20546107427"/>
    <s v="AISLAMIENTOS TERMICOS CERAMICOS SOCIEDAD ANONIMA CERRADA"/>
    <m/>
    <d v="2025-11-18T00:00:00"/>
    <n v="299.02"/>
    <x v="2"/>
    <x v="8"/>
  </r>
  <r>
    <s v="REAL TOTAL"/>
    <n v="20546107427"/>
    <s v="AISLAMIENTOS TERMICOS CERAMICOS SOCIEDAD ANONIMA CERRADA"/>
    <m/>
    <d v="2025-11-18T00:00:00"/>
    <n v="301.24"/>
    <x v="2"/>
    <x v="8"/>
  </r>
  <r>
    <s v="REAL TOTAL"/>
    <n v="20216839570"/>
    <s v="DEXER SRL"/>
    <m/>
    <d v="2025-11-18T00:00:00"/>
    <n v="1307.5999999999999"/>
    <x v="2"/>
    <x v="8"/>
  </r>
  <r>
    <s v="REDIRECCIONAMIENTO"/>
    <n v="20479722138"/>
    <s v="OVM SAC"/>
    <m/>
    <d v="2025-11-18T00:00:00"/>
    <n v="254.1"/>
    <x v="2"/>
    <x v="8"/>
  </r>
  <r>
    <s v="REDIRECCIONAMIENTO"/>
    <n v="20479722138"/>
    <s v="OVM SAC"/>
    <m/>
    <d v="2025-11-18T00:00:00"/>
    <n v="460.49"/>
    <x v="2"/>
    <x v="8"/>
  </r>
  <r>
    <s v="REDIRECCIONAMIENTO"/>
    <n v="20479722138"/>
    <s v="OVM SAC"/>
    <m/>
    <d v="2025-11-18T00:00:00"/>
    <n v="452.11"/>
    <x v="2"/>
    <x v="8"/>
  </r>
  <r>
    <s v="REDIRECCIONAMIENTO"/>
    <n v="20479722138"/>
    <s v="OVM SAC"/>
    <m/>
    <d v="2025-11-18T00:00:00"/>
    <n v="444.1"/>
    <x v="2"/>
    <x v="8"/>
  </r>
  <r>
    <s v="REDIRECCIONAMIENTO"/>
    <n v="20479722138"/>
    <s v="OVM SAC"/>
    <m/>
    <d v="2025-11-18T00:00:00"/>
    <n v="436.01"/>
    <x v="2"/>
    <x v="8"/>
  </r>
  <r>
    <s v="REDIRECCIONAMIENTO"/>
    <n v="20479722138"/>
    <s v="OVM SAC"/>
    <m/>
    <d v="2025-11-18T00:00:00"/>
    <n v="428.31"/>
    <x v="2"/>
    <x v="8"/>
  </r>
  <r>
    <s v="REDIRECCIONAMIENTO"/>
    <n v="20479722138"/>
    <s v="OVM SAC"/>
    <m/>
    <d v="2025-11-18T00:00:00"/>
    <n v="858.38"/>
    <x v="2"/>
    <x v="8"/>
  </r>
  <r>
    <s v="REDIRECCIONAMIENTO"/>
    <n v="20479722138"/>
    <s v="OVM SAC"/>
    <m/>
    <d v="2025-11-18T00:00:00"/>
    <n v="521.84"/>
    <x v="2"/>
    <x v="8"/>
  </r>
  <r>
    <s v="REDIRECCIONAMIENTO"/>
    <n v="20479722138"/>
    <s v="OVM SAC"/>
    <m/>
    <d v="2025-11-18T00:00:00"/>
    <n v="514.66999999999996"/>
    <x v="2"/>
    <x v="8"/>
  </r>
  <r>
    <s v="REDIRECCIONAMIENTO"/>
    <n v="20479722138"/>
    <s v="OVM SAC"/>
    <m/>
    <d v="2025-11-18T00:00:00"/>
    <n v="506.85"/>
    <x v="2"/>
    <x v="8"/>
  </r>
  <r>
    <s v="REDIRECCIONAMIENTO"/>
    <n v="20479722138"/>
    <s v="OVM SAC"/>
    <m/>
    <d v="2025-11-18T00:00:00"/>
    <n v="499.3"/>
    <x v="2"/>
    <x v="8"/>
  </r>
  <r>
    <s v="REDIRECCIONAMIENTO"/>
    <n v="20479722138"/>
    <s v="OVM SAC"/>
    <m/>
    <d v="2025-11-18T00:00:00"/>
    <n v="491.67"/>
    <x v="2"/>
    <x v="8"/>
  </r>
  <r>
    <s v="REDIRECCIONAMIENTO"/>
    <n v="20479722138"/>
    <s v="OVM SAC"/>
    <m/>
    <d v="2025-11-18T00:00:00"/>
    <n v="484.5"/>
    <x v="2"/>
    <x v="8"/>
  </r>
  <r>
    <s v="REDIRECCIONAMIENTO"/>
    <n v="20479722138"/>
    <s v="OVM SAC"/>
    <m/>
    <d v="2025-11-18T00:00:00"/>
    <n v="477.62"/>
    <x v="2"/>
    <x v="8"/>
  </r>
  <r>
    <s v="REDIRECCIONAMIENTO"/>
    <n v="20479722138"/>
    <s v="OVM SAC"/>
    <m/>
    <d v="2025-11-18T00:00:00"/>
    <n v="470.74"/>
    <x v="2"/>
    <x v="8"/>
  </r>
  <r>
    <s v="REDIRECCIONAMIENTO"/>
    <n v="20479722138"/>
    <s v="OVM SAC"/>
    <m/>
    <d v="2025-11-18T00:00:00"/>
    <n v="372.92"/>
    <x v="2"/>
    <x v="8"/>
  </r>
  <r>
    <s v="REDIRECCIONAMIENTO"/>
    <n v="20479722138"/>
    <s v="OVM SAC"/>
    <m/>
    <d v="2025-11-18T00:00:00"/>
    <n v="367.54"/>
    <x v="2"/>
    <x v="8"/>
  </r>
  <r>
    <s v="REDIRECCIONAMIENTO"/>
    <n v="20479722138"/>
    <s v="OVM SAC"/>
    <m/>
    <d v="2025-11-18T00:00:00"/>
    <n v="362.47"/>
    <x v="2"/>
    <x v="8"/>
  </r>
  <r>
    <s v="REDIRECCIONAMIENTO"/>
    <n v="20479722138"/>
    <s v="OVM SAC"/>
    <m/>
    <d v="2025-11-18T00:00:00"/>
    <n v="630.58000000000004"/>
    <x v="2"/>
    <x v="8"/>
  </r>
  <r>
    <s v="FLUJO"/>
    <n v="10277471332"/>
    <s v="AREVALO CORONADO HENRY"/>
    <m/>
    <d v="2025-11-19T00:00:00"/>
    <n v="260.3"/>
    <x v="2"/>
    <x v="9"/>
  </r>
  <r>
    <s v="FLUJO"/>
    <n v="20393465833"/>
    <s v="ASOCIACION CONGREGACION RELIGIOSA ASAMBLEA DE DIOS"/>
    <m/>
    <d v="2025-11-19T00:00:00"/>
    <n v="130.15"/>
    <x v="2"/>
    <x v="9"/>
  </r>
  <r>
    <s v="FLUJO"/>
    <n v="20526468989"/>
    <s v="Frutos Ecologicos del Peru SAC"/>
    <m/>
    <d v="2025-11-19T00:00:00"/>
    <n v="419.05"/>
    <x v="2"/>
    <x v="9"/>
  </r>
  <r>
    <s v="FLUJO"/>
    <n v="20554482211"/>
    <s v="INVERSIONES REFCH EIRL"/>
    <m/>
    <d v="2025-11-19T00:00:00"/>
    <n v="130.15"/>
    <x v="2"/>
    <x v="9"/>
  </r>
  <r>
    <s v="FLUJO"/>
    <n v="20601305276"/>
    <s v="EMPRESA CONSTRUCTORA FORCON SOCIEDAD ANONIMA CERRADA"/>
    <m/>
    <d v="2025-11-19T00:00:00"/>
    <n v="345.53"/>
    <x v="2"/>
    <x v="9"/>
  </r>
  <r>
    <s v="FLUJO"/>
    <n v="20605571396"/>
    <s v="inversiones bonzul sac"/>
    <m/>
    <d v="2025-11-19T00:00:00"/>
    <n v="143.17000000000002"/>
    <x v="2"/>
    <x v="9"/>
  </r>
  <r>
    <s v="FLUJO"/>
    <n v="20608085514"/>
    <s v="RB CONSTRUCCIONES Y ACABADOS S.A.C"/>
    <m/>
    <d v="2025-11-19T00:00:00"/>
    <n v="260.3"/>
    <x v="2"/>
    <x v="9"/>
  </r>
  <r>
    <s v="FLUJO"/>
    <n v="20609942241"/>
    <s v="ISC COMUNICATIONS S.A.C."/>
    <m/>
    <d v="2025-11-19T00:00:00"/>
    <n v="270.68"/>
    <x v="2"/>
    <x v="9"/>
  </r>
  <r>
    <s v="FLUJO"/>
    <n v="20610862943"/>
    <s v="CARES IMPORT S.A.C."/>
    <m/>
    <d v="2025-11-19T00:00:00"/>
    <n v="130.15"/>
    <x v="2"/>
    <x v="9"/>
  </r>
  <r>
    <s v="FLUJO"/>
    <n v="20611659131"/>
    <s v="VIGO PERU S.A.C."/>
    <m/>
    <d v="2025-11-19T00:00:00"/>
    <n v="291.22000000000003"/>
    <x v="2"/>
    <x v="9"/>
  </r>
  <r>
    <s v="FLUJO"/>
    <n v="10157027781"/>
    <s v="VIDAL HENRIQUEZ JOSE MARTIN"/>
    <m/>
    <d v="2025-11-19T00:00:00"/>
    <n v="131.44"/>
    <x v="2"/>
    <x v="9"/>
  </r>
  <r>
    <s v="FLUJO"/>
    <n v="20107303848"/>
    <s v="GRUPO ECONOLUX SAC"/>
    <m/>
    <d v="2025-11-19T00:00:00"/>
    <n v="792.34"/>
    <x v="2"/>
    <x v="9"/>
  </r>
  <r>
    <s v="FLUJO"/>
    <n v="20393465833"/>
    <s v="ASOCIACION CONGREGACION RELIGIOSA ASAMBLEA DE DIOS"/>
    <m/>
    <d v="2025-11-19T00:00:00"/>
    <n v="144.57999999999998"/>
    <x v="2"/>
    <x v="9"/>
  </r>
  <r>
    <s v="FLUJO"/>
    <n v="20550987199"/>
    <s v="GLM SERV. TERMO - ELECTROFUSION HDPE S.A.C."/>
    <m/>
    <d v="2025-11-19T00:00:00"/>
    <n v="371.21000000000004"/>
    <x v="2"/>
    <x v="9"/>
  </r>
  <r>
    <s v="FLUJO"/>
    <n v="20554482211"/>
    <s v="INVERSIONES REFCH EIRL"/>
    <m/>
    <d v="2025-11-19T00:00:00"/>
    <n v="131.44"/>
    <x v="2"/>
    <x v="9"/>
  </r>
  <r>
    <s v="FLUJO"/>
    <n v="20605492372"/>
    <s v="INVERSIONES Y TRANSPORTES RIGO EIRL"/>
    <m/>
    <d v="2025-11-19T00:00:00"/>
    <n v="131.44"/>
    <x v="2"/>
    <x v="9"/>
  </r>
  <r>
    <s v="FLUJO"/>
    <n v="20605571396"/>
    <s v="inversiones bonzul sac"/>
    <m/>
    <d v="2025-11-19T00:00:00"/>
    <n v="144.57999999999998"/>
    <x v="2"/>
    <x v="9"/>
  </r>
  <r>
    <s v="FLUJO"/>
    <n v="20608085514"/>
    <s v="RB CONSTRUCCIONES Y ACABADOS S.A.C"/>
    <m/>
    <d v="2025-11-19T00:00:00"/>
    <n v="262.87"/>
    <x v="2"/>
    <x v="9"/>
  </r>
  <r>
    <s v="FLUJO"/>
    <n v="20609942241"/>
    <s v="ISC COMUNICATIONS S.A.C."/>
    <m/>
    <d v="2025-11-19T00:00:00"/>
    <n v="273.35000000000002"/>
    <x v="2"/>
    <x v="9"/>
  </r>
  <r>
    <s v="FLUJO"/>
    <n v="20610862943"/>
    <s v="CARES IMPORT S.A.C."/>
    <m/>
    <d v="2025-11-19T00:00:00"/>
    <n v="131.44"/>
    <x v="2"/>
    <x v="9"/>
  </r>
  <r>
    <s v="FLUJO"/>
    <n v="20107303848"/>
    <s v="GRUPO ECONOLUX SAC"/>
    <m/>
    <d v="2025-11-19T00:00:00"/>
    <n v="798.53000000000009"/>
    <x v="2"/>
    <x v="9"/>
  </r>
  <r>
    <s v="FLUJO"/>
    <n v="20605492372"/>
    <s v="INVERSIONES Y TRANSPORTES RIGO EIRL"/>
    <m/>
    <d v="2025-11-19T00:00:00"/>
    <n v="132.46"/>
    <x v="2"/>
    <x v="9"/>
  </r>
  <r>
    <s v="FLUJO"/>
    <n v="20608085514"/>
    <s v="RB CONSTRUCCIONES Y ACABADOS S.A.C"/>
    <m/>
    <d v="2025-11-19T00:00:00"/>
    <n v="264.93"/>
    <x v="2"/>
    <x v="9"/>
  </r>
  <r>
    <s v="FLUJO"/>
    <n v="20610862943"/>
    <s v="CARES IMPORT S.A.C."/>
    <m/>
    <d v="2025-11-19T00:00:00"/>
    <n v="132.46"/>
    <x v="2"/>
    <x v="9"/>
  </r>
  <r>
    <s v="FLUJO"/>
    <n v="20605109811"/>
    <s v="DOFERT S.A.C."/>
    <m/>
    <d v="2025-11-19T00:00:00"/>
    <n v="90.13"/>
    <x v="2"/>
    <x v="9"/>
  </r>
  <r>
    <s v="FLUJO"/>
    <n v="20605492372"/>
    <s v="INVERSIONES Y TRANSPORTES RIGO EIRL"/>
    <m/>
    <d v="2025-11-19T00:00:00"/>
    <n v="133.74"/>
    <x v="2"/>
    <x v="9"/>
  </r>
  <r>
    <s v="FLUJO"/>
    <n v="20610862943"/>
    <s v="CARES IMPORT S.A.C."/>
    <m/>
    <d v="2025-11-19T00:00:00"/>
    <n v="133.74"/>
    <x v="2"/>
    <x v="9"/>
  </r>
  <r>
    <s v="FLUJO"/>
    <n v="20610862943"/>
    <s v="CARES IMPORT S.A.C."/>
    <m/>
    <d v="2025-11-19T00:00:00"/>
    <n v="134.9"/>
    <x v="2"/>
    <x v="9"/>
  </r>
  <r>
    <s v="FLUJO"/>
    <n v="20610862943"/>
    <s v="CARES IMPORT S.A.C."/>
    <m/>
    <d v="2025-11-19T00:00:00"/>
    <n v="136.06"/>
    <x v="2"/>
    <x v="9"/>
  </r>
  <r>
    <s v="FLUJO"/>
    <n v="20610862943"/>
    <s v="CARES IMPORT S.A.C."/>
    <m/>
    <d v="2025-11-19T00:00:00"/>
    <n v="137.21"/>
    <x v="2"/>
    <x v="9"/>
  </r>
  <r>
    <s v="FLUJO"/>
    <n v="20610862943"/>
    <s v="CARES IMPORT S.A.C."/>
    <m/>
    <d v="2025-11-19T00:00:00"/>
    <n v="138.37"/>
    <x v="2"/>
    <x v="9"/>
  </r>
  <r>
    <s v="FLUJO"/>
    <n v="20610862943"/>
    <s v="CARES IMPORT S.A.C."/>
    <m/>
    <d v="2025-11-19T00:00:00"/>
    <n v="139.53"/>
    <x v="2"/>
    <x v="9"/>
  </r>
  <r>
    <s v="FLUJO"/>
    <n v="10179594469"/>
    <s v="santos apolinar araujo ruiz"/>
    <m/>
    <d v="2025-11-19T00:00:00"/>
    <n v="1018.11"/>
    <x v="2"/>
    <x v="9"/>
  </r>
  <r>
    <s v="FLUJO"/>
    <n v="20603857233"/>
    <s v="SMART TRANSPORT SAC"/>
    <m/>
    <d v="2025-11-19T00:00:00"/>
    <n v="130.15"/>
    <x v="2"/>
    <x v="9"/>
  </r>
  <r>
    <s v="FLUJO"/>
    <n v="20603857233"/>
    <s v="SMART TRANSPORT SAC"/>
    <m/>
    <d v="2025-11-19T00:00:00"/>
    <n v="131.44"/>
    <x v="2"/>
    <x v="9"/>
  </r>
  <r>
    <s v="FLUJO"/>
    <n v="20603857233"/>
    <s v="SMART TRANSPORT SAC"/>
    <m/>
    <d v="2025-11-19T00:00:00"/>
    <n v="132.46"/>
    <x v="2"/>
    <x v="9"/>
  </r>
  <r>
    <s v="FLUJO"/>
    <n v="20603857233"/>
    <s v="SMART TRANSPORT SAC"/>
    <m/>
    <d v="2025-11-19T00:00:00"/>
    <n v="133.74"/>
    <x v="2"/>
    <x v="9"/>
  </r>
  <r>
    <s v="FLUJO"/>
    <n v="20603857233"/>
    <s v="SMART TRANSPORT SAC"/>
    <m/>
    <d v="2025-11-19T00:00:00"/>
    <n v="134.9"/>
    <x v="2"/>
    <x v="9"/>
  </r>
  <r>
    <s v="FLUJO"/>
    <n v="20603857233"/>
    <s v="SMART TRANSPORT SAC"/>
    <m/>
    <d v="2025-11-19T00:00:00"/>
    <n v="136.06"/>
    <x v="2"/>
    <x v="9"/>
  </r>
  <r>
    <s v="FLUJO"/>
    <n v="20603857233"/>
    <s v="SMART TRANSPORT SAC"/>
    <m/>
    <d v="2025-11-19T00:00:00"/>
    <n v="137.21"/>
    <x v="2"/>
    <x v="9"/>
  </r>
  <r>
    <s v="REAL TOTAL"/>
    <n v="20515270036"/>
    <s v="INGO CASA PERU S.A.C."/>
    <m/>
    <d v="2025-11-19T00:00:00"/>
    <n v="87.38"/>
    <x v="2"/>
    <x v="9"/>
  </r>
  <r>
    <s v="REAL TOTAL"/>
    <n v="20515270036"/>
    <s v="INGO CASA PERU S.A.C."/>
    <m/>
    <d v="2025-11-19T00:00:00"/>
    <n v="88.59"/>
    <x v="2"/>
    <x v="9"/>
  </r>
  <r>
    <s v="FLUJO"/>
    <n v="10086115072"/>
    <s v="BUTRON RIVEROS JOHNNY AUGUSTO"/>
    <m/>
    <d v="2025-11-20T00:00:00"/>
    <n v="360.51"/>
    <x v="2"/>
    <x v="10"/>
  </r>
  <r>
    <s v="FLUJO"/>
    <n v="20445226590"/>
    <s v="CLINICA SAN PEDRO SAC"/>
    <m/>
    <d v="2025-11-20T00:00:00"/>
    <n v="207.32"/>
    <x v="2"/>
    <x v="10"/>
  </r>
  <r>
    <s v="FLUJO"/>
    <n v="20455258058"/>
    <s v="MINERA AURIPERU SAC"/>
    <m/>
    <d v="2025-11-20T00:00:00"/>
    <n v="1286.99"/>
    <x v="2"/>
    <x v="10"/>
  </r>
  <r>
    <s v="FLUJO"/>
    <n v="20455258058"/>
    <s v="MINERA AURIPERU SAC"/>
    <m/>
    <d v="2025-11-20T00:00:00"/>
    <n v="47.04"/>
    <x v="2"/>
    <x v="10"/>
  </r>
  <r>
    <s v="FLUJO"/>
    <n v="20498587012"/>
    <s v="CASA MATUK SRL"/>
    <m/>
    <d v="2025-11-20T00:00:00"/>
    <n v="175.07"/>
    <x v="2"/>
    <x v="10"/>
  </r>
  <r>
    <s v="FLUJO"/>
    <n v="20514014419"/>
    <s v="VITRUBIO MUNDO DE INGENIERIA CONSULTORES Y CONTRATISTAS SAC"/>
    <m/>
    <d v="2025-11-20T00:00:00"/>
    <n v="238.78"/>
    <x v="2"/>
    <x v="10"/>
  </r>
  <r>
    <s v="FLUJO"/>
    <n v="20514014419"/>
    <s v="VITRUBIO MUNDO DE INGENIERIA CONSULTORES Y CONTRATISTAS SAC"/>
    <m/>
    <d v="2025-11-20T00:00:00"/>
    <n v="182.28"/>
    <x v="2"/>
    <x v="10"/>
  </r>
  <r>
    <s v="FLUJO"/>
    <n v="20529566680"/>
    <s v="SENOR DE HUANCA FACTORIA EIRL"/>
    <m/>
    <d v="2025-11-20T00:00:00"/>
    <n v="253.39000000000001"/>
    <x v="2"/>
    <x v="10"/>
  </r>
  <r>
    <s v="FLUJO"/>
    <n v="20566213002"/>
    <s v="TRUCK EXPERTPERU S.A.C."/>
    <m/>
    <d v="2025-11-20T00:00:00"/>
    <n v="906.34"/>
    <x v="2"/>
    <x v="10"/>
  </r>
  <r>
    <s v="FLUJO"/>
    <n v="20600705459"/>
    <s v="SUMAC APAC SAC"/>
    <m/>
    <d v="2025-11-20T00:00:00"/>
    <n v="403.46000000000004"/>
    <x v="2"/>
    <x v="10"/>
  </r>
  <r>
    <s v="FLUJO"/>
    <n v="20601439795"/>
    <s v="MATPHARMA S.A.C."/>
    <m/>
    <d v="2025-11-20T00:00:00"/>
    <n v="253.39000000000001"/>
    <x v="2"/>
    <x v="10"/>
  </r>
  <r>
    <s v="FLUJO"/>
    <n v="20601607761"/>
    <s v="SPORT SYSTEM LATAM EIRL"/>
    <m/>
    <d v="2025-11-20T00:00:00"/>
    <n v="144.74"/>
    <x v="2"/>
    <x v="10"/>
  </r>
  <r>
    <s v="FLUJO"/>
    <n v="20602561659"/>
    <s v="COPCON CONSTRUCTORES SCRL"/>
    <m/>
    <d v="2025-11-20T00:00:00"/>
    <n v="130.15"/>
    <x v="2"/>
    <x v="10"/>
  </r>
  <r>
    <s v="FLUJO"/>
    <n v="20603125097"/>
    <s v="SERVICIOS GENERALES ARTIC GROUP S.A.C."/>
    <m/>
    <d v="2025-11-20T00:00:00"/>
    <n v="143.17000000000002"/>
    <x v="2"/>
    <x v="10"/>
  </r>
  <r>
    <s v="FLUJO"/>
    <n v="20606256800"/>
    <s v="CONSTRUCCIONES Y PAVIMENTOS DEL NORTE EIRL"/>
    <m/>
    <d v="2025-11-20T00:00:00"/>
    <n v="260.3"/>
    <x v="2"/>
    <x v="10"/>
  </r>
  <r>
    <s v="FLUJO"/>
    <n v="20606493704"/>
    <s v="GRUPO CARZAVILHINO SAC"/>
    <m/>
    <d v="2025-11-20T00:00:00"/>
    <n v="258"/>
    <x v="2"/>
    <x v="10"/>
  </r>
  <r>
    <s v="FLUJO"/>
    <n v="20611345331"/>
    <s v="CONSTRUCTORA AQU PAMPA SOCIEDAD ANONIMA CERRADA"/>
    <m/>
    <d v="2025-11-20T00:00:00"/>
    <n v="393.11"/>
    <x v="2"/>
    <x v="10"/>
  </r>
  <r>
    <s v="FLUJO"/>
    <n v="10255182183"/>
    <s v="TOLENTINO ALEJANDRO PORFIRIO CECILIO"/>
    <m/>
    <d v="2025-11-20T00:00:00"/>
    <n v="515.13"/>
    <x v="2"/>
    <x v="10"/>
  </r>
  <r>
    <s v="FLUJO"/>
    <n v="10485288321"/>
    <s v="CCOLQUE SARMIENTO MARLENI"/>
    <m/>
    <d v="2025-11-20T00:00:00"/>
    <n v="168.67000000000002"/>
    <x v="2"/>
    <x v="10"/>
  </r>
  <r>
    <s v="FLUJO"/>
    <n v="20392793802"/>
    <s v="ALPE PERU CONTRATISTAS GENERALES SAC"/>
    <m/>
    <d v="2025-11-20T00:00:00"/>
    <n v="930.52"/>
    <x v="2"/>
    <x v="10"/>
  </r>
  <r>
    <s v="FLUJO"/>
    <n v="20498587012"/>
    <s v="CASA MATUK SRL"/>
    <m/>
    <d v="2025-11-20T00:00:00"/>
    <n v="176.8"/>
    <x v="2"/>
    <x v="10"/>
  </r>
  <r>
    <s v="FLUJO"/>
    <n v="20518349253"/>
    <s v="HYDROMATIC PERU SAC"/>
    <m/>
    <d v="2025-11-20T00:00:00"/>
    <n v="131.44"/>
    <x v="2"/>
    <x v="10"/>
  </r>
  <r>
    <s v="FLUJO"/>
    <n v="20601607761"/>
    <s v="SPORT SYSTEM LATAM EIRL"/>
    <m/>
    <d v="2025-11-20T00:00:00"/>
    <n v="172.07000000000002"/>
    <x v="2"/>
    <x v="10"/>
  </r>
  <r>
    <s v="FLUJO"/>
    <n v="20602561659"/>
    <s v="COPCON CONSTRUCTORES SCRL"/>
    <m/>
    <d v="2025-11-20T00:00:00"/>
    <n v="131.44"/>
    <x v="2"/>
    <x v="10"/>
  </r>
  <r>
    <s v="FLUJO"/>
    <n v="20603125097"/>
    <s v="SERVICIOS GENERALES ARTIC GROUP S.A.C."/>
    <m/>
    <d v="2025-11-20T00:00:00"/>
    <n v="144.57999999999998"/>
    <x v="2"/>
    <x v="10"/>
  </r>
  <r>
    <s v="FLUJO"/>
    <n v="20605109811"/>
    <s v="DOFERT S.A.C."/>
    <m/>
    <d v="2025-11-20T00:00:00"/>
    <n v="454.79"/>
    <x v="2"/>
    <x v="10"/>
  </r>
  <r>
    <s v="FLUJO"/>
    <n v="20606493704"/>
    <s v="GRUPO CARZAVILHINO SAC"/>
    <m/>
    <d v="2025-11-20T00:00:00"/>
    <n v="372.21000000000004"/>
    <x v="2"/>
    <x v="10"/>
  </r>
  <r>
    <s v="FLUJO"/>
    <n v="20611083239"/>
    <s v="SERVI SEGURIDAD S.A.C."/>
    <m/>
    <d v="2025-11-20T00:00:00"/>
    <n v="117.77"/>
    <x v="2"/>
    <x v="10"/>
  </r>
  <r>
    <s v="FLUJO"/>
    <n v="20611904020"/>
    <s v="MERRIS CALZADO E.I.R.L."/>
    <m/>
    <d v="2025-11-20T00:00:00"/>
    <n v="174.47"/>
    <x v="2"/>
    <x v="10"/>
  </r>
  <r>
    <s v="FLUJO"/>
    <n v="20613817264"/>
    <s v="CONSORCIO SONNE"/>
    <m/>
    <d v="2025-11-20T00:00:00"/>
    <n v="674"/>
    <x v="2"/>
    <x v="10"/>
  </r>
  <r>
    <s v="FLUJO"/>
    <n v="10255182183"/>
    <s v="TOLENTINO ALEJANDRO PORFIRIO CECILIO"/>
    <m/>
    <d v="2025-11-20T00:00:00"/>
    <n v="489.84"/>
    <x v="2"/>
    <x v="10"/>
  </r>
  <r>
    <s v="FLUJO"/>
    <n v="20392793802"/>
    <s v="ALPE PERU CONTRATISTAS GENERALES SAC"/>
    <m/>
    <d v="2025-11-20T00:00:00"/>
    <n v="703.35"/>
    <x v="2"/>
    <x v="10"/>
  </r>
  <r>
    <s v="FLUJO"/>
    <n v="20602561659"/>
    <s v="COPCON CONSTRUCTORES SCRL"/>
    <m/>
    <d v="2025-11-20T00:00:00"/>
    <n v="132.46"/>
    <x v="2"/>
    <x v="10"/>
  </r>
  <r>
    <s v="FLUJO"/>
    <n v="20603125097"/>
    <s v="SERVICIOS GENERALES ARTIC GROUP S.A.C."/>
    <m/>
    <d v="2025-11-20T00:00:00"/>
    <n v="145.71"/>
    <x v="2"/>
    <x v="10"/>
  </r>
  <r>
    <s v="FLUJO"/>
    <n v="20605109811"/>
    <s v="DOFERT S.A.C."/>
    <m/>
    <d v="2025-11-20T00:00:00"/>
    <n v="257.26"/>
    <x v="2"/>
    <x v="10"/>
  </r>
  <r>
    <s v="FLUJO"/>
    <n v="20610715690"/>
    <s v="CHISAN Y GASTELO CONSULTORES SAC"/>
    <m/>
    <d v="2025-11-20T00:00:00"/>
    <n v="132.46"/>
    <x v="2"/>
    <x v="10"/>
  </r>
  <r>
    <s v="FLUJO"/>
    <n v="20611083239"/>
    <s v="SERVI SEGURIDAD S.A.C."/>
    <m/>
    <d v="2025-11-20T00:00:00"/>
    <n v="118.69"/>
    <x v="2"/>
    <x v="10"/>
  </r>
  <r>
    <s v="FLUJO"/>
    <n v="20527353433"/>
    <s v="CLAS NUEVO CANDAMO"/>
    <m/>
    <d v="2025-11-20T00:00:00"/>
    <n v="250.10000000000002"/>
    <x v="2"/>
    <x v="10"/>
  </r>
  <r>
    <s v="FLUJO"/>
    <n v="20603125097"/>
    <s v="SERVICIOS GENERALES ARTIC GROUP S.A.C."/>
    <m/>
    <d v="2025-11-20T00:00:00"/>
    <n v="147.13"/>
    <x v="2"/>
    <x v="10"/>
  </r>
  <r>
    <s v="FLUJO"/>
    <n v="10255182183"/>
    <s v="TOLENTINO ALEJANDRO PORFIRIO CECILIO"/>
    <m/>
    <d v="2025-11-20T00:00:00"/>
    <n v="80.95"/>
    <x v="2"/>
    <x v="10"/>
  </r>
  <r>
    <s v="FLUJO"/>
    <n v="20527353433"/>
    <s v="CLAS NUEVO CANDAMO"/>
    <m/>
    <d v="2025-11-20T00:00:00"/>
    <n v="252.27"/>
    <x v="2"/>
    <x v="10"/>
  </r>
  <r>
    <s v="FLUJO"/>
    <n v="20603125097"/>
    <s v="SERVICIOS GENERALES ARTIC GROUP S.A.C."/>
    <m/>
    <d v="2025-11-20T00:00:00"/>
    <n v="148.4"/>
    <x v="2"/>
    <x v="10"/>
  </r>
  <r>
    <s v="FLUJO"/>
    <n v="20610715690"/>
    <s v="CHISAN Y GASTELO CONSULTORES SAC"/>
    <m/>
    <d v="2025-11-20T00:00:00"/>
    <n v="134.9"/>
    <x v="2"/>
    <x v="10"/>
  </r>
  <r>
    <s v="FLUJO"/>
    <n v="20527353433"/>
    <s v="CLAS NUEVO CANDAMO"/>
    <m/>
    <d v="2025-11-20T00:00:00"/>
    <n v="254.43"/>
    <x v="2"/>
    <x v="10"/>
  </r>
  <r>
    <s v="FLUJO"/>
    <n v="20610715690"/>
    <s v="CHISAN Y GASTELO CONSULTORES SAC"/>
    <m/>
    <d v="2025-11-20T00:00:00"/>
    <n v="136.06"/>
    <x v="2"/>
    <x v="10"/>
  </r>
  <r>
    <s v="FLUJO"/>
    <n v="20610715690"/>
    <s v="CHISAN Y GASTELO CONSULTORES SAC"/>
    <m/>
    <d v="2025-11-20T00:00:00"/>
    <n v="137.21"/>
    <x v="2"/>
    <x v="10"/>
  </r>
  <r>
    <s v="FLUJO"/>
    <n v="20610715690"/>
    <s v="CHISAN Y GASTELO CONSULTORES SAC"/>
    <m/>
    <d v="2025-11-20T00:00:00"/>
    <n v="138.37"/>
    <x v="2"/>
    <x v="10"/>
  </r>
  <r>
    <s v="PRESUNTA"/>
    <n v="20601830338"/>
    <s v="INGECORP SEGURIDAD E INGENIERIA E.I.R.L."/>
    <m/>
    <d v="2025-11-20T00:00:00"/>
    <n v="148.47"/>
    <x v="2"/>
    <x v="10"/>
  </r>
  <r>
    <s v="FLUJO"/>
    <n v="20487621073"/>
    <s v="HC INGENIEROS Y ARQUITECTOS ASOCIADOS SAC"/>
    <m/>
    <d v="2025-11-21T00:00:00"/>
    <n v="293.75"/>
    <x v="2"/>
    <x v="11"/>
  </r>
  <r>
    <s v="FLUJO"/>
    <n v="20550132410"/>
    <s v="A Y CONTADORES SAC"/>
    <m/>
    <d v="2025-11-21T00:00:00"/>
    <n v="703.28"/>
    <x v="2"/>
    <x v="11"/>
  </r>
  <r>
    <s v="FLUJO"/>
    <n v="20562699164"/>
    <s v="GRUPO EVC GAS EIRL"/>
    <m/>
    <d v="2025-11-21T00:00:00"/>
    <n v="230.58"/>
    <x v="2"/>
    <x v="11"/>
  </r>
  <r>
    <s v="FLUJO"/>
    <n v="20600720636"/>
    <s v="EMPRESA DE TRANSPORTES Y SERVICIOS GENERALES ABESA EIRL"/>
    <m/>
    <d v="2025-11-21T00:00:00"/>
    <n v="278.89"/>
    <x v="2"/>
    <x v="11"/>
  </r>
  <r>
    <s v="FLUJO"/>
    <n v="20602001823"/>
    <s v="golden asociados sac"/>
    <m/>
    <d v="2025-11-21T00:00:00"/>
    <n v="162.91"/>
    <x v="2"/>
    <x v="11"/>
  </r>
  <r>
    <s v="FLUJO"/>
    <n v="20602354939"/>
    <s v="VILLE BLUE E.I.R.L"/>
    <m/>
    <d v="2025-11-21T00:00:00"/>
    <n v="130.28"/>
    <x v="2"/>
    <x v="11"/>
  </r>
  <r>
    <s v="FLUJO"/>
    <n v="20602958494"/>
    <s v="STAMPA2 BLUE EIRL"/>
    <m/>
    <d v="2025-11-21T00:00:00"/>
    <n v="260.55"/>
    <x v="2"/>
    <x v="11"/>
  </r>
  <r>
    <s v="FLUJO"/>
    <n v="20603717105"/>
    <s v="CORPORACION BODY POWER SAC"/>
    <m/>
    <d v="2025-11-21T00:00:00"/>
    <n v="673.31"/>
    <x v="2"/>
    <x v="11"/>
  </r>
  <r>
    <s v="FLUJO"/>
    <n v="20604136548"/>
    <s v="ALLESMARKT EMPRESA INDIVIDUAL DE RESPONSABILIDAD LIMITADA"/>
    <m/>
    <d v="2025-11-21T00:00:00"/>
    <n v="161.41"/>
    <x v="2"/>
    <x v="11"/>
  </r>
  <r>
    <s v="FLUJO"/>
    <n v="20605360174"/>
    <s v="RH ORQUIDEAS E.I.R.L."/>
    <m/>
    <d v="2025-11-21T00:00:00"/>
    <n v="260.55"/>
    <x v="2"/>
    <x v="11"/>
  </r>
  <r>
    <s v="FLUJO"/>
    <n v="20610055096"/>
    <s v="DUST COLLECTOR INGENIERIA Y TECNOLOGIA E.I.R.L."/>
    <m/>
    <d v="2025-11-21T00:00:00"/>
    <n v="175.82"/>
    <x v="2"/>
    <x v="11"/>
  </r>
  <r>
    <s v="FLUJO"/>
    <n v="20611717424"/>
    <s v="CONSORCIO VIAL PORTACHUELO"/>
    <m/>
    <d v="2025-11-21T00:00:00"/>
    <n v="345.88"/>
    <x v="2"/>
    <x v="11"/>
  </r>
  <r>
    <s v="FLUJO"/>
    <n v="20611849274"/>
    <s v="IMPACK MEDIA SOCIEDAD ANONIMA CERRADA"/>
    <m/>
    <d v="2025-11-21T00:00:00"/>
    <n v="130.28"/>
    <x v="2"/>
    <x v="11"/>
  </r>
  <r>
    <s v="FLUJO"/>
    <n v="20612214914"/>
    <s v="INVERSIONES ACTIVA M Y M S.A.C."/>
    <m/>
    <d v="2025-11-21T00:00:00"/>
    <n v="130.28"/>
    <x v="2"/>
    <x v="11"/>
  </r>
  <r>
    <s v="FLUJO"/>
    <n v="20613033034"/>
    <s v="TRANSPORTES Y SERVICIOS 2C Y K SAC"/>
    <m/>
    <d v="2025-11-21T00:00:00"/>
    <n v="416.55"/>
    <x v="2"/>
    <x v="11"/>
  </r>
  <r>
    <s v="FLUJO"/>
    <n v="20527353433"/>
    <s v="CLAS NUEVO CANDAMO"/>
    <m/>
    <d v="2025-11-21T00:00:00"/>
    <n v="245.78"/>
    <x v="2"/>
    <x v="11"/>
  </r>
  <r>
    <s v="FLUJO"/>
    <n v="20602001823"/>
    <s v="golden asociados sac"/>
    <m/>
    <d v="2025-11-21T00:00:00"/>
    <n v="164.36"/>
    <x v="2"/>
    <x v="11"/>
  </r>
  <r>
    <s v="FLUJO"/>
    <n v="20602354939"/>
    <s v="VILLE BLUE E.I.R.L"/>
    <m/>
    <d v="2025-11-21T00:00:00"/>
    <n v="131.44"/>
    <x v="2"/>
    <x v="11"/>
  </r>
  <r>
    <s v="FLUJO"/>
    <n v="20602958494"/>
    <s v="STAMPA2 BLUE EIRL"/>
    <m/>
    <d v="2025-11-21T00:00:00"/>
    <n v="262.87"/>
    <x v="2"/>
    <x v="11"/>
  </r>
  <r>
    <s v="FLUJO"/>
    <n v="20604136548"/>
    <s v="ALLESMARKT EMPRESA INDIVIDUAL DE RESPONSABILIDAD LIMITADA"/>
    <m/>
    <d v="2025-11-21T00:00:00"/>
    <n v="162.84"/>
    <x v="2"/>
    <x v="11"/>
  </r>
  <r>
    <s v="FLUJO"/>
    <n v="20605360174"/>
    <s v="RH ORQUIDEAS E.I.R.L."/>
    <m/>
    <d v="2025-11-21T00:00:00"/>
    <n v="262.87"/>
    <x v="2"/>
    <x v="11"/>
  </r>
  <r>
    <s v="FLUJO"/>
    <n v="20610055096"/>
    <s v="DUST COLLECTOR INGENIERIA Y TECNOLOGIA E.I.R.L."/>
    <m/>
    <d v="2025-11-21T00:00:00"/>
    <n v="174.47"/>
    <x v="2"/>
    <x v="11"/>
  </r>
  <r>
    <s v="FLUJO"/>
    <n v="20611717424"/>
    <s v="CONSORCIO VIAL PORTACHUELO"/>
    <m/>
    <d v="2025-11-21T00:00:00"/>
    <n v="348.95"/>
    <x v="2"/>
    <x v="11"/>
  </r>
  <r>
    <s v="FLUJO"/>
    <n v="20611849274"/>
    <s v="IMPACK MEDIA SOCIEDAD ANONIMA CERRADA"/>
    <m/>
    <d v="2025-11-21T00:00:00"/>
    <n v="131.44"/>
    <x v="2"/>
    <x v="11"/>
  </r>
  <r>
    <s v="FLUJO"/>
    <n v="20612214914"/>
    <s v="INVERSIONES ACTIVA M Y M S.A.C."/>
    <m/>
    <d v="2025-11-21T00:00:00"/>
    <n v="131.44"/>
    <x v="2"/>
    <x v="11"/>
  </r>
  <r>
    <s v="FLUJO"/>
    <n v="20527353433"/>
    <s v="CLAS NUEVO CANDAMO"/>
    <m/>
    <d v="2025-11-21T00:00:00"/>
    <n v="247.94"/>
    <x v="2"/>
    <x v="11"/>
  </r>
  <r>
    <s v="FLUJO"/>
    <n v="20602001823"/>
    <s v="golden asociados sac"/>
    <m/>
    <d v="2025-11-21T00:00:00"/>
    <n v="165.79999999999998"/>
    <x v="2"/>
    <x v="11"/>
  </r>
  <r>
    <s v="FLUJO"/>
    <n v="20602958494"/>
    <s v="STAMPA2 BLUE EIRL"/>
    <m/>
    <d v="2025-11-21T00:00:00"/>
    <n v="265.18"/>
    <x v="2"/>
    <x v="11"/>
  </r>
  <r>
    <s v="FLUJO"/>
    <n v="20610055096"/>
    <s v="DUST COLLECTOR INGENIERIA Y TECNOLOGIA E.I.R.L."/>
    <m/>
    <d v="2025-11-21T00:00:00"/>
    <n v="176.01000000000002"/>
    <x v="2"/>
    <x v="11"/>
  </r>
  <r>
    <s v="FLUJO"/>
    <n v="20610055096"/>
    <s v="DUST COLLECTOR INGENIERIA Y TECNOLOGIA E.I.R.L."/>
    <m/>
    <d v="2025-11-21T00:00:00"/>
    <n v="177.54000000000002"/>
    <x v="2"/>
    <x v="11"/>
  </r>
  <r>
    <s v="FLUJO"/>
    <n v="20494099153"/>
    <s v="CORPORACION ROANKA SAC"/>
    <m/>
    <d v="2025-11-21T00:00:00"/>
    <n v="143.31"/>
    <x v="2"/>
    <x v="11"/>
  </r>
  <r>
    <s v="FLUJO"/>
    <n v="20604310939"/>
    <s v="TRANSPORTES &amp; SERVICIOS LOPEZ MOSQUERA E.I.R.L."/>
    <m/>
    <d v="2025-11-21T00:00:00"/>
    <n v="306.44"/>
    <x v="2"/>
    <x v="11"/>
  </r>
  <r>
    <s v="FLUJO"/>
    <n v="20610715690"/>
    <s v="CHISAN Y GASTELO CONSULTORES SAC"/>
    <m/>
    <d v="2025-11-21T00:00:00"/>
    <n v="130.28"/>
    <x v="2"/>
    <x v="11"/>
  </r>
  <r>
    <s v="FLUJO"/>
    <n v="20494099153"/>
    <s v="CORPORACION ROANKA SAC"/>
    <m/>
    <d v="2025-11-21T00:00:00"/>
    <n v="144.57999999999998"/>
    <x v="2"/>
    <x v="11"/>
  </r>
  <r>
    <s v="FLUJO"/>
    <n v="20610715690"/>
    <s v="CHISAN Y GASTELO CONSULTORES SAC"/>
    <m/>
    <d v="2025-11-21T00:00:00"/>
    <n v="131.44"/>
    <x v="2"/>
    <x v="11"/>
  </r>
  <r>
    <s v="FLUJO"/>
    <n v="20494099153"/>
    <s v="CORPORACION ROANKA SAC"/>
    <m/>
    <d v="2025-11-21T00:00:00"/>
    <n v="145.85"/>
    <x v="2"/>
    <x v="11"/>
  </r>
  <r>
    <s v="FLUJO"/>
    <n v="20550622930"/>
    <s v="CONTRATISTAS GENERALES NOOVA SAC"/>
    <m/>
    <d v="2025-11-21T00:00:00"/>
    <n v="293.35000000000002"/>
    <x v="2"/>
    <x v="11"/>
  </r>
  <r>
    <s v="FLUJO"/>
    <n v="20494099153"/>
    <s v="CORPORACION ROANKA SAC"/>
    <m/>
    <d v="2025-11-21T00:00:00"/>
    <n v="147.13"/>
    <x v="2"/>
    <x v="11"/>
  </r>
  <r>
    <s v="FLUJO"/>
    <n v="20550622930"/>
    <s v="CONTRATISTAS GENERALES NOOVA SAC"/>
    <m/>
    <d v="2025-11-21T00:00:00"/>
    <n v="295.89999999999998"/>
    <x v="2"/>
    <x v="11"/>
  </r>
  <r>
    <s v="FLUJO"/>
    <n v="20603632088"/>
    <s v="ANDESMAR G Y M S.A.C."/>
    <m/>
    <d v="2025-11-21T00:00:00"/>
    <n v="177.54000000000002"/>
    <x v="2"/>
    <x v="11"/>
  </r>
  <r>
    <s v="FLUJO"/>
    <n v="20494099153"/>
    <s v="CORPORACION ROANKA SAC"/>
    <m/>
    <d v="2025-11-21T00:00:00"/>
    <n v="148.4"/>
    <x v="2"/>
    <x v="11"/>
  </r>
  <r>
    <s v="FLUJO"/>
    <n v="20550622930"/>
    <s v="CONTRATISTAS GENERALES NOOVA SAC"/>
    <m/>
    <d v="2025-11-21T00:00:00"/>
    <n v="298.45999999999998"/>
    <x v="2"/>
    <x v="11"/>
  </r>
  <r>
    <s v="PRESUNTA"/>
    <n v="20600373740"/>
    <s v="INVERSIONES ODIMAR SAC"/>
    <m/>
    <d v="2025-11-21T00:00:00"/>
    <n v="164.70999999999998"/>
    <x v="2"/>
    <x v="11"/>
  </r>
  <r>
    <s v="PRESUNTA"/>
    <n v="20600373740"/>
    <s v="INVERSIONES ODIMAR SAC"/>
    <m/>
    <d v="2025-11-21T00:00:00"/>
    <n v="165.78"/>
    <x v="2"/>
    <x v="11"/>
  </r>
  <r>
    <s v="PRESUNTA"/>
    <n v="20600373740"/>
    <s v="INVERSIONES ODIMAR SAC"/>
    <m/>
    <d v="2025-11-21T00:00:00"/>
    <n v="166.96"/>
    <x v="2"/>
    <x v="11"/>
  </r>
  <r>
    <s v="PRESUNTA"/>
    <n v="20600373740"/>
    <s v="INVERSIONES ODIMAR SAC"/>
    <m/>
    <d v="2025-11-21T00:00:00"/>
    <n v="168.03"/>
    <x v="2"/>
    <x v="11"/>
  </r>
  <r>
    <s v="PRESUNTA"/>
    <n v="20600373740"/>
    <s v="INVERSIONES ODIMAR SAC"/>
    <m/>
    <d v="2025-11-21T00:00:00"/>
    <n v="169"/>
    <x v="2"/>
    <x v="11"/>
  </r>
  <r>
    <s v="PRESUNTA"/>
    <n v="20600373740"/>
    <s v="INVERSIONES ODIMAR SAC"/>
    <m/>
    <d v="2025-11-21T00:00:00"/>
    <n v="170.17000000000002"/>
    <x v="2"/>
    <x v="11"/>
  </r>
  <r>
    <s v="PRESUNTA"/>
    <n v="20600373740"/>
    <s v="INVERSIONES ODIMAR SAC"/>
    <m/>
    <d v="2025-11-21T00:00:00"/>
    <n v="171.25"/>
    <x v="2"/>
    <x v="11"/>
  </r>
  <r>
    <s v="FLUJO"/>
    <n v="20533061444"/>
    <s v="GRUPO DHAMIR SAC"/>
    <m/>
    <d v="2025-11-22T00:00:00"/>
    <n v="576.46"/>
    <x v="2"/>
    <x v="11"/>
  </r>
  <r>
    <s v="FLUJO"/>
    <n v="20607057789"/>
    <s v="EQUIPARQ S.A.C."/>
    <m/>
    <d v="2025-11-22T00:00:00"/>
    <n v="230.58"/>
    <x v="2"/>
    <x v="11"/>
  </r>
  <r>
    <s v="FLUJO"/>
    <n v="20611106191"/>
    <s v="LOTTUS CORPORATION E I R L"/>
    <m/>
    <d v="2025-11-22T00:00:00"/>
    <n v="130.28"/>
    <x v="2"/>
    <x v="11"/>
  </r>
  <r>
    <s v="FLUJO"/>
    <n v="20611106191"/>
    <s v="LOTTUS CORPORATION E I R L"/>
    <m/>
    <d v="2025-11-22T00:00:00"/>
    <n v="131.56"/>
    <x v="2"/>
    <x v="11"/>
  </r>
  <r>
    <s v="FLUJO"/>
    <n v="20447654203"/>
    <s v="IPCT CONTRATISTAS GENERALES SRL"/>
    <m/>
    <d v="2025-11-24T00:00:00"/>
    <n v="580.54999999999995"/>
    <x v="2"/>
    <x v="12"/>
  </r>
  <r>
    <s v="FLUJO"/>
    <n v="20451491297"/>
    <s v="M &amp; M Soluciones en Capital Humano SAC"/>
    <m/>
    <d v="2025-11-24T00:00:00"/>
    <n v="647.04"/>
    <x v="2"/>
    <x v="12"/>
  </r>
  <r>
    <s v="FLUJO"/>
    <n v="20521280132"/>
    <s v="ALGOTEX TRADING SAC"/>
    <m/>
    <d v="2025-11-24T00:00:00"/>
    <n v="130.28"/>
    <x v="2"/>
    <x v="12"/>
  </r>
  <r>
    <s v="FLUJO"/>
    <n v="20531607784"/>
    <s v="SERVICIOS DEL ACERO EIRL"/>
    <m/>
    <d v="2025-11-24T00:00:00"/>
    <n v="230.58"/>
    <x v="2"/>
    <x v="12"/>
  </r>
  <r>
    <s v="FLUJO"/>
    <n v="20541672533"/>
    <s v="CADENA DE AUTOSERVICOS HAKATA EIRL"/>
    <m/>
    <d v="2025-11-24T00:00:00"/>
    <n v="157.37"/>
    <x v="2"/>
    <x v="12"/>
  </r>
  <r>
    <s v="FLUJO"/>
    <n v="20552204175"/>
    <s v="RM RIMER LOGISTICA CONSTRUCCION SAC"/>
    <m/>
    <d v="2025-11-24T00:00:00"/>
    <n v="287.16000000000003"/>
    <x v="2"/>
    <x v="12"/>
  </r>
  <r>
    <s v="FLUJO"/>
    <n v="20600292197"/>
    <s v="METROLOGIA &amp; CALIDAD PERU S.A.C. MECALPE S.A.C."/>
    <m/>
    <d v="2025-11-24T00:00:00"/>
    <n v="456.09999999999997"/>
    <x v="2"/>
    <x v="12"/>
  </r>
  <r>
    <s v="FLUJO"/>
    <n v="20602013350"/>
    <s v="GRUPO LYS SERVICIOS EMPRESARIALES S.A.C."/>
    <m/>
    <d v="2025-11-24T00:00:00"/>
    <n v="1054.05"/>
    <x v="2"/>
    <x v="12"/>
  </r>
  <r>
    <s v="FLUJO"/>
    <n v="20602961533"/>
    <s v="CL TRUCKS S.R.L."/>
    <m/>
    <d v="2025-11-24T00:00:00"/>
    <n v="416.55"/>
    <x v="2"/>
    <x v="12"/>
  </r>
  <r>
    <s v="FLUJO"/>
    <n v="20603524919"/>
    <s v="CONSTRUCTORA Y SERVICIOS  SHALOM SAC"/>
    <m/>
    <d v="2025-11-24T00:00:00"/>
    <n v="289.54000000000002"/>
    <x v="2"/>
    <x v="12"/>
  </r>
  <r>
    <s v="FLUJO"/>
    <n v="20603721714"/>
    <s v="ER REPRESENTACIONES DEL SUR S.A.C."/>
    <m/>
    <d v="2025-11-24T00:00:00"/>
    <n v="1144.1400000000001"/>
    <x v="2"/>
    <x v="12"/>
  </r>
  <r>
    <s v="FLUJO"/>
    <n v="20605655506"/>
    <s v="ByB INGENIERIA Y PROYECTOS S.A.C"/>
    <m/>
    <d v="2025-11-24T00:00:00"/>
    <n v="576.46"/>
    <x v="2"/>
    <x v="12"/>
  </r>
  <r>
    <s v="FLUJO"/>
    <n v="20609591529"/>
    <s v="FS QUÃMICOS S.A.C."/>
    <m/>
    <d v="2025-11-24T00:00:00"/>
    <n v="138.35000000000002"/>
    <x v="2"/>
    <x v="12"/>
  </r>
  <r>
    <s v="FLUJO"/>
    <n v="20610397809"/>
    <s v="LEIMPORT EXPORT S.A.C."/>
    <m/>
    <d v="2025-11-24T00:00:00"/>
    <n v="229.25"/>
    <x v="2"/>
    <x v="12"/>
  </r>
  <r>
    <s v="FLUJO"/>
    <n v="20612680672"/>
    <s v="M Y R SHEGO EIRL"/>
    <m/>
    <d v="2025-11-24T00:00:00"/>
    <n v="230.58"/>
    <x v="2"/>
    <x v="12"/>
  </r>
  <r>
    <s v="FLUJO"/>
    <n v="20613088785"/>
    <s v="CONSTRUCTORA E INGENIERIA S.A.M. EIRL"/>
    <m/>
    <d v="2025-11-24T00:00:00"/>
    <n v="260.55"/>
    <x v="2"/>
    <x v="12"/>
  </r>
  <r>
    <s v="FLUJO"/>
    <n v="20613318802"/>
    <s v="ESTILOS DARUAST EIRL"/>
    <m/>
    <d v="2025-11-24T00:00:00"/>
    <n v="260.55"/>
    <x v="2"/>
    <x v="12"/>
  </r>
  <r>
    <s v="FLUJO"/>
    <n v="20614221292"/>
    <s v="DECORACIONES DE INT SOMAR EIRL"/>
    <m/>
    <d v="2025-11-24T00:00:00"/>
    <n v="172.94"/>
    <x v="2"/>
    <x v="12"/>
  </r>
  <r>
    <s v="FLUJO"/>
    <n v="20521280132"/>
    <s v="ALGOTEX TRADING SAC"/>
    <m/>
    <d v="2025-11-24T00:00:00"/>
    <n v="131.56"/>
    <x v="2"/>
    <x v="12"/>
  </r>
  <r>
    <s v="FLUJO"/>
    <n v="20531607784"/>
    <s v="SERVICIOS DEL ACERO EIRL"/>
    <m/>
    <d v="2025-11-24T00:00:00"/>
    <n v="232.86"/>
    <x v="2"/>
    <x v="12"/>
  </r>
  <r>
    <s v="FLUJO"/>
    <n v="20603524919"/>
    <s v="CONSTRUCTORA Y SERVICIOS  SHALOM SAC"/>
    <m/>
    <d v="2025-11-24T00:00:00"/>
    <n v="281.14999999999998"/>
    <x v="2"/>
    <x v="12"/>
  </r>
  <r>
    <s v="FLUJO"/>
    <n v="20605655506"/>
    <s v="ByB INGENIERIA Y PROYECTOS S.A.C"/>
    <m/>
    <d v="2025-11-24T00:00:00"/>
    <n v="582.14"/>
    <x v="2"/>
    <x v="12"/>
  </r>
  <r>
    <s v="FLUJO"/>
    <n v="20609591529"/>
    <s v="FS QUÃMICOS S.A.C."/>
    <m/>
    <d v="2025-11-24T00:00:00"/>
    <n v="132.72999999999999"/>
    <x v="2"/>
    <x v="12"/>
  </r>
  <r>
    <s v="FLUJO"/>
    <n v="20613088785"/>
    <s v="CONSTRUCTORA E INGENIERIA S.A.M. EIRL"/>
    <m/>
    <d v="2025-11-24T00:00:00"/>
    <n v="263.12"/>
    <x v="2"/>
    <x v="12"/>
  </r>
  <r>
    <s v="FLUJO"/>
    <n v="20614221292"/>
    <s v="DECORACIONES DE INT SOMAR EIRL"/>
    <m/>
    <d v="2025-11-24T00:00:00"/>
    <n v="174.64"/>
    <x v="2"/>
    <x v="12"/>
  </r>
  <r>
    <s v="FLUJO"/>
    <n v="20521280132"/>
    <s v="ALGOTEX TRADING SAC"/>
    <m/>
    <d v="2025-11-24T00:00:00"/>
    <n v="132.6"/>
    <x v="2"/>
    <x v="12"/>
  </r>
  <r>
    <s v="FLUJO"/>
    <n v="20526010613"/>
    <s v="GONZALEZ ROALCABA INGENIERO SAC"/>
    <m/>
    <d v="2025-11-24T00:00:00"/>
    <n v="132.6"/>
    <x v="2"/>
    <x v="12"/>
  </r>
  <r>
    <s v="FLUJO"/>
    <n v="20531607784"/>
    <s v="SERVICIOS DEL ACERO EIRL"/>
    <m/>
    <d v="2025-11-24T00:00:00"/>
    <n v="234.68"/>
    <x v="2"/>
    <x v="12"/>
  </r>
  <r>
    <s v="FLUJO"/>
    <n v="20605655506"/>
    <s v="ByB INGENIERIA Y PROYECTOS S.A.C"/>
    <m/>
    <d v="2025-11-24T00:00:00"/>
    <n v="586.69000000000005"/>
    <x v="2"/>
    <x v="12"/>
  </r>
  <r>
    <s v="FLUJO"/>
    <n v="20609591529"/>
    <s v="FS QUÃMICOS S.A.C."/>
    <m/>
    <d v="2025-11-24T00:00:00"/>
    <n v="140.81"/>
    <x v="2"/>
    <x v="12"/>
  </r>
  <r>
    <s v="FLUJO"/>
    <n v="20614221292"/>
    <s v="DECORACIONES DE INT SOMAR EIRL"/>
    <m/>
    <d v="2025-11-24T00:00:00"/>
    <n v="176.01000000000002"/>
    <x v="2"/>
    <x v="12"/>
  </r>
  <r>
    <s v="FLUJO"/>
    <n v="20521280132"/>
    <s v="ALGOTEX TRADING SAC"/>
    <m/>
    <d v="2025-11-24T00:00:00"/>
    <n v="133.88"/>
    <x v="2"/>
    <x v="12"/>
  </r>
  <r>
    <s v="FLUJO"/>
    <n v="20526010613"/>
    <s v="GONZALEZ ROALCABA INGENIERO SAC"/>
    <m/>
    <d v="2025-11-24T00:00:00"/>
    <n v="133.88"/>
    <x v="2"/>
    <x v="12"/>
  </r>
  <r>
    <s v="FLUJO"/>
    <n v="20531607784"/>
    <s v="SERVICIOS DEL ACERO EIRL"/>
    <m/>
    <d v="2025-11-24T00:00:00"/>
    <n v="236.95000000000002"/>
    <x v="2"/>
    <x v="12"/>
  </r>
  <r>
    <s v="FLUJO"/>
    <n v="20609591529"/>
    <s v="FS QUÃMICOS S.A.C."/>
    <m/>
    <d v="2025-11-24T00:00:00"/>
    <n v="142.17000000000002"/>
    <x v="2"/>
    <x v="12"/>
  </r>
  <r>
    <s v="FLUJO"/>
    <n v="20526010613"/>
    <s v="GONZALEZ ROALCABA INGENIERO SAC"/>
    <m/>
    <d v="2025-11-24T00:00:00"/>
    <n v="135.03"/>
    <x v="2"/>
    <x v="12"/>
  </r>
  <r>
    <s v="FLUJO"/>
    <n v="20531607784"/>
    <s v="SERVICIOS DEL ACERO EIRL"/>
    <m/>
    <d v="2025-11-24T00:00:00"/>
    <n v="239"/>
    <x v="2"/>
    <x v="12"/>
  </r>
  <r>
    <s v="FLUJO"/>
    <n v="20526010613"/>
    <s v="GONZALEZ ROALCABA INGENIERO SAC"/>
    <m/>
    <d v="2025-11-24T00:00:00"/>
    <n v="136.19"/>
    <x v="2"/>
    <x v="12"/>
  </r>
  <r>
    <s v="FLUJO"/>
    <n v="20531607784"/>
    <s v="SERVICIOS DEL ACERO EIRL"/>
    <m/>
    <d v="2025-11-24T00:00:00"/>
    <n v="241.04"/>
    <x v="2"/>
    <x v="12"/>
  </r>
  <r>
    <s v="PRESUNTA"/>
    <n v="20539680588"/>
    <s v="INVERSIONES PUREZA EIRL"/>
    <m/>
    <d v="2025-11-24T00:00:00"/>
    <n v="130.28"/>
    <x v="2"/>
    <x v="12"/>
  </r>
  <r>
    <s v="PRESUNTA"/>
    <n v="20601112516"/>
    <s v="BUENA VISTA CONTRATISTAS GENERALES SAC"/>
    <m/>
    <d v="2025-11-24T00:00:00"/>
    <n v="407.08"/>
    <x v="2"/>
    <x v="12"/>
  </r>
  <r>
    <s v="FLUJO"/>
    <n v="10211215564"/>
    <s v="Pardabe Cavilia Margot Elvira"/>
    <m/>
    <d v="2025-11-25T00:00:00"/>
    <n v="130.41"/>
    <x v="2"/>
    <x v="13"/>
  </r>
  <r>
    <s v="FLUJO"/>
    <n v="10403548095"/>
    <s v="CHAVEZ GARRIDO EDGAR"/>
    <m/>
    <d v="2025-11-25T00:00:00"/>
    <n v="143.44999999999999"/>
    <x v="2"/>
    <x v="13"/>
  </r>
  <r>
    <s v="FLUJO"/>
    <n v="20225058319"/>
    <s v="CROMOPLASTIC EIRL"/>
    <m/>
    <d v="2025-11-25T00:00:00"/>
    <n v="372.38"/>
    <x v="2"/>
    <x v="13"/>
  </r>
  <r>
    <s v="FLUJO"/>
    <n v="20351275007"/>
    <s v="FORESTAL GIL SOCIEDAD COMERCIAL DE RESPONSABILIDAD LIMITADA"/>
    <m/>
    <d v="2025-11-25T00:00:00"/>
    <n v="143.44999999999999"/>
    <x v="2"/>
    <x v="13"/>
  </r>
  <r>
    <s v="FLUJO"/>
    <n v="20441025018"/>
    <s v="TASK SERVICIOS PETROLEROS E.I.R.L."/>
    <m/>
    <d v="2025-11-25T00:00:00"/>
    <n v="265.22000000000003"/>
    <x v="2"/>
    <x v="13"/>
  </r>
  <r>
    <s v="FLUJO"/>
    <n v="20454587171"/>
    <s v="IngenierÃ­a Ambiental SAC"/>
    <m/>
    <d v="2025-11-25T00:00:00"/>
    <n v="707.44"/>
    <x v="2"/>
    <x v="13"/>
  </r>
  <r>
    <s v="FLUJO"/>
    <n v="20477671722"/>
    <s v="MAYORSA IMPORT EIRL"/>
    <m/>
    <d v="2025-11-25T00:00:00"/>
    <n v="121.72"/>
    <x v="2"/>
    <x v="13"/>
  </r>
  <r>
    <s v="FLUJO"/>
    <n v="20541375831"/>
    <s v="GESTION CONTINUA SOCIEDAD ANONIMA CERRADA"/>
    <m/>
    <d v="2025-11-25T00:00:00"/>
    <n v="260.81"/>
    <x v="2"/>
    <x v="13"/>
  </r>
  <r>
    <s v="FLUJO"/>
    <n v="20550361958"/>
    <s v="REVERDECE PERU SAC"/>
    <m/>
    <d v="2025-11-25T00:00:00"/>
    <n v="1456.15"/>
    <x v="2"/>
    <x v="13"/>
  </r>
  <r>
    <s v="FLUJO"/>
    <n v="20558361248"/>
    <s v="SERVIARTE DRYWALL SAC"/>
    <m/>
    <d v="2025-11-25T00:00:00"/>
    <n v="260.81"/>
    <x v="2"/>
    <x v="13"/>
  </r>
  <r>
    <s v="FLUJO"/>
    <n v="20600707346"/>
    <s v="MONTAJES Y OBRAS ELECTRICAS DEL NORTE EIRL"/>
    <m/>
    <d v="2025-11-25T00:00:00"/>
    <n v="130.41"/>
    <x v="2"/>
    <x v="13"/>
  </r>
  <r>
    <s v="FLUJO"/>
    <n v="20604399344"/>
    <s v="CONSTRUCTORA JARG EIRL"/>
    <m/>
    <d v="2025-11-25T00:00:00"/>
    <n v="130.41"/>
    <x v="2"/>
    <x v="13"/>
  </r>
  <r>
    <s v="FLUJO"/>
    <n v="20605598804"/>
    <s v="INVERSIONES KINTU CUSCO E.I.R.L."/>
    <m/>
    <d v="2025-11-25T00:00:00"/>
    <n v="260.81"/>
    <x v="2"/>
    <x v="13"/>
  </r>
  <r>
    <s v="FLUJO"/>
    <n v="20606009021"/>
    <s v="OBJETO S.A.C."/>
    <m/>
    <d v="2025-11-25T00:00:00"/>
    <n v="60.91"/>
    <x v="2"/>
    <x v="13"/>
  </r>
  <r>
    <s v="FLUJO"/>
    <n v="20607492566"/>
    <s v="CORPORACION M R Y S SRL"/>
    <m/>
    <d v="2025-11-25T00:00:00"/>
    <n v="346.22"/>
    <x v="2"/>
    <x v="13"/>
  </r>
  <r>
    <s v="FLUJO"/>
    <n v="20608732340"/>
    <s v="ZEIBAR CC S.A.C."/>
    <m/>
    <d v="2025-11-25T00:00:00"/>
    <n v="253.89000000000001"/>
    <x v="2"/>
    <x v="13"/>
  </r>
  <r>
    <s v="FLUJO"/>
    <n v="20608904655"/>
    <s v="IMPORTACIONES D'LIDIA EIRL"/>
    <m/>
    <d v="2025-11-25T00:00:00"/>
    <n v="130.41"/>
    <x v="2"/>
    <x v="13"/>
  </r>
  <r>
    <s v="FLUJO"/>
    <n v="20610562885"/>
    <s v="TRASCIENDE HC CONSTRUCCION S.A.C"/>
    <m/>
    <d v="2025-11-25T00:00:00"/>
    <n v="488.17"/>
    <x v="2"/>
    <x v="13"/>
  </r>
  <r>
    <s v="FLUJO"/>
    <n v="20612012475"/>
    <s v="BCP CONSULTING E.I.R.L."/>
    <m/>
    <d v="2025-11-25T00:00:00"/>
    <n v="346.22"/>
    <x v="2"/>
    <x v="13"/>
  </r>
  <r>
    <s v="FLUJO"/>
    <n v="20612400688"/>
    <s v="JOLAND INGENIERIA Y CONSTRUCCION SOCIEDAD ANONIMA CERRADA"/>
    <m/>
    <d v="2025-11-25T00:00:00"/>
    <n v="337.56"/>
    <x v="2"/>
    <x v="13"/>
  </r>
  <r>
    <s v="FLUJO"/>
    <n v="20614141990"/>
    <s v="ZANE DISTRIBUCIONES S.A.C."/>
    <m/>
    <d v="2025-11-25T00:00:00"/>
    <n v="138.49"/>
    <x v="2"/>
    <x v="13"/>
  </r>
  <r>
    <s v="FLUJO"/>
    <n v="10211215564"/>
    <s v="Pardabe Cavilia Margot Elvira"/>
    <m/>
    <d v="2025-11-25T00:00:00"/>
    <n v="131.56"/>
    <x v="2"/>
    <x v="13"/>
  </r>
  <r>
    <s v="FLUJO"/>
    <n v="10403548095"/>
    <s v="CHAVEZ GARRIDO EDGAR"/>
    <m/>
    <d v="2025-11-25T00:00:00"/>
    <n v="144.72"/>
    <x v="2"/>
    <x v="13"/>
  </r>
  <r>
    <s v="FLUJO"/>
    <n v="10710361580"/>
    <s v="MENDEZ TENORIO DE VARGAS NATALY MARCELIN"/>
    <m/>
    <d v="2025-11-25T00:00:00"/>
    <n v="395.86"/>
    <x v="2"/>
    <x v="13"/>
  </r>
  <r>
    <s v="FLUJO"/>
    <n v="20225058319"/>
    <s v="CROMOPLASTIC EIRL"/>
    <m/>
    <d v="2025-11-25T00:00:00"/>
    <n v="388.69000000000005"/>
    <x v="2"/>
    <x v="13"/>
  </r>
  <r>
    <s v="FLUJO"/>
    <n v="20351275007"/>
    <s v="FORESTAL GIL SOCIEDAD COMERCIAL DE RESPONSABILIDAD LIMITADA"/>
    <m/>
    <d v="2025-11-25T00:00:00"/>
    <n v="144.72"/>
    <x v="2"/>
    <x v="13"/>
  </r>
  <r>
    <s v="FLUJO"/>
    <n v="20441025018"/>
    <s v="TASK SERVICIOS PETROLEROS E.I.R.L."/>
    <m/>
    <d v="2025-11-25T00:00:00"/>
    <n v="267.57"/>
    <x v="2"/>
    <x v="13"/>
  </r>
  <r>
    <s v="FLUJO"/>
    <n v="20477671722"/>
    <s v="MAYORSA IMPORT EIRL"/>
    <m/>
    <d v="2025-11-25T00:00:00"/>
    <n v="114.02"/>
    <x v="2"/>
    <x v="13"/>
  </r>
  <r>
    <s v="FLUJO"/>
    <n v="20506759120"/>
    <s v="TEPS GROUP SAC"/>
    <m/>
    <d v="2025-11-25T00:00:00"/>
    <n v="552.22"/>
    <x v="2"/>
    <x v="13"/>
  </r>
  <r>
    <s v="FLUJO"/>
    <n v="20600707346"/>
    <s v="MONTAJES Y OBRAS ELECTRICAS DEL NORTE EIRL"/>
    <m/>
    <d v="2025-11-25T00:00:00"/>
    <n v="131.56"/>
    <x v="2"/>
    <x v="13"/>
  </r>
  <r>
    <s v="FLUJO"/>
    <n v="20604399344"/>
    <s v="CONSTRUCTORA JARG EIRL"/>
    <m/>
    <d v="2025-11-25T00:00:00"/>
    <n v="131.56"/>
    <x v="2"/>
    <x v="13"/>
  </r>
  <r>
    <s v="FLUJO"/>
    <n v="20606009021"/>
    <s v="OBJETO S.A.C."/>
    <m/>
    <d v="2025-11-25T00:00:00"/>
    <n v="465.72"/>
    <x v="2"/>
    <x v="13"/>
  </r>
  <r>
    <s v="FLUJO"/>
    <n v="20608904655"/>
    <s v="IMPORTACIONES D'LIDIA EIRL"/>
    <m/>
    <d v="2025-11-25T00:00:00"/>
    <n v="131.56"/>
    <x v="2"/>
    <x v="13"/>
  </r>
  <r>
    <s v="FLUJO"/>
    <n v="20614141990"/>
    <s v="ZANE DISTRIBUCIONES S.A.C."/>
    <m/>
    <d v="2025-11-25T00:00:00"/>
    <n v="139.70999999999998"/>
    <x v="2"/>
    <x v="13"/>
  </r>
  <r>
    <s v="FLUJO"/>
    <n v="20477671722"/>
    <s v="MAYORSA IMPORT EIRL"/>
    <m/>
    <d v="2025-11-25T00:00:00"/>
    <n v="110.61"/>
    <x v="2"/>
    <x v="13"/>
  </r>
  <r>
    <s v="FLUJO"/>
    <n v="20546445667"/>
    <s v="CREACIONES VANA SRL"/>
    <m/>
    <d v="2025-11-25T00:00:00"/>
    <n v="251.51000000000002"/>
    <x v="2"/>
    <x v="13"/>
  </r>
  <r>
    <s v="FLUJO"/>
    <n v="20600707346"/>
    <s v="MONTAJES Y OBRAS ELECTRICAS DEL NORTE EIRL"/>
    <m/>
    <d v="2025-11-25T00:00:00"/>
    <n v="132.72"/>
    <x v="2"/>
    <x v="13"/>
  </r>
  <r>
    <s v="FLUJO"/>
    <n v="20477671722"/>
    <s v="MAYORSA IMPORT EIRL"/>
    <m/>
    <d v="2025-11-25T00:00:00"/>
    <n v="124.96000000000001"/>
    <x v="2"/>
    <x v="13"/>
  </r>
  <r>
    <s v="FLUJO"/>
    <n v="20546445667"/>
    <s v="CREACIONES VANA SRL"/>
    <m/>
    <d v="2025-11-25T00:00:00"/>
    <n v="253.71"/>
    <x v="2"/>
    <x v="13"/>
  </r>
  <r>
    <s v="FLUJO"/>
    <n v="20600707346"/>
    <s v="MONTAJES Y OBRAS ELECTRICAS DEL NORTE EIRL"/>
    <m/>
    <d v="2025-11-25T00:00:00"/>
    <n v="133.88"/>
    <x v="2"/>
    <x v="13"/>
  </r>
  <r>
    <s v="FLUJO"/>
    <n v="20610715690"/>
    <s v="CHISAN Y GASTELO CONSULTORES SAC"/>
    <m/>
    <d v="2025-11-25T00:00:00"/>
    <n v="133.88"/>
    <x v="2"/>
    <x v="13"/>
  </r>
  <r>
    <s v="FLUJO"/>
    <n v="20477671722"/>
    <s v="MAYORSA IMPORT EIRL"/>
    <m/>
    <d v="2025-11-25T00:00:00"/>
    <n v="126.15"/>
    <x v="2"/>
    <x v="13"/>
  </r>
  <r>
    <s v="FLUJO"/>
    <n v="20600707346"/>
    <s v="MONTAJES Y OBRAS ELECTRICAS DEL NORTE EIRL"/>
    <m/>
    <d v="2025-11-25T00:00:00"/>
    <n v="135.16"/>
    <x v="2"/>
    <x v="13"/>
  </r>
  <r>
    <s v="FLUJO"/>
    <n v="20477671722"/>
    <s v="MAYORSA IMPORT EIRL"/>
    <m/>
    <d v="2025-11-25T00:00:00"/>
    <n v="131.63999999999999"/>
    <x v="2"/>
    <x v="13"/>
  </r>
  <r>
    <s v="FLUJO"/>
    <n v="20600707346"/>
    <s v="MONTAJES Y OBRAS ELECTRICAS DEL NORTE EIRL"/>
    <m/>
    <d v="2025-11-25T00:00:00"/>
    <n v="136.19"/>
    <x v="2"/>
    <x v="13"/>
  </r>
  <r>
    <s v="FLUJO"/>
    <n v="10438629853"/>
    <s v="DIAZ GABANCHO JAIME"/>
    <m/>
    <d v="2025-11-26T00:00:00"/>
    <n v="150.02999999999997"/>
    <x v="2"/>
    <x v="14"/>
  </r>
  <r>
    <s v="FLUJO"/>
    <n v="20259040443"/>
    <s v="MULTIVENTAS MATERIALES DE CONSTRUCCION SAC"/>
    <m/>
    <d v="2025-11-26T00:00:00"/>
    <n v="207.73"/>
    <x v="2"/>
    <x v="14"/>
  </r>
  <r>
    <s v="FLUJO"/>
    <n v="20481481661"/>
    <s v="LUBRICANTES Y SERVICIOS EL INCA EIRL"/>
    <m/>
    <d v="2025-11-26T00:00:00"/>
    <n v="130.41"/>
    <x v="2"/>
    <x v="14"/>
  </r>
  <r>
    <s v="FLUJO"/>
    <n v="20573109105"/>
    <s v="TITANIUM 3Z GROUP SOCIEDAD ANONIMA CERRADA"/>
    <m/>
    <d v="2025-11-26T00:00:00"/>
    <n v="361.21999999999997"/>
    <x v="2"/>
    <x v="14"/>
  </r>
  <r>
    <s v="FLUJO"/>
    <n v="20603289251"/>
    <s v="EVOLUCION LOGISTICA S.A.C."/>
    <m/>
    <d v="2025-11-26T00:00:00"/>
    <n v="262.08999999999997"/>
    <x v="2"/>
    <x v="14"/>
  </r>
  <r>
    <s v="FLUJO"/>
    <n v="20607068977"/>
    <s v="CORPORACION JOSECITO S.R.L."/>
    <m/>
    <d v="2025-11-26T00:00:00"/>
    <n v="432.78"/>
    <x v="2"/>
    <x v="14"/>
  </r>
  <r>
    <s v="FLUJO"/>
    <n v="20608473352"/>
    <s v="MULTILLANTAS DMV S.R.L."/>
    <m/>
    <d v="2025-11-26T00:00:00"/>
    <n v="433.91999999999996"/>
    <x v="2"/>
    <x v="14"/>
  </r>
  <r>
    <s v="FLUJO"/>
    <n v="20608564391"/>
    <s v="ASIA POWER TOOLS IMPORT SAC"/>
    <m/>
    <d v="2025-11-26T00:00:00"/>
    <n v="392.2"/>
    <x v="2"/>
    <x v="14"/>
  </r>
  <r>
    <s v="FLUJO"/>
    <n v="20610215964"/>
    <s v="REALCE ACABADOS SOCIEDAD COMERCIAL DE RESPONSABILIDAD LIMITA"/>
    <m/>
    <d v="2025-11-26T00:00:00"/>
    <n v="130.41"/>
    <x v="2"/>
    <x v="14"/>
  </r>
  <r>
    <s v="FLUJO"/>
    <n v="20611590017"/>
    <s v="3D DENTAL ASIA S.A.C."/>
    <m/>
    <d v="2025-11-26T00:00:00"/>
    <n v="161.57"/>
    <x v="2"/>
    <x v="14"/>
  </r>
  <r>
    <s v="FLUJO"/>
    <n v="20612083879"/>
    <s v="JS ENGINEERING NDT SERVICES CONSTRUCTION LOGISTICS SAC"/>
    <m/>
    <d v="2025-11-26T00:00:00"/>
    <n v="322.59000000000003"/>
    <x v="2"/>
    <x v="14"/>
  </r>
  <r>
    <s v="FLUJO"/>
    <n v="20613501291"/>
    <s v="CONSORCIO PEDAGOGICO"/>
    <m/>
    <d v="2025-11-26T00:00:00"/>
    <n v="783.28"/>
    <x v="2"/>
    <x v="14"/>
  </r>
  <r>
    <s v="FLUJO"/>
    <n v="10438629853"/>
    <s v="DIAZ GABANCHO JAIME"/>
    <m/>
    <d v="2025-11-26T00:00:00"/>
    <n v="151.51"/>
    <x v="2"/>
    <x v="14"/>
  </r>
  <r>
    <s v="FLUJO"/>
    <n v="20259040443"/>
    <s v="MULTIVENTAS MATERIALES DE CONSTRUCCION SAC"/>
    <m/>
    <d v="2025-11-26T00:00:00"/>
    <n v="209.78"/>
    <x v="2"/>
    <x v="14"/>
  </r>
  <r>
    <s v="FLUJO"/>
    <n v="20481481661"/>
    <s v="LUBRICANTES Y SERVICIOS EL INCA EIRL"/>
    <m/>
    <d v="2025-11-26T00:00:00"/>
    <n v="131.69999999999999"/>
    <x v="2"/>
    <x v="14"/>
  </r>
  <r>
    <s v="FLUJO"/>
    <n v="20526010613"/>
    <s v="GONZALEZ ROALCABA INGENIERO SAC"/>
    <m/>
    <d v="2025-11-26T00:00:00"/>
    <n v="131.69999999999999"/>
    <x v="2"/>
    <x v="14"/>
  </r>
  <r>
    <s v="FLUJO"/>
    <n v="20605028447"/>
    <s v="CAPSTONE GOLD CORPORATION E.I.R.L"/>
    <m/>
    <d v="2025-11-26T00:00:00"/>
    <n v="166.66000000000003"/>
    <x v="2"/>
    <x v="14"/>
  </r>
  <r>
    <s v="FLUJO"/>
    <n v="20607068977"/>
    <s v="CORPORACION JOSECITO S.R.L."/>
    <m/>
    <d v="2025-11-26T00:00:00"/>
    <n v="437.03999999999996"/>
    <x v="2"/>
    <x v="14"/>
  </r>
  <r>
    <s v="FLUJO"/>
    <n v="20610215964"/>
    <s v="REALCE ACABADOS SOCIEDAD COMERCIAL DE RESPONSABILIDAD LIMITA"/>
    <m/>
    <d v="2025-11-26T00:00:00"/>
    <n v="131.69999999999999"/>
    <x v="2"/>
    <x v="14"/>
  </r>
  <r>
    <s v="FLUJO"/>
    <n v="20611590017"/>
    <s v="3D DENTAL ASIA S.A.C."/>
    <m/>
    <d v="2025-11-26T00:00:00"/>
    <n v="163.16"/>
    <x v="2"/>
    <x v="14"/>
  </r>
  <r>
    <s v="FLUJO"/>
    <n v="10438629853"/>
    <s v="DIAZ GABANCHO JAIME"/>
    <m/>
    <d v="2025-11-26T00:00:00"/>
    <n v="152.69"/>
    <x v="2"/>
    <x v="14"/>
  </r>
  <r>
    <s v="FLUJO"/>
    <n v="20481481661"/>
    <s v="LUBRICANTES Y SERVICIOS EL INCA EIRL"/>
    <m/>
    <d v="2025-11-26T00:00:00"/>
    <n v="132.72"/>
    <x v="2"/>
    <x v="14"/>
  </r>
  <r>
    <s v="FLUJO"/>
    <n v="20607068977"/>
    <s v="CORPORACION JOSECITO S.R.L."/>
    <m/>
    <d v="2025-11-26T00:00:00"/>
    <n v="440.46"/>
    <x v="2"/>
    <x v="14"/>
  </r>
  <r>
    <s v="FLUJO"/>
    <n v="20608473352"/>
    <s v="MULTILLANTAS DMV S.R.L."/>
    <m/>
    <d v="2025-11-26T00:00:00"/>
    <n v="441.62"/>
    <x v="2"/>
    <x v="14"/>
  </r>
  <r>
    <s v="FLUJO"/>
    <n v="20611590017"/>
    <s v="3D DENTAL ASIA S.A.C."/>
    <m/>
    <d v="2025-11-26T00:00:00"/>
    <n v="164.43"/>
    <x v="2"/>
    <x v="14"/>
  </r>
  <r>
    <s v="FLUJO"/>
    <n v="10438629853"/>
    <s v="DIAZ GABANCHO JAIME"/>
    <m/>
    <d v="2025-11-26T00:00:00"/>
    <n v="154.17000000000002"/>
    <x v="2"/>
    <x v="14"/>
  </r>
  <r>
    <s v="FLUJO"/>
    <n v="20611590017"/>
    <s v="3D DENTAL ASIA S.A.C."/>
    <m/>
    <d v="2025-11-26T00:00:00"/>
    <n v="166.02"/>
    <x v="2"/>
    <x v="14"/>
  </r>
  <r>
    <s v="FLUJO"/>
    <n v="20611590017"/>
    <s v="3D DENTAL ASIA S.A.C."/>
    <m/>
    <d v="2025-11-26T00:00:00"/>
    <n v="167.46"/>
    <x v="2"/>
    <x v="14"/>
  </r>
  <r>
    <s v="FLUJO"/>
    <n v="20611590017"/>
    <s v="3D DENTAL ASIA S.A.C."/>
    <m/>
    <d v="2025-11-26T00:00:00"/>
    <n v="168.89"/>
    <x v="2"/>
    <x v="14"/>
  </r>
  <r>
    <s v="FLUJO"/>
    <n v="20611590017"/>
    <s v="3D DENTAL ASIA S.A.C."/>
    <m/>
    <d v="2025-11-26T00:00:00"/>
    <n v="170.32000000000002"/>
    <x v="2"/>
    <x v="14"/>
  </r>
  <r>
    <s v="FLUJO"/>
    <n v="20612587974"/>
    <s v="EL CLUB DEL CAMARON E.I.R.L."/>
    <m/>
    <d v="2025-11-26T00:00:00"/>
    <n v="131.56"/>
    <x v="2"/>
    <x v="14"/>
  </r>
  <r>
    <s v="FLUJO"/>
    <n v="20612587974"/>
    <s v="EL CLUB DEL CAMARON E.I.R.L."/>
    <m/>
    <d v="2025-11-26T00:00:00"/>
    <n v="132.77000000000001"/>
    <x v="2"/>
    <x v="14"/>
  </r>
  <r>
    <s v="FLUJO"/>
    <n v="20612587974"/>
    <s v="EL CLUB DEL CAMARON E.I.R.L."/>
    <m/>
    <d v="2025-11-26T00:00:00"/>
    <n v="133.72"/>
    <x v="2"/>
    <x v="14"/>
  </r>
  <r>
    <s v="FLUJO"/>
    <n v="20612587974"/>
    <s v="EL CLUB DEL CAMARON E.I.R.L."/>
    <m/>
    <d v="2025-11-26T00:00:00"/>
    <n v="134.92000000000002"/>
    <x v="2"/>
    <x v="14"/>
  </r>
  <r>
    <s v="FLUJO"/>
    <n v="20612587974"/>
    <s v="EL CLUB DEL CAMARON E.I.R.L."/>
    <m/>
    <d v="2025-11-26T00:00:00"/>
    <n v="136.01"/>
    <x v="2"/>
    <x v="14"/>
  </r>
  <r>
    <s v="FLUJO"/>
    <n v="20612587974"/>
    <s v="EL CLUB DEL CAMARON E.I.R.L."/>
    <m/>
    <d v="2025-11-26T00:00:00"/>
    <n v="137.07999999999998"/>
    <x v="2"/>
    <x v="14"/>
  </r>
  <r>
    <s v="PRESUNTA"/>
    <n v="20610225587"/>
    <s v="Negociaciones Maximus EIRL"/>
    <m/>
    <d v="2025-11-26T00:00:00"/>
    <n v="618.80000000000007"/>
    <x v="2"/>
    <x v="14"/>
  </r>
  <r>
    <s v="PRESUNTA"/>
    <n v="20603592566"/>
    <s v="INVERSIONES JESSIMAR E.I.R.L."/>
    <m/>
    <d v="2025-11-26T00:00:00"/>
    <n v="167.06"/>
    <x v="2"/>
    <x v="14"/>
  </r>
  <r>
    <s v="PRESUNTA"/>
    <n v="20603592566"/>
    <s v="INVERSIONES JESSIMAR E.I.R.L."/>
    <m/>
    <d v="2025-11-26T00:00:00"/>
    <n v="168.13"/>
    <x v="2"/>
    <x v="14"/>
  </r>
  <r>
    <s v="PRESUNTA"/>
    <n v="20603592566"/>
    <s v="INVERSIONES JESSIMAR E.I.R.L."/>
    <m/>
    <d v="2025-11-26T00:00:00"/>
    <n v="169.2"/>
    <x v="2"/>
    <x v="14"/>
  </r>
  <r>
    <s v="FLUJO"/>
    <n v="10406750511"/>
    <s v="CAHUANA YARANGA DORIS MARITZA"/>
    <m/>
    <d v="2025-11-27T00:00:00"/>
    <n v="130.41"/>
    <x v="2"/>
    <x v="15"/>
  </r>
  <r>
    <s v="FLUJO"/>
    <n v="20474682057"/>
    <s v="URANO CONSTRUCCIONES S.A.C."/>
    <m/>
    <d v="2025-11-27T00:00:00"/>
    <n v="391.22999999999996"/>
    <x v="2"/>
    <x v="15"/>
  </r>
  <r>
    <s v="FLUJO"/>
    <n v="20477685511"/>
    <s v="EMPRESA DE SERVICIOS MULTIPLES ALBERT EINSTEIN E.I.R.L"/>
    <m/>
    <d v="2025-11-27T00:00:00"/>
    <n v="195.60999999999999"/>
    <x v="2"/>
    <x v="15"/>
  </r>
  <r>
    <s v="FLUJO"/>
    <n v="20505647115"/>
    <s v="JTELECOM S.A.C."/>
    <m/>
    <d v="2025-11-27T00:00:00"/>
    <n v="242.35"/>
    <x v="2"/>
    <x v="15"/>
  </r>
  <r>
    <s v="FLUJO"/>
    <n v="20513877324"/>
    <s v="EMPRESA DE TRANSPORTES MARIN HERMANOS SOCIEDAD ANONIMA CERRA"/>
    <m/>
    <d v="2025-11-27T00:00:00"/>
    <n v="852.96999999999991"/>
    <x v="2"/>
    <x v="15"/>
  </r>
  <r>
    <s v="FLUJO"/>
    <n v="20545996848"/>
    <s v="GSA CORPORACION DEL PERU S.A.C."/>
    <m/>
    <d v="2025-11-27T00:00:00"/>
    <n v="130.41"/>
    <x v="2"/>
    <x v="15"/>
  </r>
  <r>
    <s v="FLUJO"/>
    <n v="20601838088"/>
    <s v="WOLF S GROUP H Y E S.A.C."/>
    <m/>
    <d v="2025-11-27T00:00:00"/>
    <n v="130.41"/>
    <x v="2"/>
    <x v="15"/>
  </r>
  <r>
    <s v="FLUJO"/>
    <n v="20608792113"/>
    <s v="MASTER METAL SERVICE E.I.R.L."/>
    <m/>
    <d v="2025-11-27T00:00:00"/>
    <n v="574.66"/>
    <x v="2"/>
    <x v="15"/>
  </r>
  <r>
    <s v="FLUJO"/>
    <n v="20609908964"/>
    <s v="GRUPO JH SEGURIDAD SOCIEDAD ANONIMA CERRADA"/>
    <m/>
    <d v="2025-11-27T00:00:00"/>
    <n v="176.8"/>
    <x v="2"/>
    <x v="15"/>
  </r>
  <r>
    <s v="FLUJO"/>
    <n v="20610546014"/>
    <s v="SERVICIOS DE CARGA JV S.A.C."/>
    <m/>
    <d v="2025-11-27T00:00:00"/>
    <n v="288.51"/>
    <x v="2"/>
    <x v="15"/>
  </r>
  <r>
    <s v="FLUJO"/>
    <n v="10406750511"/>
    <s v="CAHUANA YARANGA DORIS MARITZA"/>
    <m/>
    <d v="2025-11-27T00:00:00"/>
    <n v="131.69999999999999"/>
    <x v="2"/>
    <x v="15"/>
  </r>
  <r>
    <s v="FLUJO"/>
    <n v="20477685511"/>
    <s v="EMPRESA DE SERVICIOS MULTIPLES ALBERT EINSTEIN E.I.R.L"/>
    <m/>
    <d v="2025-11-27T00:00:00"/>
    <n v="197.54000000000002"/>
    <x v="2"/>
    <x v="15"/>
  </r>
  <r>
    <s v="FLUJO"/>
    <n v="20524091446"/>
    <s v="TRANSPORTES  E INVERSIONES LAGO   EIRL"/>
    <m/>
    <d v="2025-11-27T00:00:00"/>
    <n v="263.38"/>
    <x v="2"/>
    <x v="15"/>
  </r>
  <r>
    <s v="FLUJO"/>
    <n v="20545996848"/>
    <s v="GSA CORPORACION DEL PERU S.A.C."/>
    <m/>
    <d v="2025-11-27T00:00:00"/>
    <n v="131.69999999999999"/>
    <x v="2"/>
    <x v="15"/>
  </r>
  <r>
    <s v="FLUJO"/>
    <n v="20601374588"/>
    <s v="GRUPO CODISAL   SAC"/>
    <m/>
    <d v="2025-11-27T00:00:00"/>
    <n v="413.61"/>
    <x v="2"/>
    <x v="15"/>
  </r>
  <r>
    <s v="FLUJO"/>
    <n v="20601838088"/>
    <s v="WOLF S GROUP H Y E S.A.C."/>
    <m/>
    <d v="2025-11-27T00:00:00"/>
    <n v="131.69999999999999"/>
    <x v="2"/>
    <x v="15"/>
  </r>
  <r>
    <s v="FLUJO"/>
    <n v="20608608819"/>
    <s v="ALMACENES AYM SAC"/>
    <m/>
    <d v="2025-11-27T00:00:00"/>
    <n v="131.69999999999999"/>
    <x v="2"/>
    <x v="15"/>
  </r>
  <r>
    <s v="FLUJO"/>
    <n v="20609908964"/>
    <s v="GRUPO JH SEGURIDAD SOCIEDAD ANONIMA CERRADA"/>
    <m/>
    <d v="2025-11-27T00:00:00"/>
    <n v="178.54"/>
    <x v="2"/>
    <x v="15"/>
  </r>
  <r>
    <s v="FLUJO"/>
    <n v="20477685511"/>
    <s v="EMPRESA DE SERVICIOS MULTIPLES ALBERT EINSTEIN E.I.R.L"/>
    <m/>
    <d v="2025-11-27T00:00:00"/>
    <n v="331.8"/>
    <x v="2"/>
    <x v="15"/>
  </r>
  <r>
    <s v="FLUJO"/>
    <n v="20524091446"/>
    <s v="TRANSPORTES  E INVERSIONES LAGO   EIRL"/>
    <m/>
    <d v="2025-11-27T00:00:00"/>
    <n v="265.44"/>
    <x v="2"/>
    <x v="15"/>
  </r>
  <r>
    <s v="FLUJO"/>
    <n v="20612591521"/>
    <s v="CORPORACION BRUNELLA E.I.R.L."/>
    <m/>
    <d v="2025-11-27T00:00:00"/>
    <n v="482.18"/>
    <x v="2"/>
    <x v="15"/>
  </r>
  <r>
    <s v="FLUJO"/>
    <n v="20477685511"/>
    <s v="EMPRESA DE SERVICIOS MULTIPLES ALBERT EINSTEIN E.I.R.L"/>
    <m/>
    <d v="2025-11-27T00:00:00"/>
    <n v="335.01"/>
    <x v="2"/>
    <x v="15"/>
  </r>
  <r>
    <s v="FLUJO"/>
    <n v="20524091446"/>
    <s v="TRANSPORTES  E INVERSIONES LAGO   EIRL"/>
    <m/>
    <d v="2025-11-27T00:00:00"/>
    <n v="268.01"/>
    <x v="2"/>
    <x v="15"/>
  </r>
  <r>
    <s v="FLUJO"/>
    <n v="20603614772"/>
    <s v="GESMEDIC E.I.R.L."/>
    <m/>
    <d v="2025-11-27T00:00:00"/>
    <n v="134.01"/>
    <x v="2"/>
    <x v="15"/>
  </r>
  <r>
    <s v="FLUJO"/>
    <n v="20373129322"/>
    <s v="CEP SAN JUAN EIRL"/>
    <m/>
    <d v="2025-11-27T00:00:00"/>
    <n v="143.53"/>
    <x v="2"/>
    <x v="15"/>
  </r>
  <r>
    <s v="PRESUNTA"/>
    <n v="20610063731"/>
    <s v="CORPORACION ORE DIAZ EIRL"/>
    <m/>
    <d v="2025-11-27T00:00:00"/>
    <n v="65.210000000000008"/>
    <x v="2"/>
    <x v="15"/>
  </r>
  <r>
    <s v="PRESUNTA"/>
    <n v="20610695982"/>
    <s v="CONSORCIO SUPERVISOR VIAL NORTE"/>
    <m/>
    <d v="2025-11-27T00:00:00"/>
    <n v="371.9"/>
    <x v="2"/>
    <x v="15"/>
  </r>
  <r>
    <s v="REAL TOTAL"/>
    <n v="10450776799"/>
    <s v="SUCLUPE MORANTE KATTY ELIZABETH"/>
    <m/>
    <d v="2025-11-27T00:00:00"/>
    <n v="159.44999999999999"/>
    <x v="2"/>
    <x v="15"/>
  </r>
  <r>
    <s v="REAL TOTAL"/>
    <n v="10450776799"/>
    <s v="SUCLUPE MORANTE KATTY ELIZABETH"/>
    <m/>
    <d v="2025-11-27T00:00:00"/>
    <n v="149.55000000000001"/>
    <x v="2"/>
    <x v="15"/>
  </r>
  <r>
    <s v="FLUJO"/>
    <n v="20512687254"/>
    <s v="LAVANDERIA INDUSTRIAL SOLAR SAC"/>
    <m/>
    <d v="2025-11-28T00:00:00"/>
    <n v="261.08"/>
    <x v="2"/>
    <x v="16"/>
  </r>
  <r>
    <s v="FLUJO"/>
    <n v="20607651796"/>
    <s v="MASA WERK S.A.C."/>
    <m/>
    <d v="2025-11-28T00:00:00"/>
    <n v="338.47"/>
    <x v="2"/>
    <x v="16"/>
  </r>
  <r>
    <s v="PRESUNTA"/>
    <n v="20319127845"/>
    <s v="EMPRESA DE SERVICIOS SANTA MONICA SRL"/>
    <m/>
    <d v="2025-11-28T00:00:00"/>
    <n v="75.09"/>
    <x v="2"/>
    <x v="16"/>
  </r>
  <r>
    <s v="PRESUNTA"/>
    <n v="20319127845"/>
    <s v="EMPRESA DE SERVICIOS SANTA MONICA SRL"/>
    <m/>
    <d v="2025-11-28T00:00:00"/>
    <n v="124.22"/>
    <x v="2"/>
    <x v="16"/>
  </r>
  <r>
    <s v="PRESUNTA"/>
    <n v="20319127845"/>
    <s v="EMPRESA DE SERVICIOS SANTA MONICA SRL"/>
    <m/>
    <d v="2025-11-28T00:00:00"/>
    <n v="230.09"/>
    <x v="2"/>
    <x v="16"/>
  </r>
  <r>
    <s v="PRESUNTA"/>
    <n v="20319127845"/>
    <s v="EMPRESA DE SERVICIOS SANTA MONICA SRL"/>
    <m/>
    <d v="2025-11-28T00:00:00"/>
    <n v="103.28"/>
    <x v="2"/>
    <x v="16"/>
  </r>
  <r>
    <s v="PRESUNTA"/>
    <n v="20319127845"/>
    <s v="EMPRESA DE SERVICIOS SANTA MONICA SRL"/>
    <m/>
    <d v="2025-11-28T00:00:00"/>
    <n v="246.44"/>
    <x v="2"/>
    <x v="16"/>
  </r>
  <r>
    <s v="PRESUNTA"/>
    <n v="20603592566"/>
    <s v="INVERSIONES JESSIMAR E.I.R.L."/>
    <m/>
    <d v="2025-11-28T00:00:00"/>
    <n v="164.92000000000002"/>
    <x v="2"/>
    <x v="16"/>
  </r>
  <r>
    <s v="PRESUNTA"/>
    <n v="20603592566"/>
    <s v="INVERSIONES JESSIMAR E.I.R.L."/>
    <m/>
    <d v="2025-11-28T00:00:00"/>
    <n v="166.1"/>
    <x v="2"/>
    <x v="16"/>
  </r>
  <r>
    <s v="FLUJO"/>
    <n v="10066461420"/>
    <s v="HUAMAN GRANDA GLORIA MARIA"/>
    <m/>
    <d v="2025-11-29T00:00:00"/>
    <n v="269.42"/>
    <x v="2"/>
    <x v="16"/>
  </r>
  <r>
    <s v="FLUJO"/>
    <n v="10403644922"/>
    <s v="MEZA DELGADO NORMA ALEJANDRA"/>
    <m/>
    <d v="2025-11-29T00:00:00"/>
    <n v="130.66"/>
    <x v="2"/>
    <x v="16"/>
  </r>
  <r>
    <s v="FLUJO"/>
    <n v="20541260260"/>
    <s v="REPUESTOS Y REPRESENTACIONES H.P.G. E.I.R.L."/>
    <m/>
    <d v="2025-11-29T00:00:00"/>
    <n v="221.21"/>
    <x v="2"/>
    <x v="16"/>
  </r>
  <r>
    <s v="FLUJO"/>
    <n v="20550438411"/>
    <s v="METAL TEK J.J.B.G. S.A.C."/>
    <m/>
    <d v="2025-11-29T00:00:00"/>
    <n v="522.65"/>
    <x v="2"/>
    <x v="16"/>
  </r>
  <r>
    <s v="FLUJO"/>
    <n v="20550725828"/>
    <s v="GRUPO COMERCIAL MARY SAC"/>
    <m/>
    <d v="2025-11-29T00:00:00"/>
    <n v="408.18"/>
    <x v="2"/>
    <x v="16"/>
  </r>
  <r>
    <s v="FLUJO"/>
    <n v="20608999711"/>
    <s v="CORPORACION SALUD J Y K EIRL"/>
    <m/>
    <d v="2025-11-29T00:00:00"/>
    <n v="195.76"/>
    <x v="2"/>
    <x v="16"/>
  </r>
  <r>
    <s v="FLUJO"/>
    <n v="20611645423"/>
    <s v="DAHA SOLUCIONES E.I.R.L."/>
    <m/>
    <d v="2025-11-29T00:00:00"/>
    <n v="130.66"/>
    <x v="2"/>
    <x v="16"/>
  </r>
  <r>
    <s v="FLUJO"/>
    <n v="10066461420"/>
    <s v="HUAMAN GRANDA GLORIA MARIA"/>
    <m/>
    <d v="2025-11-29T00:00:00"/>
    <n v="271.81"/>
    <x v="2"/>
    <x v="16"/>
  </r>
  <r>
    <s v="FLUJO"/>
    <n v="10403644922"/>
    <s v="MEZA DELGADO NORMA ALEJANDRA"/>
    <m/>
    <d v="2025-11-29T00:00:00"/>
    <n v="131.82"/>
    <x v="2"/>
    <x v="16"/>
  </r>
  <r>
    <s v="FLUJO"/>
    <n v="10702982249"/>
    <s v="GONZALES SOLES OSWALDO REYNERIO"/>
    <m/>
    <d v="2025-11-29T00:00:00"/>
    <n v="145"/>
    <x v="2"/>
    <x v="16"/>
  </r>
  <r>
    <s v="FLUJO"/>
    <n v="20601881196"/>
    <s v="BATERIAS JAS EIRL"/>
    <m/>
    <d v="2025-11-29T00:00:00"/>
    <n v="174.98000000000002"/>
    <x v="2"/>
    <x v="16"/>
  </r>
  <r>
    <s v="FLUJO"/>
    <n v="10066461420"/>
    <s v="HUAMAN GRANDA GLORIA MARIA"/>
    <m/>
    <d v="2025-11-29T00:00:00"/>
    <n v="274.2"/>
    <x v="2"/>
    <x v="16"/>
  </r>
  <r>
    <s v="FLUJO"/>
    <n v="10403644922"/>
    <s v="MEZA DELGADO NORMA ALEJANDRA"/>
    <m/>
    <d v="2025-11-29T00:00:00"/>
    <n v="132.97999999999999"/>
    <x v="2"/>
    <x v="16"/>
  </r>
  <r>
    <s v="PRESUNTA"/>
    <n v="20609630168"/>
    <s v="GC Business School S.A.C."/>
    <m/>
    <d v="2025-11-29T00:00:00"/>
    <n v="161.88999999999999"/>
    <x v="2"/>
    <x v="16"/>
  </r>
  <r>
    <s v="PRESUNTA"/>
    <n v="20609630168"/>
    <s v="GC Business School S.A.C."/>
    <m/>
    <d v="2025-11-29T00:00:00"/>
    <n v="163.32"/>
    <x v="2"/>
    <x v="16"/>
  </r>
  <r>
    <s v="PRESUNTA"/>
    <n v="20609630168"/>
    <s v="GC Business School S.A.C."/>
    <m/>
    <d v="2025-11-29T00:00:00"/>
    <n v="164.75"/>
    <x v="2"/>
    <x v="16"/>
  </r>
  <r>
    <s v="PRESUNTA"/>
    <n v="20609630168"/>
    <s v="GC Business School S.A.C."/>
    <m/>
    <d v="2025-11-29T00:00:00"/>
    <n v="166.18"/>
    <x v="2"/>
    <x v="16"/>
  </r>
  <r>
    <s v="PRESUNTA"/>
    <n v="20609630168"/>
    <s v="GC Business School S.A.C."/>
    <m/>
    <d v="2025-11-29T00:00:00"/>
    <n v="167.61999999999998"/>
    <x v="2"/>
    <x v="16"/>
  </r>
  <r>
    <s v="PRESUNTA"/>
    <n v="20609630168"/>
    <s v="GC Business School S.A.C."/>
    <m/>
    <d v="2025-11-29T00:00:00"/>
    <n v="169.05"/>
    <x v="2"/>
    <x v="16"/>
  </r>
  <r>
    <s v="PRESUNTA"/>
    <n v="20609630168"/>
    <s v="GC Business School S.A.C."/>
    <m/>
    <d v="2025-11-29T00:00:00"/>
    <n v="170.48"/>
    <x v="2"/>
    <x v="16"/>
  </r>
  <r>
    <s v="PRESUNTA"/>
    <n v="20609630168"/>
    <s v="GC Business School S.A.C."/>
    <m/>
    <d v="2025-11-29T00:00:00"/>
    <n v="172.07"/>
    <x v="2"/>
    <x v="16"/>
  </r>
  <r>
    <s v="PRESUNTA"/>
    <n v="20609630168"/>
    <s v="GC Business School S.A.C."/>
    <m/>
    <d v="2025-11-29T00:00:00"/>
    <n v="173.35000000000002"/>
    <x v="2"/>
    <x v="16"/>
  </r>
  <r>
    <s v="PRESUNTA"/>
    <n v="20609630168"/>
    <s v="GC Business School S.A.C."/>
    <m/>
    <d v="2025-11-29T00:00:00"/>
    <n v="179.85"/>
    <x v="2"/>
    <x v="16"/>
  </r>
  <r>
    <s v="FLUJO"/>
    <n v="20610901221"/>
    <s v="ALANA GROUP S.A.C."/>
    <m/>
    <d v="2025-11-30T00:00:00"/>
    <n v="359.96999999999997"/>
    <x v="2"/>
    <x v="16"/>
  </r>
  <r>
    <s v="FLUJO"/>
    <n v="20610901221"/>
    <s v="ALANA GROUP S.A.C."/>
    <m/>
    <d v="2025-11-30T00:00:00"/>
    <n v="363.15"/>
    <x v="2"/>
    <x v="16"/>
  </r>
  <r>
    <s v="FLUJO"/>
    <n v="20197398567"/>
    <s v="ASOCIACION  DE POBLADORES DELPUEBLO  JOVEN  VIA  ALTA"/>
    <m/>
    <d v="2025-12-01T00:00:00"/>
    <n v="811.79"/>
    <x v="2"/>
    <x v="17"/>
  </r>
  <r>
    <s v="FLUJO"/>
    <n v="20506471291"/>
    <s v="EMPRESA DE SERVICIOS GENERALES VENTURA SRL"/>
    <m/>
    <d v="2025-12-01T00:00:00"/>
    <n v="200.39"/>
    <x v="2"/>
    <x v="17"/>
  </r>
  <r>
    <s v="FLUJO"/>
    <n v="20512497633"/>
    <s v="TRANSPORTES AGUERO EIRL"/>
    <m/>
    <d v="2025-12-01T00:00:00"/>
    <n v="130.66"/>
    <x v="2"/>
    <x v="17"/>
  </r>
  <r>
    <s v="FLUJO"/>
    <n v="20537886294"/>
    <s v="GUSTOS MARY SAC"/>
    <m/>
    <d v="2025-12-01T00:00:00"/>
    <n v="522.65"/>
    <x v="2"/>
    <x v="17"/>
  </r>
  <r>
    <s v="FLUJO"/>
    <n v="20606116692"/>
    <s v="ARPAY PERÃš S.A.C."/>
    <m/>
    <d v="2025-12-01T00:00:00"/>
    <n v="130.66"/>
    <x v="2"/>
    <x v="17"/>
  </r>
  <r>
    <s v="FLUJO"/>
    <n v="20608390422"/>
    <s v="CONSTRUCCIONES D Y OR SAC"/>
    <m/>
    <d v="2025-12-01T00:00:00"/>
    <n v="562.31999999999994"/>
    <x v="2"/>
    <x v="17"/>
  </r>
  <r>
    <s v="FLUJO"/>
    <n v="20608576445"/>
    <s v="INVERSIONES YOSCARS E.I.R.L."/>
    <m/>
    <d v="2025-12-01T00:00:00"/>
    <n v="522.65"/>
    <x v="2"/>
    <x v="17"/>
  </r>
  <r>
    <s v="FLUJO"/>
    <n v="20609759934"/>
    <s v="METAL MECANICA PORRAS CAMACHO SAC"/>
    <m/>
    <d v="2025-12-01T00:00:00"/>
    <n v="338.8"/>
    <x v="2"/>
    <x v="17"/>
  </r>
  <r>
    <s v="FLUJO"/>
    <n v="20610620753"/>
    <s v="CORPORACION REYPACK SOCIEDAD ANONIMA CERRADA"/>
    <m/>
    <d v="2025-12-01T00:00:00"/>
    <n v="87.11"/>
    <x v="2"/>
    <x v="17"/>
  </r>
  <r>
    <s v="FLUJO"/>
    <n v="20506471291"/>
    <s v="EMPRESA DE SERVICIOS GENERALES VENTURA SRL"/>
    <m/>
    <d v="2025-12-01T00:00:00"/>
    <n v="202.17000000000002"/>
    <x v="2"/>
    <x v="17"/>
  </r>
  <r>
    <s v="FLUJO"/>
    <n v="20512497633"/>
    <s v="TRANSPORTES AGUERO EIRL"/>
    <m/>
    <d v="2025-12-01T00:00:00"/>
    <n v="131.82"/>
    <x v="2"/>
    <x v="17"/>
  </r>
  <r>
    <s v="FLUJO"/>
    <n v="20606116692"/>
    <s v="ARPAY PERÃš S.A.C."/>
    <m/>
    <d v="2025-12-01T00:00:00"/>
    <n v="131.82"/>
    <x v="2"/>
    <x v="17"/>
  </r>
  <r>
    <s v="FLUJO"/>
    <n v="20608390422"/>
    <s v="CONSTRUCCIONES D Y OR SAC"/>
    <m/>
    <d v="2025-12-01T00:00:00"/>
    <n v="572.56999999999994"/>
    <x v="2"/>
    <x v="17"/>
  </r>
  <r>
    <s v="FLUJO"/>
    <n v="20610620753"/>
    <s v="CORPORACION REYPACK SOCIEDAD ANONIMA CERRADA"/>
    <m/>
    <d v="2025-12-01T00:00:00"/>
    <n v="123.03999999999999"/>
    <x v="2"/>
    <x v="17"/>
  </r>
  <r>
    <s v="FLUJO"/>
    <n v="20506471291"/>
    <s v="EMPRESA DE SERVICIOS GENERALES VENTURA SRL"/>
    <m/>
    <d v="2025-12-01T00:00:00"/>
    <n v="203.94"/>
    <x v="2"/>
    <x v="17"/>
  </r>
  <r>
    <s v="FLUJO"/>
    <n v="20512497633"/>
    <s v="TRANSPORTES AGUERO EIRL"/>
    <m/>
    <d v="2025-12-01T00:00:00"/>
    <n v="132.97999999999999"/>
    <x v="2"/>
    <x v="17"/>
  </r>
  <r>
    <s v="FLUJO"/>
    <n v="20506471291"/>
    <s v="EMPRESA DE SERVICIOS GENERALES VENTURA SRL"/>
    <m/>
    <d v="2025-12-01T00:00:00"/>
    <n v="205.71"/>
    <x v="2"/>
    <x v="17"/>
  </r>
  <r>
    <s v="FLUJO"/>
    <n v="20512497633"/>
    <s v="TRANSPORTES AGUERO EIRL"/>
    <m/>
    <d v="2025-12-01T00:00:00"/>
    <n v="134.13"/>
    <x v="2"/>
    <x v="17"/>
  </r>
  <r>
    <s v="FLUJO"/>
    <n v="20608390422"/>
    <s v="CONSTRUCCIONES D Y OR SAC"/>
    <m/>
    <d v="2025-12-01T00:00:00"/>
    <n v="577.25"/>
    <x v="2"/>
    <x v="17"/>
  </r>
  <r>
    <s v="FLUJO"/>
    <n v="20506471291"/>
    <s v="EMPRESA DE SERVICIOS GENERALES VENTURA SRL"/>
    <m/>
    <d v="2025-12-01T00:00:00"/>
    <n v="207.48"/>
    <x v="2"/>
    <x v="17"/>
  </r>
  <r>
    <s v="FLUJO"/>
    <n v="10079693630"/>
    <s v="TERLINDA DEL ROCIO LUNA VICTORIA RIVERA"/>
    <m/>
    <d v="2025-12-01T00:00:00"/>
    <n v="130.66"/>
    <x v="2"/>
    <x v="17"/>
  </r>
  <r>
    <s v="FLUJO"/>
    <n v="20491202816"/>
    <s v="INVERSIONES REPSA E.I.R.L."/>
    <m/>
    <d v="2025-12-01T00:00:00"/>
    <n v="346.90000000000003"/>
    <x v="2"/>
    <x v="17"/>
  </r>
  <r>
    <s v="FLUJO"/>
    <n v="20518349253"/>
    <s v="HYDROMATIC PERU SAC"/>
    <m/>
    <d v="2025-12-01T00:00:00"/>
    <n v="130.66"/>
    <x v="2"/>
    <x v="17"/>
  </r>
  <r>
    <s v="FLUJO"/>
    <n v="20546104673"/>
    <s v="JSA DEL PERU SAC"/>
    <m/>
    <d v="2025-12-01T00:00:00"/>
    <n v="231.27"/>
    <x v="2"/>
    <x v="17"/>
  </r>
  <r>
    <s v="FLUJO"/>
    <n v="20602467733"/>
    <s v="POLLERIA BROSTERIA MR COJO SAC"/>
    <m/>
    <d v="2025-12-01T00:00:00"/>
    <n v="143.22"/>
    <x v="2"/>
    <x v="17"/>
  </r>
  <r>
    <s v="FLUJO"/>
    <n v="20610751661"/>
    <s v="STETIC SMART E.I.R.L."/>
    <m/>
    <d v="2025-12-01T00:00:00"/>
    <n v="300.65000000000003"/>
    <x v="2"/>
    <x v="17"/>
  </r>
  <r>
    <s v="FLUJO"/>
    <n v="20612577421"/>
    <s v="GZA PROVEEDORES PERU SAC"/>
    <m/>
    <d v="2025-12-01T00:00:00"/>
    <n v="391.99"/>
    <x v="2"/>
    <x v="17"/>
  </r>
  <r>
    <s v="FLUJO"/>
    <n v="20555197226"/>
    <s v="QS REFRIGERACION Y PROYECTOS SAC"/>
    <m/>
    <d v="2025-12-01T00:00:00"/>
    <n v="233.31"/>
    <x v="2"/>
    <x v="17"/>
  </r>
  <r>
    <s v="FLUJO"/>
    <n v="20612577421"/>
    <s v="GZA PROVEEDORES PERU SAC"/>
    <m/>
    <d v="2025-12-01T00:00:00"/>
    <n v="263.64"/>
    <x v="2"/>
    <x v="17"/>
  </r>
  <r>
    <s v="FLUJO"/>
    <n v="20555197226"/>
    <s v="QS REFRIGERACION Y PROYECTOS SAC"/>
    <m/>
    <d v="2025-12-01T00:00:00"/>
    <n v="235.36"/>
    <x v="2"/>
    <x v="17"/>
  </r>
  <r>
    <s v="FLUJO"/>
    <n v="20601787815"/>
    <s v="ZAPATARIA KIARA LIZETH SAC"/>
    <m/>
    <d v="2025-12-01T00:00:00"/>
    <n v="132.97999999999999"/>
    <x v="2"/>
    <x v="17"/>
  </r>
  <r>
    <s v="FLUJO"/>
    <n v="20555197226"/>
    <s v="QS REFRIGERACION Y PROYECTOS SAC"/>
    <m/>
    <d v="2025-12-01T00:00:00"/>
    <n v="237.41000000000003"/>
    <x v="2"/>
    <x v="17"/>
  </r>
  <r>
    <s v="FLUJO"/>
    <n v="20602467733"/>
    <s v="POLLERIA BROSTERIA MR COJO SAC"/>
    <m/>
    <d v="2025-12-01T00:00:00"/>
    <n v="149.54000000000002"/>
    <x v="2"/>
    <x v="17"/>
  </r>
  <r>
    <s v="FLUJO"/>
    <n v="20602467733"/>
    <s v="POLLERIA BROSTERIA MR COJO SAC"/>
    <m/>
    <d v="2025-12-01T00:00:00"/>
    <n v="164.45999999999998"/>
    <x v="2"/>
    <x v="17"/>
  </r>
  <r>
    <s v="REAL TOTAL"/>
    <n v="20509793779"/>
    <s v="EUROCLIDON DEL NORTE S.A.C."/>
    <m/>
    <d v="2025-12-01T00:00:00"/>
    <n v="250.83"/>
    <x v="2"/>
    <x v="17"/>
  </r>
  <r>
    <s v="REAL TOTAL"/>
    <n v="20509793779"/>
    <s v="EUROCLIDON DEL NORTE S.A.C."/>
    <m/>
    <d v="2025-12-01T00:00:00"/>
    <n v="115.54"/>
    <x v="2"/>
    <x v="17"/>
  </r>
  <r>
    <s v="REAL TOTAL"/>
    <n v="20509793779"/>
    <s v="EUROCLIDON DEL NORTE S.A.C."/>
    <m/>
    <d v="2025-12-01T00:00:00"/>
    <n v="298.72000000000003"/>
    <x v="2"/>
    <x v="17"/>
  </r>
  <r>
    <s v="REAL TOTAL"/>
    <n v="20509793779"/>
    <s v="EUROCLIDON DEL NORTE S.A.C."/>
    <m/>
    <d v="2025-12-01T00:00:00"/>
    <n v="324.85000000000002"/>
    <x v="2"/>
    <x v="17"/>
  </r>
  <r>
    <s v="REAL TOTAL"/>
    <n v="20122895883"/>
    <s v="INDUSTRIAS WINDSOR SAC"/>
    <m/>
    <d v="2025-12-01T00:00:00"/>
    <n v="439.25"/>
    <x v="2"/>
    <x v="17"/>
  </r>
  <r>
    <s v="REAL TOTAL"/>
    <n v="20603338481"/>
    <s v="JNAVARRO INSTALACIONES E INGENIERIA SAC"/>
    <m/>
    <d v="2025-12-01T00:00:00"/>
    <n v="203.93"/>
    <x v="2"/>
    <x v="17"/>
  </r>
  <r>
    <s v="REAL TOTAL"/>
    <n v="20603338481"/>
    <s v="JNAVARRO INSTALACIONES E INGENIERIA SAC"/>
    <m/>
    <d v="2025-12-01T00:00:00"/>
    <n v="205.69"/>
    <x v="2"/>
    <x v="17"/>
  </r>
  <r>
    <s v="REAL TOTAL"/>
    <n v="20603338481"/>
    <s v="JNAVARRO INSTALACIONES E INGENIERIA SAC"/>
    <m/>
    <d v="2025-12-01T00:00:00"/>
    <n v="207.44"/>
    <x v="2"/>
    <x v="17"/>
  </r>
  <r>
    <s v="FLUJO"/>
    <n v="10070860665"/>
    <s v="QUESADA KATZUREN WALTER JESUS"/>
    <m/>
    <d v="2025-12-02T00:00:00"/>
    <n v="130.66"/>
    <x v="2"/>
    <x v="18"/>
  </r>
  <r>
    <s v="FLUJO"/>
    <n v="10417744008"/>
    <s v="MURILLO BRICEÃ‘O JULIO CESAR"/>
    <m/>
    <d v="2025-12-02T00:00:00"/>
    <n v="130.66"/>
    <x v="2"/>
    <x v="18"/>
  </r>
  <r>
    <s v="FLUJO"/>
    <n v="20493594622"/>
    <s v="OPTICA VALERIA  EIRL"/>
    <m/>
    <d v="2025-12-02T00:00:00"/>
    <n v="130.66"/>
    <x v="2"/>
    <x v="18"/>
  </r>
  <r>
    <s v="FLUJO"/>
    <n v="20600734751"/>
    <s v="CORPORACION BRITAKY SAC"/>
    <m/>
    <d v="2025-12-02T00:00:00"/>
    <n v="803.67"/>
    <x v="2"/>
    <x v="18"/>
  </r>
  <r>
    <s v="FLUJO"/>
    <n v="20607679551"/>
    <s v="CONSTRUCTORA Y SERVICIOS GENERALES LEMAR E.I.R.L."/>
    <m/>
    <d v="2025-12-02T00:00:00"/>
    <n v="130.66"/>
    <x v="2"/>
    <x v="18"/>
  </r>
  <r>
    <s v="FLUJO"/>
    <n v="20610390863"/>
    <s v="C Y B LOGINTEG S.A.C."/>
    <m/>
    <d v="2025-12-02T00:00:00"/>
    <n v="138.76"/>
    <x v="2"/>
    <x v="18"/>
  </r>
  <r>
    <s v="FLUJO"/>
    <n v="20611870826"/>
    <s v="INGENIEROS G Y CENTTI S.A.C."/>
    <m/>
    <d v="2025-12-02T00:00:00"/>
    <n v="130.66"/>
    <x v="2"/>
    <x v="18"/>
  </r>
  <r>
    <s v="FLUJO"/>
    <n v="20613436163"/>
    <s v="SATUS EIRL."/>
    <m/>
    <d v="2025-12-02T00:00:00"/>
    <n v="451.43"/>
    <x v="2"/>
    <x v="18"/>
  </r>
  <r>
    <s v="FLUJO"/>
    <n v="10070860665"/>
    <s v="QUESADA KATZUREN WALTER JESUS"/>
    <m/>
    <d v="2025-12-02T00:00:00"/>
    <n v="131.82"/>
    <x v="2"/>
    <x v="18"/>
  </r>
  <r>
    <s v="FLUJO"/>
    <n v="10412188379"/>
    <s v="ESCALANTE ARANDA JEYSON JAVIER"/>
    <m/>
    <d v="2025-12-02T00:00:00"/>
    <n v="641.6099999999999"/>
    <x v="2"/>
    <x v="18"/>
  </r>
  <r>
    <s v="FLUJO"/>
    <n v="10417744008"/>
    <s v="MURILLO BRICEÃ‘O JULIO CESAR"/>
    <m/>
    <d v="2025-12-02T00:00:00"/>
    <n v="131.82"/>
    <x v="2"/>
    <x v="18"/>
  </r>
  <r>
    <s v="FLUJO"/>
    <n v="20523909071"/>
    <s v="COMERCIALIZADORA TONY PIG EIRL"/>
    <m/>
    <d v="2025-12-02T00:00:00"/>
    <n v="131.82"/>
    <x v="2"/>
    <x v="18"/>
  </r>
  <r>
    <s v="FLUJO"/>
    <n v="20607679551"/>
    <s v="CONSTRUCTORA Y SERVICIOS GENERALES LEMAR E.I.R.L."/>
    <m/>
    <d v="2025-12-02T00:00:00"/>
    <n v="131.82"/>
    <x v="2"/>
    <x v="18"/>
  </r>
  <r>
    <s v="FLUJO"/>
    <n v="20610390863"/>
    <s v="C Y B LOGINTEG S.A.C."/>
    <m/>
    <d v="2025-12-02T00:00:00"/>
    <n v="139.99"/>
    <x v="2"/>
    <x v="18"/>
  </r>
  <r>
    <s v="FLUJO"/>
    <n v="10070860665"/>
    <s v="QUESADA KATZUREN WALTER JESUS"/>
    <m/>
    <d v="2025-12-02T00:00:00"/>
    <n v="132.97999999999999"/>
    <x v="2"/>
    <x v="18"/>
  </r>
  <r>
    <s v="FLUJO"/>
    <n v="10459678218"/>
    <s v="HUILLCA UMASI KARYN MARIBEL"/>
    <m/>
    <d v="2025-12-02T00:00:00"/>
    <n v="232.5"/>
    <x v="2"/>
    <x v="18"/>
  </r>
  <r>
    <s v="FLUJO"/>
    <n v="20523909071"/>
    <s v="COMERCIALIZADORA TONY PIG EIRL"/>
    <m/>
    <d v="2025-12-02T00:00:00"/>
    <n v="132.97999999999999"/>
    <x v="2"/>
    <x v="18"/>
  </r>
  <r>
    <s v="FLUJO"/>
    <n v="20607679551"/>
    <s v="CONSTRUCTORA Y SERVICIOS GENERALES LEMAR E.I.R.L."/>
    <m/>
    <d v="2025-12-02T00:00:00"/>
    <n v="132.97999999999999"/>
    <x v="2"/>
    <x v="18"/>
  </r>
  <r>
    <s v="FLUJO"/>
    <n v="10736183191"/>
    <s v="VARGAS MEDINA LUIS FERNANDO"/>
    <m/>
    <d v="2025-12-02T00:00:00"/>
    <n v="135.41999999999999"/>
    <x v="2"/>
    <x v="18"/>
  </r>
  <r>
    <s v="FLUJO"/>
    <n v="20603570503"/>
    <s v="OYOLA Y ASOCIADOS SAC"/>
    <m/>
    <d v="2025-12-02T00:00:00"/>
    <n v="368.73"/>
    <x v="2"/>
    <x v="18"/>
  </r>
  <r>
    <s v="PRESUNTA"/>
    <n v="10082604419"/>
    <s v="NOA ULARTE REYNA SOLEDAD"/>
    <m/>
    <d v="2025-12-02T00:00:00"/>
    <n v="1042.01"/>
    <x v="2"/>
    <x v="18"/>
  </r>
  <r>
    <s v="PRESUNTA"/>
    <n v="20601791570"/>
    <s v="CERVEZAS ARTESANALES PERU SAC"/>
    <m/>
    <d v="2025-12-02T00:00:00"/>
    <n v="1318.2399999999998"/>
    <x v="2"/>
    <x v="18"/>
  </r>
  <r>
    <s v="FLUJO"/>
    <n v="20451716558"/>
    <s v="EL CAÃ‘AVERAL RECREACIONES SOCIEDAD COMERCIAL DE RESPONSABILI"/>
    <m/>
    <d v="2025-12-03T00:00:00"/>
    <n v="126.41"/>
    <x v="2"/>
    <x v="19"/>
  </r>
  <r>
    <s v="FLUJO"/>
    <n v="20522409724"/>
    <s v="TRANSJUNIN SRL"/>
    <m/>
    <d v="2025-12-03T00:00:00"/>
    <n v="130.66"/>
    <x v="2"/>
    <x v="19"/>
  </r>
  <r>
    <s v="FLUJO"/>
    <n v="20561166723"/>
    <s v="CORPORACION E INVERSIONES MY TRIUNFO EIRL"/>
    <m/>
    <d v="2025-12-03T00:00:00"/>
    <n v="511.46999999999997"/>
    <x v="2"/>
    <x v="19"/>
  </r>
  <r>
    <s v="FLUJO"/>
    <n v="20600510330"/>
    <s v="CORPORACION CLEANWORK EIRL"/>
    <m/>
    <d v="2025-12-03T00:00:00"/>
    <n v="130.66"/>
    <x v="2"/>
    <x v="19"/>
  </r>
  <r>
    <s v="FLUJO"/>
    <n v="20601662087"/>
    <s v="MATATA FOOD CENTER E.I.R.L"/>
    <m/>
    <d v="2025-12-03T00:00:00"/>
    <n v="130.66"/>
    <x v="2"/>
    <x v="19"/>
  </r>
  <r>
    <s v="FLUJO"/>
    <n v="20602573363"/>
    <s v="GRUPO EDUCATIVO INIYKUSIRIY SAC"/>
    <m/>
    <d v="2025-12-03T00:00:00"/>
    <n v="330.26"/>
    <x v="2"/>
    <x v="19"/>
  </r>
  <r>
    <s v="FLUJO"/>
    <n v="20604501114"/>
    <s v="GRUPO EMPRESARIAL C &amp; S S.A.C."/>
    <m/>
    <d v="2025-12-03T00:00:00"/>
    <n v="462.53000000000003"/>
    <x v="2"/>
    <x v="19"/>
  </r>
  <r>
    <s v="FLUJO"/>
    <n v="20608138839"/>
    <s v="CONSTRUCTORA BERNILLA E.I.R.L."/>
    <m/>
    <d v="2025-12-03T00:00:00"/>
    <n v="130.66"/>
    <x v="2"/>
    <x v="19"/>
  </r>
  <r>
    <s v="FLUJO"/>
    <n v="20609079046"/>
    <s v="VIRINGOS RESTOBAR S.A.C."/>
    <m/>
    <d v="2025-12-03T00:00:00"/>
    <n v="243.45999999999998"/>
    <x v="2"/>
    <x v="19"/>
  </r>
  <r>
    <s v="FLUJO"/>
    <n v="20611131985"/>
    <s v="DIOS ES MI PASTOR PLANTA DE BENEFICIO LOS PAUCAR E.I.R.L."/>
    <m/>
    <d v="2025-12-03T00:00:00"/>
    <n v="326.77999999999997"/>
    <x v="2"/>
    <x v="19"/>
  </r>
  <r>
    <s v="FLUJO"/>
    <n v="20451716558"/>
    <s v="EL CAÃ‘AVERAL RECREACIONES SOCIEDAD COMERCIAL DE RESPONSABILI"/>
    <m/>
    <d v="2025-12-03T00:00:00"/>
    <n v="127.66"/>
    <x v="2"/>
    <x v="19"/>
  </r>
  <r>
    <s v="FLUJO"/>
    <n v="20522409724"/>
    <s v="TRANSJUNIN SRL"/>
    <m/>
    <d v="2025-12-03T00:00:00"/>
    <n v="131.94999999999999"/>
    <x v="2"/>
    <x v="19"/>
  </r>
  <r>
    <s v="FLUJO"/>
    <n v="20561166723"/>
    <s v="CORPORACION E INVERSIONES MY TRIUNFO EIRL"/>
    <m/>
    <d v="2025-12-03T00:00:00"/>
    <n v="541.9"/>
    <x v="2"/>
    <x v="19"/>
  </r>
  <r>
    <s v="FLUJO"/>
    <n v="20601662087"/>
    <s v="MATATA FOOD CENTER E.I.R.L"/>
    <m/>
    <d v="2025-12-03T00:00:00"/>
    <n v="131.94999999999999"/>
    <x v="2"/>
    <x v="19"/>
  </r>
  <r>
    <s v="FLUJO"/>
    <n v="20602573363"/>
    <s v="GRUPO EDUCATIVO INIYKUSIRIY SAC"/>
    <m/>
    <d v="2025-12-03T00:00:00"/>
    <n v="333.5"/>
    <x v="2"/>
    <x v="19"/>
  </r>
  <r>
    <s v="FLUJO"/>
    <n v="20608138839"/>
    <s v="CONSTRUCTORA BERNILLA E.I.R.L."/>
    <m/>
    <d v="2025-12-03T00:00:00"/>
    <n v="131.94999999999999"/>
    <x v="2"/>
    <x v="19"/>
  </r>
  <r>
    <s v="FLUJO"/>
    <n v="20609079046"/>
    <s v="VIRINGOS RESTOBAR S.A.C."/>
    <m/>
    <d v="2025-12-03T00:00:00"/>
    <n v="261.57"/>
    <x v="2"/>
    <x v="19"/>
  </r>
  <r>
    <s v="FLUJO"/>
    <n v="20611870826"/>
    <s v="INGENIEROS G Y CENTTI S.A.C."/>
    <m/>
    <d v="2025-12-03T00:00:00"/>
    <n v="131.94999999999999"/>
    <x v="2"/>
    <x v="19"/>
  </r>
  <r>
    <s v="FLUJO"/>
    <n v="20451716558"/>
    <s v="EL CAÃ‘AVERAL RECREACIONES SOCIEDAD COMERCIAL DE RESPONSABILI"/>
    <m/>
    <d v="2025-12-03T00:00:00"/>
    <n v="128.65"/>
    <x v="2"/>
    <x v="19"/>
  </r>
  <r>
    <s v="FLUJO"/>
    <n v="20561166723"/>
    <s v="CORPORACION E INVERSIONES MY TRIUNFO EIRL"/>
    <m/>
    <d v="2025-12-03T00:00:00"/>
    <n v="555.63"/>
    <x v="2"/>
    <x v="19"/>
  </r>
  <r>
    <s v="FLUJO"/>
    <n v="20609079046"/>
    <s v="VIRINGOS RESTOBAR S.A.C."/>
    <m/>
    <d v="2025-12-03T00:00:00"/>
    <n v="247.13"/>
    <x v="2"/>
    <x v="19"/>
  </r>
  <r>
    <s v="FLUJO"/>
    <n v="20451716558"/>
    <s v="EL CAÃ‘AVERAL RECREACIONES SOCIEDAD COMERCIAL DE RESPONSABILI"/>
    <m/>
    <d v="2025-12-03T00:00:00"/>
    <n v="129.88999999999999"/>
    <x v="2"/>
    <x v="19"/>
  </r>
  <r>
    <s v="FLUJO"/>
    <n v="20561166723"/>
    <s v="CORPORACION E INVERSIONES MY TRIUNFO EIRL"/>
    <m/>
    <d v="2025-12-03T00:00:00"/>
    <n v="617.62"/>
    <x v="2"/>
    <x v="19"/>
  </r>
  <r>
    <s v="FLUJO"/>
    <n v="20602573363"/>
    <s v="GRUPO EDUCATIVO INIYKUSIRIY SAC"/>
    <m/>
    <d v="2025-12-03T00:00:00"/>
    <n v="339.34"/>
    <x v="2"/>
    <x v="19"/>
  </r>
  <r>
    <s v="FLUJO"/>
    <n v="20609079046"/>
    <s v="VIRINGOS RESTOBAR S.A.C."/>
    <m/>
    <d v="2025-12-03T00:00:00"/>
    <n v="249.51"/>
    <x v="2"/>
    <x v="19"/>
  </r>
  <r>
    <s v="FLUJO"/>
    <n v="20451716558"/>
    <s v="EL CAÃ‘AVERAL RECREACIONES SOCIEDAD COMERCIAL DE RESPONSABILI"/>
    <m/>
    <d v="2025-12-03T00:00:00"/>
    <n v="131.01"/>
    <x v="2"/>
    <x v="19"/>
  </r>
  <r>
    <s v="FLUJO"/>
    <n v="20561166723"/>
    <s v="CORPORACION E INVERSIONES MY TRIUNFO EIRL"/>
    <m/>
    <d v="2025-12-03T00:00:00"/>
    <n v="783.8900000000001"/>
    <x v="2"/>
    <x v="19"/>
  </r>
  <r>
    <s v="FLUJO"/>
    <n v="20602573363"/>
    <s v="GRUPO EDUCATIVO INIYKUSIRIY SAC"/>
    <m/>
    <d v="2025-12-03T00:00:00"/>
    <n v="342.26"/>
    <x v="2"/>
    <x v="19"/>
  </r>
  <r>
    <s v="FLUJO"/>
    <n v="20451716558"/>
    <s v="EL CAÃ‘AVERAL RECREACIONES SOCIEDAD COMERCIAL DE RESPONSABILI"/>
    <m/>
    <d v="2025-12-03T00:00:00"/>
    <n v="132.13"/>
    <x v="2"/>
    <x v="19"/>
  </r>
  <r>
    <s v="FLUJO"/>
    <n v="20561166723"/>
    <s v="CORPORACION E INVERSIONES MY TRIUNFO EIRL"/>
    <m/>
    <d v="2025-12-03T00:00:00"/>
    <n v="625.83999999999992"/>
    <x v="2"/>
    <x v="19"/>
  </r>
  <r>
    <s v="FLUJO"/>
    <n v="20602573363"/>
    <s v="GRUPO EDUCATIVO INIYKUSIRIY SAC"/>
    <m/>
    <d v="2025-12-03T00:00:00"/>
    <n v="345.19"/>
    <x v="2"/>
    <x v="19"/>
  </r>
  <r>
    <s v="PRESUNTA"/>
    <n v="20601333342"/>
    <s v="J &amp; S AUTOMOTRIZ ASOCIADOS E.I.R.L."/>
    <m/>
    <d v="2025-12-03T00:00:00"/>
    <n v="171.48000000000002"/>
    <x v="2"/>
    <x v="19"/>
  </r>
  <r>
    <s v="PRESUNTA"/>
    <n v="20604001626"/>
    <s v="STRUCTURAL SMART EQUIPAMENT RETAIL SAC"/>
    <m/>
    <d v="2025-12-03T00:00:00"/>
    <n v="175.15"/>
    <x v="2"/>
    <x v="19"/>
  </r>
  <r>
    <s v="PRESUNTA"/>
    <n v="20611590149"/>
    <s v="ARESTAMINA CORPORATION S.A.C."/>
    <m/>
    <d v="2025-12-05T00:00:00"/>
    <n v="65.400000000000006"/>
    <x v="2"/>
    <x v="22"/>
  </r>
  <r>
    <s v="PRESUNTA"/>
    <n v="20603035772"/>
    <s v="M Y G  SPAZIO S.A.C"/>
    <m/>
    <d v="2025-12-05T00:00:00"/>
    <n v="305.70999999999998"/>
    <x v="2"/>
    <x v="22"/>
  </r>
  <r>
    <s v="PRESUNTA"/>
    <n v="20606643978"/>
    <s v="MARKET CHINA SAC"/>
    <m/>
    <d v="2025-12-08T00:00:00"/>
    <n v="130.92000000000002"/>
    <x v="2"/>
    <x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4">
  <r>
    <x v="0"/>
    <s v="CORPORACION PLAST PERU E.I.R.L."/>
    <n v="20610957731"/>
    <s v="PAGO"/>
    <d v="2025-09-09T00:00:00"/>
    <n v="66.099999999999994"/>
    <x v="0"/>
    <x v="0"/>
  </r>
  <r>
    <x v="0"/>
    <s v="CLINICA INTEGRAL AVANZADA DEL TRATAMIENTO DE LAS OBESIDADES S.A.C."/>
    <n v="20612796182"/>
    <s v="PAGO"/>
    <d v="2025-09-09T00:00:00"/>
    <n v="164.65"/>
    <x v="0"/>
    <x v="0"/>
  </r>
  <r>
    <x v="0"/>
    <s v="DETECTIVES GIANDRO E.I.R.L."/>
    <n v="20613085492"/>
    <s v="PAGO"/>
    <d v="2025-09-09T00:00:00"/>
    <n v="66.099999999999994"/>
    <x v="0"/>
    <x v="0"/>
  </r>
  <r>
    <x v="0"/>
    <s v="ESPERANZA PALACIOS E.I.R.L."/>
    <n v="20605895159"/>
    <s v="PAGO"/>
    <d v="2025-09-10T00:00:00"/>
    <n v="66.099999999999994"/>
    <x v="0"/>
    <x v="1"/>
  </r>
  <r>
    <x v="0"/>
    <s v="CH &amp; G ASOCIADOS ASESORAMIENTO CONTABLE E.I.R.L."/>
    <n v="20607772291"/>
    <s v="PAGO"/>
    <d v="2025-09-10T00:00:00"/>
    <n v="66.099999999999994"/>
    <x v="0"/>
    <x v="1"/>
  </r>
  <r>
    <x v="0"/>
    <s v="PHVA PERU S.A.C."/>
    <n v="20551404995"/>
    <s v="PAGO"/>
    <d v="2025-09-11T00:00:00"/>
    <n v="66.099999999999994"/>
    <x v="0"/>
    <x v="2"/>
  </r>
  <r>
    <x v="0"/>
    <s v="CALETA DOLSA SOCIEDAD ANONIMA CERRADA - CALETA DOLSA S.A.C."/>
    <n v="20603257058"/>
    <s v="PAGO"/>
    <d v="2025-09-11T00:00:00"/>
    <n v="690.1"/>
    <x v="0"/>
    <x v="2"/>
  </r>
  <r>
    <x v="0"/>
    <s v="CORPORACION R TOMAS E.I.R.L."/>
    <n v="20607058831"/>
    <s v="PAGO"/>
    <d v="2025-09-11T00:00:00"/>
    <n v="66.099999999999994"/>
    <x v="0"/>
    <x v="2"/>
  </r>
  <r>
    <x v="0"/>
    <s v="JAVAL INGENIEROS CONSTRUCTORES S.A.C."/>
    <n v="20608491369"/>
    <s v="PAGO"/>
    <d v="2025-09-11T00:00:00"/>
    <n v="66.099999999999994"/>
    <x v="0"/>
    <x v="2"/>
  </r>
  <r>
    <x v="0"/>
    <s v="HIELO Y CONGELADOS PARACHIQUE SOCIEDAD ANONIMA CERRADA"/>
    <n v="20607031682"/>
    <s v="PAGO"/>
    <d v="2025-09-13T00:00:00"/>
    <n v="68.23"/>
    <x v="0"/>
    <x v="3"/>
  </r>
  <r>
    <x v="0"/>
    <s v="GRUPO HR E INGENIEROS E.I.R.L."/>
    <n v="20609154676"/>
    <s v="PAGO"/>
    <d v="2025-09-13T00:00:00"/>
    <n v="91.88"/>
    <x v="0"/>
    <x v="3"/>
  </r>
  <r>
    <x v="0"/>
    <s v="COPARA LLANOS JANET VIOLETA"/>
    <n v="10095822245"/>
    <s v="PAGO"/>
    <d v="2025-09-15T00:00:00"/>
    <n v="459.63"/>
    <x v="0"/>
    <x v="4"/>
  </r>
  <r>
    <x v="0"/>
    <s v="CAUTIVO INMOBILIARIA &amp; CONSTRUCTORA PIURA SOCIEDAD ANONIMA CERRADA - CI &amp; CP S.A.C."/>
    <n v="20605320041"/>
    <s v="PAGO"/>
    <d v="2025-09-15T00:00:00"/>
    <n v="229.82"/>
    <x v="0"/>
    <x v="4"/>
  </r>
  <r>
    <x v="0"/>
    <s v="GRUPO CORPORATIVO CHAVEZ EMPRESA INDIVIDUAL RESPONSABILIDAD LIMITADA"/>
    <n v="20609715007"/>
    <s v="PAGO"/>
    <d v="2025-09-15T00:00:00"/>
    <n v="66.099999999999994"/>
    <x v="0"/>
    <x v="4"/>
  </r>
  <r>
    <x v="1"/>
    <s v="PRIETO INGENIEROS CONSULTORES S.A ."/>
    <n v="20108432510"/>
    <s v="PAGO"/>
    <d v="2025-09-15T00:00:00"/>
    <n v="425.77"/>
    <x v="0"/>
    <x v="4"/>
  </r>
  <r>
    <x v="1"/>
    <s v="ACADEMIA DE NATACION ANGEL ROMERO SRLTD"/>
    <n v="20111857467"/>
    <s v="PAGO"/>
    <d v="2025-09-16T00:00:00"/>
    <n v="206.25"/>
    <x v="0"/>
    <x v="5"/>
  </r>
  <r>
    <x v="1"/>
    <s v="J &amp; P CONSTRUCTORES GENERALES SAC"/>
    <n v="20494179262"/>
    <s v="PAGO"/>
    <d v="2025-09-16T00:00:00"/>
    <n v="66.099999999999994"/>
    <x v="0"/>
    <x v="5"/>
  </r>
  <r>
    <x v="1"/>
    <s v="LITOTRICIA JAVIER PRADO S.A.C."/>
    <n v="20510520212"/>
    <s v="PAGO"/>
    <d v="2025-09-16T00:00:00"/>
    <n v="167.21"/>
    <x v="0"/>
    <x v="5"/>
  </r>
  <r>
    <x v="1"/>
    <s v="ESCARCENA EVENTOS S.A.C."/>
    <n v="20549487603"/>
    <s v="PAGO"/>
    <d v="2025-09-16T00:00:00"/>
    <n v="111.93"/>
    <x v="0"/>
    <x v="5"/>
  </r>
  <r>
    <x v="0"/>
    <s v="NUÑEZ SAAVEDRA SILVESTRE"/>
    <n v="10026192400"/>
    <s v="PAGO"/>
    <d v="2025-09-17T00:00:00"/>
    <n v="66.099999999999994"/>
    <x v="0"/>
    <x v="6"/>
  </r>
  <r>
    <x v="0"/>
    <s v="RYN INNOVA S.A.C."/>
    <n v="20605590021"/>
    <s v="PAGO"/>
    <d v="2025-09-17T00:00:00"/>
    <n v="55"/>
    <x v="0"/>
    <x v="6"/>
  </r>
  <r>
    <x v="0"/>
    <s v="RR RAMIREZ S.A.C."/>
    <n v="20600054717"/>
    <s v="PAGO"/>
    <d v="2025-09-18T00:00:00"/>
    <n v="300"/>
    <x v="0"/>
    <x v="7"/>
  </r>
  <r>
    <x v="0"/>
    <s v="JAIDEC E.I.R.L."/>
    <n v="20605402314"/>
    <s v="PAGO"/>
    <d v="2025-09-18T00:00:00"/>
    <n v="130"/>
    <x v="0"/>
    <x v="7"/>
  </r>
  <r>
    <x v="0"/>
    <s v="COMERCIAL JIMENEZ J.W.J. E.I.R.L."/>
    <n v="20608587820"/>
    <s v="PAGO"/>
    <d v="2025-09-18T00:00:00"/>
    <n v="115.07"/>
    <x v="0"/>
    <x v="7"/>
  </r>
  <r>
    <x v="1"/>
    <s v="FRANSU TRADING S.A.C."/>
    <n v="20565209290"/>
    <s v="PAGO"/>
    <d v="2025-09-18T00:00:00"/>
    <n v="82"/>
    <x v="0"/>
    <x v="7"/>
  </r>
  <r>
    <x v="1"/>
    <s v="APLICANDO CONFIANZA PERU S.A.C."/>
    <n v="20611409355"/>
    <s v="PAGO"/>
    <d v="2025-09-18T00:00:00"/>
    <n v="70.599999999999994"/>
    <x v="0"/>
    <x v="7"/>
  </r>
  <r>
    <x v="0"/>
    <s v="LOPEZ DELGADO EMERSON"/>
    <n v="10097470559"/>
    <s v="PAGO"/>
    <d v="2025-09-19T00:00:00"/>
    <n v="230"/>
    <x v="0"/>
    <x v="8"/>
  </r>
  <r>
    <x v="0"/>
    <s v="ELE OPERADOR LOGISTICO EMPRESA INDIVIDUAL DE RESPONSABILIDAD LIMITADA"/>
    <n v="20498416986"/>
    <s v="PAGO"/>
    <d v="2025-09-19T00:00:00"/>
    <n v="115.5"/>
    <x v="0"/>
    <x v="8"/>
  </r>
  <r>
    <x v="0"/>
    <s v="GRUPO MATIC S.A.C."/>
    <n v="20602157327"/>
    <s v="PAGO"/>
    <d v="2025-09-19T00:00:00"/>
    <n v="385.49"/>
    <x v="0"/>
    <x v="8"/>
  </r>
  <r>
    <x v="0"/>
    <s v="SECURITY CRISS SOCIEDAD COMERCIAL DE RESPONSABILIDAD LIMITADA"/>
    <n v="20606224614"/>
    <s v="PAGO"/>
    <d v="2025-09-19T00:00:00"/>
    <n v="212.1"/>
    <x v="0"/>
    <x v="8"/>
  </r>
  <r>
    <x v="0"/>
    <s v="METIS DREG S.A.C."/>
    <n v="20607151688"/>
    <s v="PAGO"/>
    <d v="2025-09-19T00:00:00"/>
    <n v="138.09"/>
    <x v="0"/>
    <x v="8"/>
  </r>
  <r>
    <x v="0"/>
    <s v="LABORATORIO LABMIN S.A.C."/>
    <n v="20607154423"/>
    <s v="PAGO"/>
    <d v="2025-09-19T00:00:00"/>
    <n v="105.91"/>
    <x v="0"/>
    <x v="8"/>
  </r>
  <r>
    <x v="0"/>
    <s v="AGRONEGOCIOS SUSY E.I.R.L."/>
    <n v="20611118750"/>
    <s v="PAGO"/>
    <d v="2025-09-19T00:00:00"/>
    <n v="91.88"/>
    <x v="0"/>
    <x v="8"/>
  </r>
  <r>
    <x v="0"/>
    <s v="SH ODONTOZ HEALTH S.A.C."/>
    <n v="20612889989"/>
    <s v="PAGO"/>
    <d v="2025-09-19T00:00:00"/>
    <n v="66.099999999999994"/>
    <x v="0"/>
    <x v="8"/>
  </r>
  <r>
    <x v="1"/>
    <s v="PANEZ ISHIDA FAESA CONSUL Y ASES EMP SA."/>
    <n v="20101097286"/>
    <s v="PAGO"/>
    <d v="2025-09-19T00:00:00"/>
    <n v="3350"/>
    <x v="0"/>
    <x v="8"/>
  </r>
  <r>
    <x v="1"/>
    <s v="ESTRUCTURAS METALICAS MONTAJES Y SERVICIOS GENERALES E.I.R.L."/>
    <n v="20563491974"/>
    <s v="PAGO"/>
    <d v="2025-09-19T00:00:00"/>
    <n v="66.099999999999994"/>
    <x v="0"/>
    <x v="8"/>
  </r>
  <r>
    <x v="0"/>
    <s v="DE LAMA RISCO DE SANTA CRUZ MARTHA AVELINA"/>
    <n v="10079521863"/>
    <s v="PAGO"/>
    <d v="2025-09-22T00:00:00"/>
    <n v="66.099999999999994"/>
    <x v="0"/>
    <x v="9"/>
  </r>
  <r>
    <x v="0"/>
    <s v="MEDIA IMPACT PERU S.A.C."/>
    <n v="20556395820"/>
    <s v="PAGO"/>
    <d v="2025-09-22T00:00:00"/>
    <n v="557.84"/>
    <x v="0"/>
    <x v="9"/>
  </r>
  <r>
    <x v="0"/>
    <s v="CSICAP COMPANY E.I.R.L."/>
    <n v="20602926703"/>
    <s v="PAGO"/>
    <d v="2025-09-22T00:00:00"/>
    <n v="66.099999999999994"/>
    <x v="0"/>
    <x v="9"/>
  </r>
  <r>
    <x v="0"/>
    <s v="ELDA E HIJOS CONSULTORES PERU SOCIEDAD ANONIMA CERRADA - EH CONSULTORES PERU S.A.C."/>
    <n v="20603283512"/>
    <s v="PAGO"/>
    <d v="2025-09-22T00:00:00"/>
    <n v="363.37"/>
    <x v="0"/>
    <x v="9"/>
  </r>
  <r>
    <x v="1"/>
    <s v="ASOCIACION DE PROP.MERCADO MODELO SAN JU"/>
    <n v="20138529445"/>
    <s v="PAGO"/>
    <d v="2025-09-22T00:00:00"/>
    <n v="66.099999999999994"/>
    <x v="0"/>
    <x v="9"/>
  </r>
  <r>
    <x v="1"/>
    <s v="J &amp; J REPRESENTACIONES GENERALES Y TURISTICAS S.R.L."/>
    <n v="20440355707"/>
    <s v="PAGO"/>
    <d v="2025-09-22T00:00:00"/>
    <n v="66.099999999999994"/>
    <x v="0"/>
    <x v="9"/>
  </r>
  <r>
    <x v="0"/>
    <s v="INVERSIONES RAPIVENTAS S.A.C."/>
    <n v="20600907655"/>
    <s v="PAGO"/>
    <d v="2025-09-23T00:00:00"/>
    <n v="66.099999999999994"/>
    <x v="0"/>
    <x v="10"/>
  </r>
  <r>
    <x v="1"/>
    <s v="PERU TECHNOLOGY S.A."/>
    <n v="20349488958"/>
    <s v="PAGO"/>
    <d v="2025-09-23T00:00:00"/>
    <n v="102.8"/>
    <x v="0"/>
    <x v="10"/>
  </r>
  <r>
    <x v="0"/>
    <s v="INDUSTRIA FORESTAL PUMA S.A.C."/>
    <n v="20603895194"/>
    <s v="PAGO"/>
    <d v="2025-09-24T00:00:00"/>
    <n v="184.48"/>
    <x v="0"/>
    <x v="11"/>
  </r>
  <r>
    <x v="0"/>
    <s v="CHIFA POLLERIA BUFETT EXPRESS E.I.R.L."/>
    <n v="20605412450"/>
    <s v="PAGO"/>
    <d v="2025-09-24T00:00:00"/>
    <n v="126.57"/>
    <x v="0"/>
    <x v="11"/>
  </r>
  <r>
    <x v="0"/>
    <s v="OVEJA NEGRA MOTORS S.A.C."/>
    <n v="20606507870"/>
    <s v="PAGO"/>
    <d v="2025-09-24T00:00:00"/>
    <n v="66.099999999999994"/>
    <x v="0"/>
    <x v="11"/>
  </r>
  <r>
    <x v="2"/>
    <s v="GRAFITEX ISRAEL E.I.R.L."/>
    <n v="20549673491"/>
    <s v="PAGO"/>
    <d v="2025-09-24T00:00:00"/>
    <n v="61.1"/>
    <x v="0"/>
    <x v="11"/>
  </r>
  <r>
    <x v="0"/>
    <s v="ASCENSORES JY SOCIEDAD ANONIMA CERRADA - ASCENSORES JY S.A.C."/>
    <n v="20554217657"/>
    <s v="PAGO"/>
    <d v="2025-09-25T00:00:00"/>
    <n v="232.64"/>
    <x v="0"/>
    <x v="12"/>
  </r>
  <r>
    <x v="0"/>
    <s v="WISA TEC E.I.R.L."/>
    <n v="20604194271"/>
    <s v="PAGO"/>
    <d v="2025-09-25T00:00:00"/>
    <n v="66.099999999999994"/>
    <x v="0"/>
    <x v="12"/>
  </r>
  <r>
    <x v="2"/>
    <s v="A &amp; H COMPANY S.A.C."/>
    <n v="20563578824"/>
    <s v="PAGO"/>
    <d v="2025-09-25T00:00:00"/>
    <n v="66.099999999999994"/>
    <x v="0"/>
    <x v="12"/>
  </r>
  <r>
    <x v="0"/>
    <s v="CASTILLO LEON REYNALDO PASTOR"/>
    <n v="10218025451"/>
    <s v="PAGO"/>
    <d v="2025-09-26T00:00:00"/>
    <n v="66.099999999999994"/>
    <x v="0"/>
    <x v="13"/>
  </r>
  <r>
    <x v="0"/>
    <s v="HUANACO FLORES GREGORIO LUCIANO"/>
    <n v="10305645945"/>
    <s v="PAGO"/>
    <d v="2025-09-26T00:00:00"/>
    <n v="50"/>
    <x v="0"/>
    <x v="13"/>
  </r>
  <r>
    <x v="0"/>
    <s v="ESTRADA HUILLCA SAUL"/>
    <n v="10452440208"/>
    <s v="PAGO"/>
    <d v="2025-09-26T00:00:00"/>
    <n v="204.84"/>
    <x v="0"/>
    <x v="13"/>
  </r>
  <r>
    <x v="0"/>
    <s v="REFRACTARIOS SUPPLY SOCIEDAD ANONIMA CERRADA - REFSUPPLY S.A.C."/>
    <n v="20550636728"/>
    <s v="PAGO"/>
    <d v="2025-09-26T00:00:00"/>
    <n v="87.34"/>
    <x v="0"/>
    <x v="13"/>
  </r>
  <r>
    <x v="0"/>
    <s v="C3 -EXTINTORES SAC"/>
    <n v="20558317184"/>
    <s v="PAGO"/>
    <d v="2025-09-26T00:00:00"/>
    <n v="66.099999999999994"/>
    <x v="0"/>
    <x v="13"/>
  </r>
  <r>
    <x v="1"/>
    <s v="HNOS. LAY MELLY S.R.LTDA."/>
    <n v="20291847049"/>
    <s v="PAGO"/>
    <d v="2025-09-26T00:00:00"/>
    <n v="66.099999999999994"/>
    <x v="0"/>
    <x v="13"/>
  </r>
  <r>
    <x v="1"/>
    <s v="DAEWOO INTERNATIONAL CORPORATION SUCURSA L PERUANA"/>
    <n v="20329560687"/>
    <s v="PAGO"/>
    <d v="2025-09-26T00:00:00"/>
    <n v="66.099999999999994"/>
    <x v="0"/>
    <x v="13"/>
  </r>
  <r>
    <x v="1"/>
    <s v="P &amp; M FRUITS S.A.C."/>
    <n v="20609932776"/>
    <s v="PAGO"/>
    <d v="2025-09-26T00:00:00"/>
    <n v="195.85"/>
    <x v="0"/>
    <x v="13"/>
  </r>
  <r>
    <x v="2"/>
    <s v="GANADERIA Y TRANSPORTE EL BUEN PASTOR S.A.C."/>
    <n v="20571604974"/>
    <s v="PAGO"/>
    <d v="2025-09-26T00:00:00"/>
    <n v="66.099999999999994"/>
    <x v="0"/>
    <x v="13"/>
  </r>
  <r>
    <x v="0"/>
    <s v="AGRO EXPORTACION MIKAL SOCIEDAD ANONIMA CERRADA"/>
    <n v="20610185640"/>
    <s v="PAGO"/>
    <d v="2025-09-29T00:00:00"/>
    <n v="69.319999999999993"/>
    <x v="0"/>
    <x v="14"/>
  </r>
  <r>
    <x v="1"/>
    <s v="AYNE PERU TRINITARIAS.SOLID.Y DESARROLLO"/>
    <n v="20425853431"/>
    <s v="PAGO"/>
    <d v="2025-09-29T00:00:00"/>
    <n v="66.099999999999994"/>
    <x v="0"/>
    <x v="14"/>
  </r>
  <r>
    <x v="0"/>
    <s v="TRANSPORTES HERRERA EIRL"/>
    <n v="20495669999"/>
    <s v="PAGO"/>
    <d v="2025-09-30T00:00:00"/>
    <n v="69.319999999999993"/>
    <x v="0"/>
    <x v="15"/>
  </r>
  <r>
    <x v="0"/>
    <s v="SEXAVE-PERU E.I.R.L."/>
    <n v="20553517835"/>
    <s v="PAGO"/>
    <d v="2025-09-30T00:00:00"/>
    <n v="575.69000000000005"/>
    <x v="0"/>
    <x v="15"/>
  </r>
  <r>
    <x v="0"/>
    <s v="LUGUAL S.A.C."/>
    <n v="20602820271"/>
    <s v="PAGO"/>
    <d v="2025-09-30T00:00:00"/>
    <n v="66.099999999999994"/>
    <x v="0"/>
    <x v="15"/>
  </r>
  <r>
    <x v="1"/>
    <s v="NM TELECOM S.A.C."/>
    <n v="20551703712"/>
    <s v="PAGO"/>
    <d v="2025-09-30T00:00:00"/>
    <n v="66.099999999999994"/>
    <x v="0"/>
    <x v="15"/>
  </r>
  <r>
    <x v="0"/>
    <s v="GRUPO R E.I.R.L."/>
    <n v="20610010645"/>
    <s v="PAGO"/>
    <d v="2025-10-01T00:00:00"/>
    <n v="86.1"/>
    <x v="0"/>
    <x v="16"/>
  </r>
  <r>
    <x v="0"/>
    <s v="GARCIA GARCIA ALFONSO ENRIQUE"/>
    <n v="10011467852"/>
    <s v="PAGO"/>
    <d v="2025-10-03T00:00:00"/>
    <n v="66.099999999999994"/>
    <x v="0"/>
    <x v="17"/>
  </r>
  <r>
    <x v="0"/>
    <s v="CONVERT GROUP S.A.C. CONGROUP SAC"/>
    <n v="20512827013"/>
    <s v="PAGO"/>
    <d v="2025-10-03T00:00:00"/>
    <n v="66.099999999999994"/>
    <x v="0"/>
    <x v="17"/>
  </r>
  <r>
    <x v="0"/>
    <s v="RH SERVICIOS GENERALES EIRL"/>
    <n v="20602727816"/>
    <s v="PAGO"/>
    <d v="2025-10-03T00:00:00"/>
    <n v="66.099999999999994"/>
    <x v="0"/>
    <x v="17"/>
  </r>
  <r>
    <x v="0"/>
    <s v="ELDA E HIJOS CONSULTORES PERU SOCIEDAD ANONIMA CERRADA - EH CONSULTORES PERU S.A.C."/>
    <n v="20603283512"/>
    <s v="PAGO"/>
    <d v="2025-10-03T00:00:00"/>
    <n v="373.38"/>
    <x v="0"/>
    <x v="17"/>
  </r>
  <r>
    <x v="0"/>
    <s v="G&amp;A TECNOLOGIAS S.A.C."/>
    <n v="20603720131"/>
    <s v="PAGO"/>
    <d v="2025-10-03T00:00:00"/>
    <n v="66.099999999999994"/>
    <x v="0"/>
    <x v="17"/>
  </r>
  <r>
    <x v="1"/>
    <s v="COMERCIAL CDC SA"/>
    <n v="20255139755"/>
    <s v="PAGO"/>
    <d v="2025-10-03T00:00:00"/>
    <n v="66.099999999999994"/>
    <x v="0"/>
    <x v="17"/>
  </r>
  <r>
    <x v="1"/>
    <s v="3D PHARMACEUTICAL SOCIEDAD ANONIMA CERRADA"/>
    <n v="20602546391"/>
    <s v="PAGO"/>
    <d v="2025-10-03T00:00:00"/>
    <n v="66.099999999999994"/>
    <x v="0"/>
    <x v="17"/>
  </r>
  <r>
    <x v="0"/>
    <s v="FLORES SORIA KARL LODBER"/>
    <n v="10471707851"/>
    <s v="PAGO"/>
    <d v="2025-10-06T00:00:00"/>
    <n v="140.36000000000001"/>
    <x v="0"/>
    <x v="18"/>
  </r>
  <r>
    <x v="0"/>
    <s v="AGEIN CONSTRUCTORES S.A.C."/>
    <n v="20555713097"/>
    <s v="PAGO"/>
    <d v="2025-10-06T00:00:00"/>
    <n v="66.099999999999994"/>
    <x v="0"/>
    <x v="18"/>
  </r>
  <r>
    <x v="0"/>
    <s v="BIENESTAR &amp; SALUD UNIVERSAL E.I.R.L."/>
    <n v="20609537486"/>
    <s v="PAGO"/>
    <d v="2025-10-06T00:00:00"/>
    <n v="70"/>
    <x v="0"/>
    <x v="18"/>
  </r>
  <r>
    <x v="3"/>
    <s v="INVERSIONES MEDICSALUD SERVICIOS MEDICOS OCUPACIONALES S.R.L."/>
    <n v="20482477179"/>
    <s v="PAGO"/>
    <d v="2025-10-06T00:00:00"/>
    <n v="66.099999999999994"/>
    <x v="0"/>
    <x v="18"/>
  </r>
  <r>
    <x v="1"/>
    <s v="CEIGNE JARDIN DE NINOS LA MERCED S.A"/>
    <n v="20421292168"/>
    <s v="PAGO"/>
    <d v="2025-10-06T00:00:00"/>
    <n v="66.099999999999994"/>
    <x v="0"/>
    <x v="18"/>
  </r>
  <r>
    <x v="1"/>
    <s v="ETNIKA'S TRAVEL I CRAFTS SOCIEDAD COMERCIAL DE RESPONSABILIDAD LIMITADA"/>
    <n v="20527749345"/>
    <s v="PAGO"/>
    <d v="2025-10-06T00:00:00"/>
    <n v="66.099999999999994"/>
    <x v="0"/>
    <x v="18"/>
  </r>
  <r>
    <x v="1"/>
    <s v="JFG CORPORATION S.A.C."/>
    <n v="20604411409"/>
    <s v="PAGO"/>
    <d v="2025-10-06T00:00:00"/>
    <n v="425.78"/>
    <x v="0"/>
    <x v="18"/>
  </r>
  <r>
    <x v="2"/>
    <s v="SALMA TELECOMUNICACIONES S.A.C."/>
    <n v="20613019295"/>
    <s v="PAGO"/>
    <d v="2025-10-06T00:00:00"/>
    <n v="282.06"/>
    <x v="0"/>
    <x v="18"/>
  </r>
  <r>
    <x v="3"/>
    <s v="INVERSIONES MEDICSALUD SERVICIOS MEDICOS OCUPACIONALES S.R.L."/>
    <n v="20482477179"/>
    <s v="PAGO"/>
    <d v="2025-10-06T00:00:00"/>
    <n v="66.099999999999994"/>
    <x v="1"/>
    <x v="18"/>
  </r>
  <r>
    <x v="1"/>
    <s v="CONCESIONARIO EN ALIMENTACION PERUANA S.A.C."/>
    <n v="20506946400"/>
    <s v="PAGO"/>
    <d v="2025-10-07T00:00:00"/>
    <n v="66.099999999999994"/>
    <x v="0"/>
    <x v="0"/>
  </r>
  <r>
    <x v="0"/>
    <s v="A Y M04 S.A.C."/>
    <n v="20613896288"/>
    <s v="PAGO"/>
    <d v="2025-10-09T00:00:00"/>
    <n v="66.099999999999994"/>
    <x v="1"/>
    <x v="2"/>
  </r>
  <r>
    <x v="3"/>
    <s v="SERVICIOS TECNICOS DE INGENIERIA INDUSTRIAL METALICA SOCIEDAD COMERCIAL DE RESPONSABILIDAD LIMITADA"/>
    <n v="20514740152"/>
    <s v="PAGO"/>
    <d v="2025-10-09T00:00:00"/>
    <n v="1227.52"/>
    <x v="1"/>
    <x v="2"/>
  </r>
  <r>
    <x v="0"/>
    <s v="ALCANTARA TINCO OTILIA"/>
    <n v="10401937094"/>
    <s v="PAGO"/>
    <d v="2025-10-10T00:00:00"/>
    <n v="313.77999999999997"/>
    <x v="1"/>
    <x v="3"/>
  </r>
  <r>
    <x v="3"/>
    <s v="LANGUAGE TRAINING CENTER PERU SA"/>
    <n v="20503986419"/>
    <s v="PAGO"/>
    <d v="2025-10-10T00:00:00"/>
    <n v="1438.42"/>
    <x v="1"/>
    <x v="3"/>
  </r>
  <r>
    <x v="3"/>
    <s v="PROYECTOS GINA Y RAUL SAC"/>
    <n v="20505144555"/>
    <s v="PAGO"/>
    <d v="2025-10-10T00:00:00"/>
    <n v="1137.33"/>
    <x v="1"/>
    <x v="3"/>
  </r>
  <r>
    <x v="3"/>
    <s v="CORPORACION ELECTRO SVM E.I.R.L."/>
    <n v="20565246144"/>
    <s v="PAGO"/>
    <d v="2025-10-10T00:00:00"/>
    <n v="139.41"/>
    <x v="1"/>
    <x v="3"/>
  </r>
  <r>
    <x v="0"/>
    <s v="YAHVE MINERIA Y CONSTRUCCION E.I.R.L."/>
    <n v="20568877099"/>
    <s v="PAGO"/>
    <d v="2025-10-11T00:00:00"/>
    <n v="66.099999999999994"/>
    <x v="1"/>
    <x v="3"/>
  </r>
  <r>
    <x v="0"/>
    <s v="DISTRIBUIDORA NIGXA S.A.C."/>
    <n v="20601372933"/>
    <s v="PAGO"/>
    <d v="2025-10-11T00:00:00"/>
    <n v="100.73"/>
    <x v="1"/>
    <x v="3"/>
  </r>
  <r>
    <x v="3"/>
    <s v="COPY FAST TECH S.A.C."/>
    <n v="20519499780"/>
    <s v="PAGO"/>
    <d v="2025-10-11T00:00:00"/>
    <n v="225"/>
    <x v="1"/>
    <x v="3"/>
  </r>
  <r>
    <x v="3"/>
    <s v="BELEN DISTRIBUCIONES EMPRESA INDIVIDUAL DE RESPONSABILIDAD LIMITADA"/>
    <n v="20527601356"/>
    <s v="PAGO"/>
    <d v="2025-10-11T00:00:00"/>
    <n v="788.66"/>
    <x v="1"/>
    <x v="3"/>
  </r>
  <r>
    <x v="1"/>
    <s v="VALERA DAZA DELFA AMALIA"/>
    <n v="10211417779"/>
    <s v="PAGO"/>
    <d v="2025-10-11T00:00:00"/>
    <n v="66.099999999999994"/>
    <x v="1"/>
    <x v="3"/>
  </r>
  <r>
    <x v="0"/>
    <s v="PERUVIAN BUSINESS CONSULTING S.A.C."/>
    <n v="20547326513"/>
    <s v="PAGO"/>
    <d v="2025-10-13T00:00:00"/>
    <n v="66.099999999999994"/>
    <x v="1"/>
    <x v="4"/>
  </r>
  <r>
    <x v="0"/>
    <s v="TRANSPORTES OMAR DAGA VALDIVIESO S.A.C."/>
    <n v="20556106496"/>
    <s v="PAGO"/>
    <d v="2025-10-13T00:00:00"/>
    <n v="72.77"/>
    <x v="1"/>
    <x v="4"/>
  </r>
  <r>
    <x v="0"/>
    <s v="CLINT PERU E.I.R.L."/>
    <n v="20605464689"/>
    <s v="PAGO"/>
    <d v="2025-10-13T00:00:00"/>
    <n v="66.099999999999994"/>
    <x v="1"/>
    <x v="4"/>
  </r>
  <r>
    <x v="0"/>
    <s v="VALLADOLID RODRIGUEZ MILAGRITOS PRISVETT"/>
    <n v="10105351173"/>
    <s v="PAGO"/>
    <d v="2025-10-14T00:00:00"/>
    <n v="76.510000000000005"/>
    <x v="1"/>
    <x v="5"/>
  </r>
  <r>
    <x v="0"/>
    <s v="SERVICIOS ONCOLOGICOS SAN ANTONIO EMPRESA INDIVIDUAL DE"/>
    <n v="20538565351"/>
    <s v="PAGO"/>
    <d v="2025-10-14T00:00:00"/>
    <n v="66.099999999999994"/>
    <x v="1"/>
    <x v="5"/>
  </r>
  <r>
    <x v="0"/>
    <s v="TUNKY SOLUCIONES AMBIENTALES S.A.C."/>
    <n v="20601459630"/>
    <s v="PAGO"/>
    <d v="2025-10-14T00:00:00"/>
    <n v="244.15"/>
    <x v="1"/>
    <x v="5"/>
  </r>
  <r>
    <x v="3"/>
    <s v="CORPORACION LASER E.I.R.L."/>
    <n v="20494424089"/>
    <s v="PAGO"/>
    <d v="2025-10-14T00:00:00"/>
    <n v="363"/>
    <x v="1"/>
    <x v="5"/>
  </r>
  <r>
    <x v="3"/>
    <s v="EL AUTENTICO SABOR TRUJILLANO S.A.C."/>
    <n v="20555887672"/>
    <s v="PAGO"/>
    <d v="2025-10-14T00:00:00"/>
    <n v="747.88"/>
    <x v="1"/>
    <x v="5"/>
  </r>
  <r>
    <x v="0"/>
    <s v="BACA GOMEZ MARIA SEGUNDA"/>
    <n v="10752224434"/>
    <s v="PAGO"/>
    <d v="2025-10-15T00:00:00"/>
    <n v="93"/>
    <x v="1"/>
    <x v="6"/>
  </r>
  <r>
    <x v="0"/>
    <s v="TACONSER E.I.R.L."/>
    <n v="20558353814"/>
    <s v="PAGO"/>
    <d v="2025-10-15T00:00:00"/>
    <n v="66.099999999999994"/>
    <x v="1"/>
    <x v="6"/>
  </r>
  <r>
    <x v="0"/>
    <s v="CONTRATISTAS Y SERVICIOS HEMA S.R.L."/>
    <n v="20601232660"/>
    <s v="PAGO"/>
    <d v="2025-10-15T00:00:00"/>
    <n v="66.099999999999994"/>
    <x v="1"/>
    <x v="6"/>
  </r>
  <r>
    <x v="0"/>
    <s v="OBRAS Y PROYECTOS J &amp; M S.A.C."/>
    <n v="20602433138"/>
    <s v="PAGO"/>
    <d v="2025-10-15T00:00:00"/>
    <n v="196"/>
    <x v="1"/>
    <x v="6"/>
  </r>
  <r>
    <x v="0"/>
    <s v="PROCESADORA TUEROS S.A.C."/>
    <n v="20604512442"/>
    <s v="PAGO"/>
    <d v="2025-10-15T00:00:00"/>
    <n v="66.099999999999994"/>
    <x v="1"/>
    <x v="6"/>
  </r>
  <r>
    <x v="0"/>
    <s v="MG INDUSTRIA Y COMERCIO SAC"/>
    <n v="20607855294"/>
    <s v="PAGO"/>
    <d v="2025-10-15T00:00:00"/>
    <n v="69.099999999999994"/>
    <x v="1"/>
    <x v="6"/>
  </r>
  <r>
    <x v="0"/>
    <s v="AGRONEGOCIOS SOGASIM S.A.C."/>
    <n v="20608422022"/>
    <s v="PAGO"/>
    <d v="2025-10-15T00:00:00"/>
    <n v="66.099999999999994"/>
    <x v="1"/>
    <x v="6"/>
  </r>
  <r>
    <x v="0"/>
    <s v="AYLA MEDIC S.A.C."/>
    <n v="20610437916"/>
    <s v="PAGO"/>
    <d v="2025-10-15T00:00:00"/>
    <n v="101.75"/>
    <x v="1"/>
    <x v="6"/>
  </r>
  <r>
    <x v="0"/>
    <s v="CONSORCIO NUEVA JERUSALEN 24"/>
    <n v="20613086430"/>
    <s v="PAGO"/>
    <d v="2025-10-15T00:00:00"/>
    <n v="66.099999999999994"/>
    <x v="1"/>
    <x v="6"/>
  </r>
  <r>
    <x v="0"/>
    <s v="CONSORCIO HOZEGA"/>
    <n v="20613624032"/>
    <s v="PAGO"/>
    <d v="2025-10-15T00:00:00"/>
    <n v="192.31"/>
    <x v="1"/>
    <x v="6"/>
  </r>
  <r>
    <x v="3"/>
    <s v="SUDAMERIS: INGENIERIA, PROCURA, CONSTRUCCION, GERENCIA SOCIEDAD ANONIMA CERRADA"/>
    <n v="20393039737"/>
    <s v="PAGO"/>
    <d v="2025-10-15T00:00:00"/>
    <n v="390"/>
    <x v="1"/>
    <x v="6"/>
  </r>
  <r>
    <x v="3"/>
    <s v="FORESTALES DAXSA E.I.R.L."/>
    <n v="20477349243"/>
    <s v="PAGO"/>
    <d v="2025-10-15T00:00:00"/>
    <n v="1823.02"/>
    <x v="1"/>
    <x v="6"/>
  </r>
  <r>
    <x v="0"/>
    <s v="GONZALES DIAZ CAROLA BEATRIZ"/>
    <n v="10107087881"/>
    <s v="PAGO"/>
    <d v="2025-10-16T00:00:00"/>
    <n v="66.099999999999994"/>
    <x v="1"/>
    <x v="7"/>
  </r>
  <r>
    <x v="0"/>
    <s v="QUIROZ LOZA AUGUSTO SEBASTIAN"/>
    <n v="10295907024"/>
    <s v="PAGO"/>
    <d v="2025-10-16T00:00:00"/>
    <n v="50"/>
    <x v="1"/>
    <x v="7"/>
  </r>
  <r>
    <x v="0"/>
    <s v="LUSATEX E.I.R.L."/>
    <n v="20518875061"/>
    <s v="PAGO"/>
    <d v="2025-10-16T00:00:00"/>
    <n v="66.099999999999994"/>
    <x v="1"/>
    <x v="7"/>
  </r>
  <r>
    <x v="0"/>
    <s v="EPQ S.A.C."/>
    <n v="20547907168"/>
    <s v="PAGO"/>
    <d v="2025-10-16T00:00:00"/>
    <n v="150"/>
    <x v="1"/>
    <x v="7"/>
  </r>
  <r>
    <x v="0"/>
    <s v="SOLUCIONES INTEGRALES DE FITNESS SAC"/>
    <n v="20600316851"/>
    <s v="PAGO"/>
    <d v="2025-10-16T00:00:00"/>
    <n v="66.099999999999994"/>
    <x v="1"/>
    <x v="7"/>
  </r>
  <r>
    <x v="0"/>
    <s v="G&amp;M ENERGY S.A.C."/>
    <n v="20609541203"/>
    <s v="PAGO"/>
    <d v="2025-10-16T00:00:00"/>
    <n v="119.88"/>
    <x v="1"/>
    <x v="7"/>
  </r>
  <r>
    <x v="0"/>
    <s v="LOGISTICA Y TRANSPORTE MV E.I.R.L."/>
    <n v="20614396173"/>
    <s v="PAGO"/>
    <d v="2025-10-16T00:00:00"/>
    <n v="66.099999999999994"/>
    <x v="1"/>
    <x v="7"/>
  </r>
  <r>
    <x v="3"/>
    <s v="DISTRIBUIDORA MADEX SOCIEDAD ANONIMA CERRADA"/>
    <n v="20456334971"/>
    <s v="PAGO"/>
    <d v="2025-10-16T00:00:00"/>
    <n v="79.569999999999993"/>
    <x v="1"/>
    <x v="7"/>
  </r>
  <r>
    <x v="1"/>
    <s v="M &amp; L DISTRIBUIDORA S.A.C."/>
    <n v="20493824563"/>
    <s v="PAGO"/>
    <d v="2025-10-16T00:00:00"/>
    <n v="66.099999999999994"/>
    <x v="1"/>
    <x v="7"/>
  </r>
  <r>
    <x v="1"/>
    <s v="HC CONSULTING S.A.C."/>
    <n v="20523401794"/>
    <s v="PAGO"/>
    <d v="2025-10-16T00:00:00"/>
    <n v="66.099999999999994"/>
    <x v="1"/>
    <x v="7"/>
  </r>
  <r>
    <x v="0"/>
    <s v="INVERSIONES MELDAR S.A.C."/>
    <n v="20482298916"/>
    <s v="PAGO"/>
    <d v="2025-10-17T00:00:00"/>
    <n v="157.19999999999999"/>
    <x v="1"/>
    <x v="8"/>
  </r>
  <r>
    <x v="0"/>
    <s v="TAHUA POTTERY S.A.C."/>
    <n v="20509113069"/>
    <s v="PAGO"/>
    <d v="2025-10-17T00:00:00"/>
    <n v="66.099999999999994"/>
    <x v="1"/>
    <x v="8"/>
  </r>
  <r>
    <x v="0"/>
    <s v="NIMASUR AUTOMOTRIZ S.A.C."/>
    <n v="20604243263"/>
    <s v="PAGO"/>
    <d v="2025-10-17T00:00:00"/>
    <n v="66.099999999999994"/>
    <x v="1"/>
    <x v="8"/>
  </r>
  <r>
    <x v="0"/>
    <s v="SERVICIO Y DISTRIBUCION VALENTINA S.A.C."/>
    <n v="20607390909"/>
    <s v="PAGO"/>
    <d v="2025-10-17T00:00:00"/>
    <n v="66.099999999999994"/>
    <x v="1"/>
    <x v="8"/>
  </r>
  <r>
    <x v="0"/>
    <s v="GEP COMUNICACIONES SOCIEDAD ANONIMA CERRADA"/>
    <n v="20611513489"/>
    <s v="PAGO"/>
    <d v="2025-10-17T00:00:00"/>
    <n v="132.12"/>
    <x v="1"/>
    <x v="8"/>
  </r>
  <r>
    <x v="0"/>
    <s v="M Y M RESOLVE SOLUTIONS S.A.C."/>
    <n v="20612047708"/>
    <s v="PAGO"/>
    <d v="2025-10-17T00:00:00"/>
    <n v="79.819999999999993"/>
    <x v="1"/>
    <x v="8"/>
  </r>
  <r>
    <x v="0"/>
    <s v="AGRO DISTRIBUIDORA AMARAL PIURA S.A.C."/>
    <n v="20612470562"/>
    <s v="PAGO"/>
    <d v="2025-10-17T00:00:00"/>
    <n v="96.67"/>
    <x v="1"/>
    <x v="8"/>
  </r>
  <r>
    <x v="3"/>
    <s v="COPY FAST TECH S.A.C."/>
    <n v="20519499780"/>
    <s v="PAGO"/>
    <d v="2025-10-17T00:00:00"/>
    <n v="514.07000000000005"/>
    <x v="1"/>
    <x v="8"/>
  </r>
  <r>
    <x v="3"/>
    <s v="CORPORACION EBRO ANDES DE INVERSION S.A.C"/>
    <n v="20544273443"/>
    <s v="PAGO"/>
    <d v="2025-10-17T00:00:00"/>
    <n v="478.42"/>
    <x v="1"/>
    <x v="8"/>
  </r>
  <r>
    <x v="0"/>
    <s v="INFINITY Y CO.BEAUTY SALON S.A.C."/>
    <n v="20613337955"/>
    <s v="PAGO"/>
    <d v="2025-10-18T00:00:00"/>
    <n v="69.099999999999994"/>
    <x v="1"/>
    <x v="8"/>
  </r>
  <r>
    <x v="0"/>
    <s v="TICONA BARBARAN KARIN ROSARIO"/>
    <n v="10413861468"/>
    <s v="PAGO"/>
    <d v="2025-10-20T00:00:00"/>
    <n v="66.099999999999994"/>
    <x v="1"/>
    <x v="9"/>
  </r>
  <r>
    <x v="3"/>
    <s v="CORPORACION LASER E.I.R.L."/>
    <n v="20494424089"/>
    <s v="PAGO"/>
    <d v="2025-10-20T00:00:00"/>
    <n v="317.5"/>
    <x v="1"/>
    <x v="9"/>
  </r>
  <r>
    <x v="3"/>
    <s v="GINOR EMPRESA INDIVIDUAL DE RESPONSABILIDAD LIMITA"/>
    <n v="20509470848"/>
    <s v="PAGO"/>
    <d v="2025-10-20T00:00:00"/>
    <n v="1222"/>
    <x v="1"/>
    <x v="9"/>
  </r>
  <r>
    <x v="0"/>
    <s v="COPMEC E.I.R.L."/>
    <n v="20506731209"/>
    <s v="PAGO"/>
    <d v="2025-10-21T00:00:00"/>
    <n v="66.099999999999994"/>
    <x v="1"/>
    <x v="10"/>
  </r>
  <r>
    <x v="0"/>
    <s v="LA ESTRELLA TRADING Y LOGISTICA S.A.C."/>
    <n v="20536670158"/>
    <s v="PAGO"/>
    <d v="2025-10-21T00:00:00"/>
    <n v="85.73"/>
    <x v="1"/>
    <x v="10"/>
  </r>
  <r>
    <x v="0"/>
    <s v="GRUPO CASIR S.A.C."/>
    <n v="20602218652"/>
    <s v="PAGO"/>
    <d v="2025-10-21T00:00:00"/>
    <n v="66.099999999999994"/>
    <x v="1"/>
    <x v="10"/>
  </r>
  <r>
    <x v="0"/>
    <s v="EMPRESA DE TRANSPORTE A.G. PERU S.A.C.- ETAGPERU S.A.C."/>
    <n v="20603361904"/>
    <s v="PAGO"/>
    <d v="2025-10-21T00:00:00"/>
    <n v="81.38"/>
    <x v="1"/>
    <x v="10"/>
  </r>
  <r>
    <x v="0"/>
    <s v="FUJI ELEVATOR TECHNOLOGY S.A.C."/>
    <n v="20606092050"/>
    <s v="PAGO"/>
    <d v="2025-10-21T00:00:00"/>
    <n v="66.099999999999994"/>
    <x v="1"/>
    <x v="10"/>
  </r>
  <r>
    <x v="0"/>
    <s v="MULTISERVIS CGA S.A.C."/>
    <n v="20612237183"/>
    <s v="PAGO"/>
    <d v="2025-10-21T00:00:00"/>
    <n v="66.099999999999994"/>
    <x v="1"/>
    <x v="10"/>
  </r>
  <r>
    <x v="3"/>
    <s v="EUROCLIDON DEL NORTE S.A.C."/>
    <n v="20509793779"/>
    <s v="PAGO"/>
    <d v="2025-10-21T00:00:00"/>
    <n v="543.42999999999995"/>
    <x v="1"/>
    <x v="10"/>
  </r>
  <r>
    <x v="3"/>
    <s v="SERVICIOS TECNICOS DE INGENIERIA INDUSTRIAL METALICA SOCIEDAD COMERCIAL DE RESPONSABILIDAD LIMITADA"/>
    <n v="20514740152"/>
    <s v="PAGO"/>
    <d v="2025-10-21T00:00:00"/>
    <n v="1268"/>
    <x v="1"/>
    <x v="10"/>
  </r>
  <r>
    <x v="0"/>
    <s v="CONSTRUCTORA &amp; CONSULTORIA CUEVA S.A.C."/>
    <n v="20607453757"/>
    <s v="PAGO"/>
    <d v="2025-10-22T00:00:00"/>
    <n v="80.819999999999993"/>
    <x v="1"/>
    <x v="11"/>
  </r>
  <r>
    <x v="0"/>
    <s v="INACONS INGENIERIA Y CONSTRUCCION SOCIEDAD ANONIMA CERRADA"/>
    <n v="20607713368"/>
    <s v="PAGO"/>
    <d v="2025-10-22T00:00:00"/>
    <n v="110"/>
    <x v="1"/>
    <x v="11"/>
  </r>
  <r>
    <x v="1"/>
    <s v="FESTINA E.I.R.L"/>
    <n v="20523203721"/>
    <s v="PAGO"/>
    <d v="2025-10-22T00:00:00"/>
    <n v="66.099999999999994"/>
    <x v="1"/>
    <x v="11"/>
  </r>
  <r>
    <x v="0"/>
    <s v="COLEGIO DE ARQUITECTOS REGIONAL PIURA I"/>
    <n v="20192099464"/>
    <s v="PAGO"/>
    <d v="2025-10-23T00:00:00"/>
    <n v="66.099999999999994"/>
    <x v="1"/>
    <x v="12"/>
  </r>
  <r>
    <x v="3"/>
    <s v="RSC MULTISERVICIOS S.A.C."/>
    <n v="20534144602"/>
    <s v="PAGO"/>
    <d v="2025-10-23T00:00:00"/>
    <n v="271.33"/>
    <x v="1"/>
    <x v="12"/>
  </r>
  <r>
    <x v="1"/>
    <s v="ALTA TECNOLOGIA MEDICA SAC"/>
    <n v="20518314468"/>
    <s v="PAGO"/>
    <d v="2025-10-23T00:00:00"/>
    <n v="66.099999999999994"/>
    <x v="1"/>
    <x v="12"/>
  </r>
  <r>
    <x v="0"/>
    <s v="MILAGROS TE ASESORA E.I.R.L."/>
    <n v="20609346907"/>
    <s v="PAGO"/>
    <d v="2025-10-24T00:00:00"/>
    <n v="69.099999999999994"/>
    <x v="1"/>
    <x v="13"/>
  </r>
  <r>
    <x v="0"/>
    <s v="ACTION MEDIC S.A.C."/>
    <n v="20610289887"/>
    <s v="PAGO"/>
    <d v="2025-10-24T00:00:00"/>
    <n v="71.27"/>
    <x v="1"/>
    <x v="13"/>
  </r>
  <r>
    <x v="0"/>
    <s v="MULTIMARKET PARACAS S.A.C."/>
    <n v="20613811835"/>
    <s v="PAGO"/>
    <d v="2025-10-24T00:00:00"/>
    <n v="66.099999999999994"/>
    <x v="1"/>
    <x v="13"/>
  </r>
  <r>
    <x v="3"/>
    <s v="CORPORACION ELIANA E.I.R.L."/>
    <n v="20508114843"/>
    <s v="PAGO"/>
    <d v="2025-10-24T00:00:00"/>
    <n v="193.2"/>
    <x v="1"/>
    <x v="13"/>
  </r>
  <r>
    <x v="1"/>
    <s v="JUNTA DE PROPIETARIOS DEL EDIFICIO MAR MARIS"/>
    <n v="20504874746"/>
    <s v="PAGO"/>
    <d v="2025-10-24T00:00:00"/>
    <n v="66.099999999999994"/>
    <x v="1"/>
    <x v="13"/>
  </r>
  <r>
    <x v="0"/>
    <s v="CONSORCIO NORIEGA"/>
    <n v="20614128365"/>
    <s v="PAGO"/>
    <d v="2025-10-27T00:00:00"/>
    <n v="85"/>
    <x v="1"/>
    <x v="14"/>
  </r>
  <r>
    <x v="1"/>
    <s v="CARDIOPULMONARY CARE SAC"/>
    <n v="20512709088"/>
    <s v="PAGO"/>
    <d v="2025-10-27T00:00:00"/>
    <n v="66.099999999999994"/>
    <x v="1"/>
    <x v="14"/>
  </r>
  <r>
    <x v="1"/>
    <s v="FRANSU TRADING S.A.C."/>
    <n v="20565209290"/>
    <s v="PAGO"/>
    <d v="2025-10-27T00:00:00"/>
    <n v="120.23"/>
    <x v="1"/>
    <x v="14"/>
  </r>
  <r>
    <x v="0"/>
    <s v="CAR EVOLUTION JF S.A.C."/>
    <n v="20602229115"/>
    <s v="PAGO"/>
    <d v="2025-10-28T00:00:00"/>
    <n v="66.099999999999994"/>
    <x v="1"/>
    <x v="15"/>
  </r>
  <r>
    <x v="0"/>
    <s v="QUILPA COFFEE S.A.C."/>
    <n v="20605282726"/>
    <s v="PAGO"/>
    <d v="2025-10-28T00:00:00"/>
    <n v="147.69999999999999"/>
    <x v="1"/>
    <x v="15"/>
  </r>
  <r>
    <x v="0"/>
    <s v="ANGELICA S Y P E.I.R.L."/>
    <n v="20610173358"/>
    <s v="PAGO"/>
    <d v="2025-10-28T00:00:00"/>
    <n v="75.709999999999994"/>
    <x v="1"/>
    <x v="15"/>
  </r>
  <r>
    <x v="3"/>
    <s v="COPY FAST TECH S.A.C."/>
    <n v="20519499780"/>
    <s v="PAGO"/>
    <d v="2025-10-28T00:00:00"/>
    <n v="495.95"/>
    <x v="1"/>
    <x v="15"/>
  </r>
  <r>
    <x v="1"/>
    <s v="CRUZ MORANTE JOHANNA"/>
    <n v="10079417616"/>
    <s v="PAGO"/>
    <d v="2025-10-28T00:00:00"/>
    <n v="66.099999999999994"/>
    <x v="1"/>
    <x v="15"/>
  </r>
  <r>
    <x v="1"/>
    <s v="PANEZ ISHIDA FAESA CONSUL Y ASES EMP SA."/>
    <n v="20101097286"/>
    <s v="PAGO"/>
    <d v="2025-10-28T00:00:00"/>
    <n v="1878.87"/>
    <x v="1"/>
    <x v="15"/>
  </r>
  <r>
    <x v="1"/>
    <s v="COMERCIALIZADORA MARGAGU E.I.R.L."/>
    <n v="20392983504"/>
    <s v="PAGO"/>
    <d v="2025-10-28T00:00:00"/>
    <n v="66.099999999999994"/>
    <x v="1"/>
    <x v="15"/>
  </r>
  <r>
    <x v="1"/>
    <s v="EDGAR ALEJANDRO SUAREZ GUERRA E.I.R.L."/>
    <n v="20610846999"/>
    <s v="PAGO"/>
    <d v="2025-10-28T00:00:00"/>
    <n v="50"/>
    <x v="1"/>
    <x v="15"/>
  </r>
  <r>
    <x v="0"/>
    <s v="LADRILLOS MURALLA SOCIEDAD COMERCIAL DE RESPONSABILIDAD LIMITADA"/>
    <n v="20527831432"/>
    <s v="PAGO"/>
    <d v="2025-10-29T00:00:00"/>
    <n v="66.099999999999994"/>
    <x v="1"/>
    <x v="16"/>
  </r>
  <r>
    <x v="0"/>
    <s v="CONSTRUCCIONES Y PROYECTOS ELECTRICOS DEL SUR S.A.C. - COPELSUR S.A.C."/>
    <n v="20601820049"/>
    <s v="PAGO"/>
    <d v="2025-10-29T00:00:00"/>
    <n v="250"/>
    <x v="1"/>
    <x v="16"/>
  </r>
  <r>
    <x v="0"/>
    <s v="TRANSPORTES GARABANDAL E.I.R.L."/>
    <n v="20604173575"/>
    <s v="PAGO"/>
    <d v="2025-10-29T00:00:00"/>
    <n v="133.1"/>
    <x v="1"/>
    <x v="16"/>
  </r>
  <r>
    <x v="0"/>
    <s v="HERCAR COMBUSTIBLES S.A.C"/>
    <n v="20611376538"/>
    <s v="PAGO"/>
    <d v="2025-10-29T00:00:00"/>
    <n v="66.099999999999994"/>
    <x v="1"/>
    <x v="16"/>
  </r>
  <r>
    <x v="0"/>
    <s v="INVERSIONES ELI MM S.A.C."/>
    <n v="20612093521"/>
    <s v="PAGO"/>
    <d v="2025-10-29T00:00:00"/>
    <n v="66.099999999999994"/>
    <x v="1"/>
    <x v="16"/>
  </r>
  <r>
    <x v="0"/>
    <s v="CORPORACION JALGRIM S.R.L."/>
    <n v="20612451754"/>
    <s v="PAGO"/>
    <d v="2025-10-29T00:00:00"/>
    <n v="66.099999999999994"/>
    <x v="1"/>
    <x v="16"/>
  </r>
  <r>
    <x v="0"/>
    <s v="GRUPO BENICK LATAMSERVICE S.A.C."/>
    <n v="20613988492"/>
    <s v="PAGO"/>
    <d v="2025-10-29T00:00:00"/>
    <n v="97.82"/>
    <x v="1"/>
    <x v="16"/>
  </r>
  <r>
    <x v="1"/>
    <s v="ASOCIACION DE COMERCIANTES UNIDOS DEL MERCADO MODELO DE PUERTO MALDONADO"/>
    <n v="20526903235"/>
    <s v="PAGO"/>
    <d v="2025-10-29T00:00:00"/>
    <n v="66.099999999999994"/>
    <x v="1"/>
    <x v="16"/>
  </r>
  <r>
    <x v="0"/>
    <s v="PARI SOTO PETRONILA JENNY"/>
    <n v="10306754535"/>
    <s v="PAGO"/>
    <d v="2025-10-30T00:00:00"/>
    <n v="93"/>
    <x v="1"/>
    <x v="19"/>
  </r>
  <r>
    <x v="0"/>
    <s v="PERUTOURS SAC"/>
    <n v="20515307720"/>
    <s v="PAGO"/>
    <d v="2025-10-30T00:00:00"/>
    <n v="66.099999999999994"/>
    <x v="1"/>
    <x v="19"/>
  </r>
  <r>
    <x v="0"/>
    <s v="ANTARES MANTENIMIENTO INDUSTRIAL S.A.C."/>
    <n v="20600493150"/>
    <s v="PAGO"/>
    <d v="2025-10-30T00:00:00"/>
    <n v="66.099999999999994"/>
    <x v="1"/>
    <x v="19"/>
  </r>
  <r>
    <x v="0"/>
    <s v="CORPORACION OROPEL S.A.C."/>
    <n v="20614000610"/>
    <s v="PAGO"/>
    <d v="2025-10-30T00:00:00"/>
    <n v="81.790000000000006"/>
    <x v="1"/>
    <x v="19"/>
  </r>
  <r>
    <x v="1"/>
    <s v="K &amp; K TRADING E.I.R.L"/>
    <n v="20267366412"/>
    <s v="PAGO"/>
    <d v="2025-10-30T00:00:00"/>
    <n v="246.71"/>
    <x v="1"/>
    <x v="19"/>
  </r>
  <r>
    <x v="0"/>
    <s v="COPARA LLANOS JANET VIOLETA"/>
    <n v="10095822245"/>
    <s v="PAGO"/>
    <d v="2025-10-31T00:00:00"/>
    <n v="185"/>
    <x v="1"/>
    <x v="17"/>
  </r>
  <r>
    <x v="0"/>
    <s v="COPARA LLANOS JANET VIOLETA"/>
    <n v="10095822245"/>
    <s v="PAGO"/>
    <d v="2025-10-31T00:00:00"/>
    <n v="185"/>
    <x v="1"/>
    <x v="17"/>
  </r>
  <r>
    <x v="0"/>
    <s v="CORPORACION AMBIOR E.I.R.L."/>
    <n v="20612208892"/>
    <s v="PAGO"/>
    <d v="2025-10-31T00:00:00"/>
    <n v="83"/>
    <x v="1"/>
    <x v="17"/>
  </r>
  <r>
    <x v="1"/>
    <s v="MOMIY MOMIY ROBERTO"/>
    <n v="10155948006"/>
    <s v="PAGO"/>
    <d v="2025-10-31T00:00:00"/>
    <n v="66.099999999999994"/>
    <x v="1"/>
    <x v="17"/>
  </r>
  <r>
    <x v="0"/>
    <s v="CELESTE SERVICIOS GENERALES S.R.L."/>
    <n v="20526548311"/>
    <s v="PAGO"/>
    <d v="2025-11-02T00:00:00"/>
    <n v="71"/>
    <x v="1"/>
    <x v="17"/>
  </r>
  <r>
    <x v="0"/>
    <s v="POWER TIMBER S.A.C."/>
    <n v="20612976571"/>
    <s v="PAGO"/>
    <d v="2025-11-03T00:00:00"/>
    <n v="190"/>
    <x v="1"/>
    <x v="20"/>
  </r>
  <r>
    <x v="0"/>
    <s v="JAML FER E.I.R.L."/>
    <n v="20607706213"/>
    <s v="PAGO"/>
    <d v="2025-11-04T00:00:00"/>
    <n v="70"/>
    <x v="1"/>
    <x v="21"/>
  </r>
  <r>
    <x v="0"/>
    <s v="STUDIO 27 CREATING BEAUTY S.A.C."/>
    <n v="20610764691"/>
    <s v="PAGO"/>
    <d v="2025-11-04T00:00:00"/>
    <n v="91.69"/>
    <x v="1"/>
    <x v="21"/>
  </r>
  <r>
    <x v="3"/>
    <s v="SNIVE &amp; ASOCIADOS S.A.C."/>
    <n v="20551433073"/>
    <s v="PAGO"/>
    <d v="2025-11-04T00:00:00"/>
    <n v="500"/>
    <x v="1"/>
    <x v="21"/>
  </r>
  <r>
    <x v="0"/>
    <s v="QUISPE CALDERON LIZANDRO"/>
    <s v="10004908843"/>
    <s v="PAGO"/>
    <d v="2025-11-11T00:00:00"/>
    <n v="50"/>
    <x v="2"/>
    <x v="2"/>
  </r>
  <r>
    <x v="0"/>
    <s v="ARGUEDAS VIZCARRA RENE LUIS"/>
    <s v="10321087952"/>
    <s v="PAGO"/>
    <d v="2025-11-11T00:00:00"/>
    <n v="66.099999999999994"/>
    <x v="2"/>
    <x v="2"/>
  </r>
  <r>
    <x v="0"/>
    <s v="DE LIMA PAULINO GAMIO ARACELLI"/>
    <s v="15603354831"/>
    <s v="PAGO"/>
    <d v="2025-11-11T00:00:00"/>
    <n v="68.95"/>
    <x v="2"/>
    <x v="2"/>
  </r>
  <r>
    <x v="0"/>
    <s v="GRUPO VARBUS SAC"/>
    <s v="20601652600"/>
    <s v="PAGO"/>
    <d v="2025-11-11T00:00:00"/>
    <n v="103.1"/>
    <x v="2"/>
    <x v="2"/>
  </r>
  <r>
    <x v="0"/>
    <s v="GRUPO 33 PROYECTOS GASTRONOMICOS SOCIEDAD ANONIMA CERRADA"/>
    <s v="20605481656"/>
    <s v="PAGO"/>
    <d v="2025-11-11T00:00:00"/>
    <n v="117"/>
    <x v="2"/>
    <x v="2"/>
  </r>
  <r>
    <x v="0"/>
    <s v="CORPORACIÓN BENAVIDES &amp; ASOCIADOS GUTIERREZ S.A.C"/>
    <s v="20610521739"/>
    <s v="PAGO"/>
    <d v="2025-11-11T00:00:00"/>
    <n v="66.099999999999994"/>
    <x v="2"/>
    <x v="2"/>
  </r>
  <r>
    <x v="3"/>
    <s v="IDEAS APLICADAS SA"/>
    <s v="20107945874"/>
    <s v="PAGO"/>
    <d v="2025-11-11T00:00:00"/>
    <n v="173.57"/>
    <x v="2"/>
    <x v="2"/>
  </r>
  <r>
    <x v="3"/>
    <s v="SERVICIOS TECNICOS DE INGENIERIA INDUSTRIAL METALICA SOCIEDAD COMERCIAL DE RESPONSABILIDAD LIMITADA"/>
    <s v="20514740152"/>
    <s v="PAGO"/>
    <d v="2025-11-11T00:00:00"/>
    <n v="1676.61"/>
    <x v="2"/>
    <x v="2"/>
  </r>
  <r>
    <x v="0"/>
    <s v="MONTENEGRO ROSALINO JOSE DALMAZ"/>
    <s v="10081338774"/>
    <s v="PAGO"/>
    <d v="2025-11-12T00:00:00"/>
    <n v="66.099999999999994"/>
    <x v="2"/>
    <x v="3"/>
  </r>
  <r>
    <x v="0"/>
    <s v="BUTRON RIVEROS JOHNNY AUGUSTO"/>
    <s v="10086115072"/>
    <s v="PAGO"/>
    <d v="2025-11-12T00:00:00"/>
    <n v="50"/>
    <x v="2"/>
    <x v="3"/>
  </r>
  <r>
    <x v="0"/>
    <s v="INDUSTRIAS DEL FRIO FA MAU S.A.C."/>
    <s v="20537295334"/>
    <s v="PAGO"/>
    <d v="2025-11-12T00:00:00"/>
    <n v="66.099999999999994"/>
    <x v="2"/>
    <x v="3"/>
  </r>
  <r>
    <x v="0"/>
    <s v="INVERSIONES Y SERVICIOS LOS LAGOS S.A.C."/>
    <s v="20544296222"/>
    <s v="PAGO"/>
    <d v="2025-11-12T00:00:00"/>
    <n v="92"/>
    <x v="2"/>
    <x v="3"/>
  </r>
  <r>
    <x v="0"/>
    <s v="ALBER PROYECTOS EN GENERAL S.A.C."/>
    <s v="20600630033"/>
    <s v="PAGO"/>
    <d v="2025-11-12T00:00:00"/>
    <n v="92"/>
    <x v="2"/>
    <x v="3"/>
  </r>
  <r>
    <x v="0"/>
    <s v="REPRESENTACIONES VALEFAN S.A.C."/>
    <s v="20601096430"/>
    <s v="PAGO"/>
    <d v="2025-11-12T00:00:00"/>
    <n v="80.31"/>
    <x v="2"/>
    <x v="3"/>
  </r>
  <r>
    <x v="0"/>
    <s v="ECHE CONSTRUCTORES E.I.R.L."/>
    <s v="20601638496"/>
    <s v="PAGO"/>
    <d v="2025-11-12T00:00:00"/>
    <n v="66.099999999999994"/>
    <x v="2"/>
    <x v="3"/>
  </r>
  <r>
    <x v="0"/>
    <s v="INTEGRACION DE TECNOLOGIAS INMOBILIARIAS S.A.C."/>
    <s v="20603257121"/>
    <s v="PAGO"/>
    <d v="2025-11-12T00:00:00"/>
    <n v="76.39"/>
    <x v="2"/>
    <x v="3"/>
  </r>
  <r>
    <x v="0"/>
    <s v="XBEL TECHNOLOGY S.A.C."/>
    <s v="20605625585"/>
    <s v="PAGO"/>
    <d v="2025-11-12T00:00:00"/>
    <n v="66.099999999999994"/>
    <x v="2"/>
    <x v="3"/>
  </r>
  <r>
    <x v="0"/>
    <s v="OBJETO S.A.C."/>
    <s v="20606009021"/>
    <s v="PAGO"/>
    <d v="2025-11-12T00:00:00"/>
    <n v="91.22"/>
    <x v="2"/>
    <x v="3"/>
  </r>
  <r>
    <x v="0"/>
    <s v="GT AMAO S.A.C."/>
    <s v="20608666851"/>
    <s v="PAGO"/>
    <d v="2025-11-12T00:00:00"/>
    <n v="66.099999999999994"/>
    <x v="2"/>
    <x v="3"/>
  </r>
  <r>
    <x v="0"/>
    <s v="SOFEDAS E.I.R.L."/>
    <s v="20609904110"/>
    <s v="PAGO"/>
    <d v="2025-11-12T00:00:00"/>
    <n v="66.099999999999994"/>
    <x v="2"/>
    <x v="3"/>
  </r>
  <r>
    <x v="0"/>
    <s v="JDM STO DOMINGO DE GUZMAN S.A.C."/>
    <s v="20610157450"/>
    <s v="PAGO"/>
    <d v="2025-11-12T00:00:00"/>
    <n v="225"/>
    <x v="2"/>
    <x v="3"/>
  </r>
  <r>
    <x v="0"/>
    <s v="INSTITUCION EDUCATIVA PRIVADA SAN JUAN BAUTISTA DE LIMA S.A.C."/>
    <s v="20612189189"/>
    <s v="PAGO"/>
    <d v="2025-11-12T00:00:00"/>
    <n v="131"/>
    <x v="2"/>
    <x v="3"/>
  </r>
  <r>
    <x v="3"/>
    <s v="COPY FAST TECH S.A.C."/>
    <s v="20519499780"/>
    <s v="PAGO"/>
    <d v="2025-11-12T00:00:00"/>
    <n v="485.32"/>
    <x v="2"/>
    <x v="3"/>
  </r>
  <r>
    <x v="0"/>
    <s v="CORPORACION VIRGEN DE GUADALUPE SOCIEDAD ANONIMA CERRADA-CORPORACION VIRGEN DE GUADALUPE S.A.C."/>
    <s v="20515204165"/>
    <s v="PAGO"/>
    <d v="2025-11-13T00:00:00"/>
    <n v="72.64"/>
    <x v="2"/>
    <x v="4"/>
  </r>
  <r>
    <x v="0"/>
    <s v="TRANSPORTES CAJITAS CARGO E.I.R.L."/>
    <s v="20543817512"/>
    <s v="PAGO"/>
    <d v="2025-11-13T00:00:00"/>
    <n v="114.96"/>
    <x v="2"/>
    <x v="4"/>
  </r>
  <r>
    <x v="0"/>
    <s v="HV ELECTRIC SERVICES S.A.C."/>
    <s v="20558622068"/>
    <s v="PAGO"/>
    <d v="2025-11-13T00:00:00"/>
    <n v="693.32"/>
    <x v="2"/>
    <x v="4"/>
  </r>
  <r>
    <x v="0"/>
    <s v="CORPORACION TEXAM CHAVEZ S.A.C."/>
    <s v="20602042295"/>
    <s v="PAGO"/>
    <d v="2025-11-13T00:00:00"/>
    <n v="66.099999999999994"/>
    <x v="2"/>
    <x v="4"/>
  </r>
  <r>
    <x v="0"/>
    <s v="PERUVIAN INKA FRUIT S.A.C."/>
    <s v="20603513925"/>
    <s v="PAGO"/>
    <d v="2025-11-13T00:00:00"/>
    <n v="81.59"/>
    <x v="2"/>
    <x v="4"/>
  </r>
  <r>
    <x v="0"/>
    <s v="HEARTBEAT MARKETING S.A.C."/>
    <s v="20603930283"/>
    <s v="PAGO"/>
    <d v="2025-11-13T00:00:00"/>
    <n v="66.099999999999994"/>
    <x v="2"/>
    <x v="4"/>
  </r>
  <r>
    <x v="0"/>
    <s v="MRL IMPORT &amp; TRADING S.A.C"/>
    <s v="20604726906"/>
    <s v="PAGO"/>
    <d v="2025-11-13T00:00:00"/>
    <n v="203.93"/>
    <x v="2"/>
    <x v="4"/>
  </r>
  <r>
    <x v="0"/>
    <s v="MEAT GOURMET HP S.A.C."/>
    <s v="20611662492"/>
    <s v="PAGO"/>
    <d v="2025-11-13T00:00:00"/>
    <n v="66.099999999999994"/>
    <x v="2"/>
    <x v="4"/>
  </r>
  <r>
    <x v="0"/>
    <s v="INDUSTRIAS GANADERAS HP S.A.C."/>
    <s v="20611665076"/>
    <s v="PAGO"/>
    <d v="2025-11-13T00:00:00"/>
    <n v="104.51"/>
    <x v="2"/>
    <x v="4"/>
  </r>
  <r>
    <x v="0"/>
    <s v="CENTRO AGROPECUARIO PUENTE S.R.L."/>
    <s v="20612404454"/>
    <s v="PAGO"/>
    <d v="2025-11-13T00:00:00"/>
    <n v="80.66"/>
    <x v="2"/>
    <x v="4"/>
  </r>
  <r>
    <x v="0"/>
    <s v="TUBOL S.A."/>
    <s v="20498082913"/>
    <s v="PAGO"/>
    <d v="2025-11-14T00:00:00"/>
    <n v="78.040000000000006"/>
    <x v="2"/>
    <x v="5"/>
  </r>
  <r>
    <x v="0"/>
    <s v="G &amp; D SURCONS S.A.C."/>
    <s v="20601909732"/>
    <s v="PAGO"/>
    <d v="2025-11-14T00:00:00"/>
    <n v="611"/>
    <x v="2"/>
    <x v="5"/>
  </r>
  <r>
    <x v="0"/>
    <s v="HR SOLUTIONS &amp; SUPPORT E.I.R.L."/>
    <s v="20602799361"/>
    <s v="PAGO"/>
    <d v="2025-11-14T00:00:00"/>
    <n v="71.44"/>
    <x v="2"/>
    <x v="5"/>
  </r>
  <r>
    <x v="0"/>
    <s v="METAL GROUP M&amp;R SOCIEDAD ANONIMA CERRADA"/>
    <s v="20609392208"/>
    <s v="PAGO"/>
    <d v="2025-11-14T00:00:00"/>
    <n v="149.91999999999999"/>
    <x v="2"/>
    <x v="5"/>
  </r>
  <r>
    <x v="0"/>
    <s v="INVERSIONES MAQUINSERVICE S.A.C."/>
    <s v="20609988658"/>
    <s v="PAGO"/>
    <d v="2025-11-14T00:00:00"/>
    <n v="90"/>
    <x v="2"/>
    <x v="5"/>
  </r>
  <r>
    <x v="0"/>
    <s v="HRC ENGINEERED SECURITY S.A.C."/>
    <s v="20610091955"/>
    <s v="PAGO"/>
    <d v="2025-11-14T00:00:00"/>
    <n v="66.099999999999994"/>
    <x v="2"/>
    <x v="5"/>
  </r>
  <r>
    <x v="3"/>
    <s v="CORPORACION ELIANA E.I.R.L."/>
    <s v="20508114843"/>
    <s v="PAGO"/>
    <d v="2025-11-14T00:00:00"/>
    <n v="193.5"/>
    <x v="2"/>
    <x v="5"/>
  </r>
  <r>
    <x v="3"/>
    <s v="GINOR EMPRESA INDIVIDUAL DE RESPONSABILIDAD LIMITA"/>
    <s v="20509470848"/>
    <s v="PAGO"/>
    <d v="2025-11-14T00:00:00"/>
    <n v="753.62"/>
    <x v="2"/>
    <x v="5"/>
  </r>
  <r>
    <x v="1"/>
    <s v="MIAVAL E.I.R.L."/>
    <s v="20601745438"/>
    <s v="PAGO"/>
    <d v="2025-11-14T00:00:00"/>
    <n v="50"/>
    <x v="2"/>
    <x v="5"/>
  </r>
  <r>
    <x v="0"/>
    <s v="VEGA RODRIGUEZ MIGUEL ANGEL"/>
    <s v="10178375291"/>
    <s v="PAGO"/>
    <d v="2025-11-15T00:00:00"/>
    <n v="66.099999999999994"/>
    <x v="2"/>
    <x v="5"/>
  </r>
  <r>
    <x v="0"/>
    <s v="MOLINERA DON JULIO S.A.C."/>
    <s v="20602290248"/>
    <s v="PAGO"/>
    <d v="2025-11-15T00:00:00"/>
    <n v="66.099999999999994"/>
    <x v="2"/>
    <x v="5"/>
  </r>
  <r>
    <x v="3"/>
    <s v="FORESTALES DAXSA E.I.R.L."/>
    <s v="20477349243"/>
    <s v="PAGO"/>
    <d v="2025-11-15T00:00:00"/>
    <n v="1432.46"/>
    <x v="2"/>
    <x v="5"/>
  </r>
  <r>
    <x v="0"/>
    <s v="ARQUITEX S A"/>
    <s v="20100112648"/>
    <s v="PAGO"/>
    <d v="2025-11-17T00:00:00"/>
    <n v="82.94"/>
    <x v="2"/>
    <x v="6"/>
  </r>
  <r>
    <x v="0"/>
    <s v="MULTISERVICIOS MEJAMS S.A.C."/>
    <s v="20609040433"/>
    <s v="PAGO"/>
    <d v="2025-11-17T00:00:00"/>
    <n v="68.430000000000007"/>
    <x v="2"/>
    <x v="6"/>
  </r>
  <r>
    <x v="1"/>
    <s v="AGROPECUARIA VALLECITO S.A."/>
    <s v="20203252324"/>
    <s v="PAGO"/>
    <d v="2025-11-17T00:00:00"/>
    <n v="146.82"/>
    <x v="2"/>
    <x v="6"/>
  </r>
  <r>
    <x v="1"/>
    <s v="CAPRI´S BULLS S.R.L."/>
    <s v="20440395164"/>
    <s v="PAGO"/>
    <d v="2025-11-17T00:00:00"/>
    <n v="66.099999999999994"/>
    <x v="2"/>
    <x v="6"/>
  </r>
  <r>
    <x v="0"/>
    <s v="TRUCK EXPERTPERU S.A.C."/>
    <s v="20566213002"/>
    <s v="PAGO"/>
    <d v="2025-11-18T00:00:00"/>
    <n v="160.41999999999999"/>
    <x v="2"/>
    <x v="7"/>
  </r>
  <r>
    <x v="0"/>
    <s v="CORPORACION CLEANWORK E.I.R.L."/>
    <s v="20600510330"/>
    <s v="PAGO"/>
    <d v="2025-11-18T00:00:00"/>
    <n v="66.099999999999994"/>
    <x v="2"/>
    <x v="7"/>
  </r>
  <r>
    <x v="0"/>
    <s v="ARCONDI ARQUITECTOS E INGENIEROS SERVICIOS GENERALES E.I.R.L"/>
    <s v="20601068088"/>
    <s v="PAGO"/>
    <d v="2025-11-18T00:00:00"/>
    <n v="165"/>
    <x v="2"/>
    <x v="7"/>
  </r>
  <r>
    <x v="0"/>
    <s v="CONSULTORA MORALES &amp; REYES SOCIEDAD ANONIMA CERRADA - CONSULTORA MORALES &amp; REYES S.A.C."/>
    <s v="20602022308"/>
    <s v="PAGO"/>
    <d v="2025-11-18T00:00:00"/>
    <n v="103.11"/>
    <x v="2"/>
    <x v="7"/>
  </r>
  <r>
    <x v="0"/>
    <s v="DEL MAR SUREÑO SOCIEDAD ANONIMA CERRADA"/>
    <s v="20606379588"/>
    <s v="PAGO"/>
    <d v="2025-11-18T00:00:00"/>
    <n v="66.099999999999994"/>
    <x v="2"/>
    <x v="7"/>
  </r>
  <r>
    <x v="0"/>
    <s v="AYVA E.I.R.L."/>
    <s v="20608197681"/>
    <s v="PAGO"/>
    <d v="2025-11-18T00:00:00"/>
    <n v="100"/>
    <x v="2"/>
    <x v="7"/>
  </r>
  <r>
    <x v="0"/>
    <s v="TABLEROS BREÑA S.A.C."/>
    <s v="20612873497"/>
    <s v="PAGO"/>
    <d v="2025-11-18T00:00:00"/>
    <n v="93"/>
    <x v="2"/>
    <x v="7"/>
  </r>
  <r>
    <x v="1"/>
    <s v="DEXER S R L"/>
    <s v="20216839570"/>
    <s v="PAGO"/>
    <d v="2025-11-18T00:00:00"/>
    <n v="217.26"/>
    <x v="2"/>
    <x v="7"/>
  </r>
  <r>
    <x v="0"/>
    <s v="INVERSIONES REFCH E.I.R.L."/>
    <s v="20554482211"/>
    <s v="PAGO"/>
    <d v="2025-11-19T00:00:00"/>
    <n v="66.099999999999994"/>
    <x v="2"/>
    <x v="8"/>
  </r>
  <r>
    <x v="0"/>
    <s v="FABRICACIONES OSELU E.I.R.L."/>
    <s v="20601648661"/>
    <s v="PAGO"/>
    <d v="2025-11-19T00:00:00"/>
    <n v="55"/>
    <x v="2"/>
    <x v="8"/>
  </r>
  <r>
    <x v="0"/>
    <s v="SALVADOR LOGISTICA INTEGRADA S.A.C"/>
    <s v="20607244686"/>
    <s v="PAGO"/>
    <d v="2025-11-19T00:00:00"/>
    <n v="103"/>
    <x v="2"/>
    <x v="8"/>
  </r>
  <r>
    <x v="0"/>
    <s v="REPRESENTACIONES LA REINA S.A.C."/>
    <s v="20612966797"/>
    <s v="PAGO"/>
    <d v="2025-11-19T00:00:00"/>
    <n v="66.099999999999994"/>
    <x v="2"/>
    <x v="8"/>
  </r>
  <r>
    <x v="1"/>
    <s v="INGO CASA PERU S.A.C."/>
    <s v="20515270036"/>
    <s v="PAGO"/>
    <d v="2025-11-19T00:00:00"/>
    <n v="66.099999999999994"/>
    <x v="2"/>
    <x v="8"/>
  </r>
  <r>
    <x v="1"/>
    <s v="TABLEROS KEPAL E.I.R.L"/>
    <s v="20613793357"/>
    <s v="PAGO"/>
    <d v="2025-11-19T00:00:00"/>
    <n v="66.099999999999994"/>
    <x v="2"/>
    <x v="8"/>
  </r>
  <r>
    <x v="0"/>
    <s v="MARAVI LAGOS JORGE"/>
    <s v="10100261605"/>
    <s v="PAGO"/>
    <d v="2025-11-20T00:00:00"/>
    <n v="68"/>
    <x v="2"/>
    <x v="9"/>
  </r>
  <r>
    <x v="0"/>
    <s v="TRANSCASE SERVICIOS LOGISTICOS S.A.C."/>
    <s v="20560037628"/>
    <s v="PAGO"/>
    <d v="2025-11-20T00:00:00"/>
    <n v="78.959999999999994"/>
    <x v="2"/>
    <x v="9"/>
  </r>
  <r>
    <x v="0"/>
    <s v="GRUPO DUOFARMA PERU S.A.C."/>
    <s v="20606543353"/>
    <s v="PAGO"/>
    <d v="2025-11-20T00:00:00"/>
    <n v="66.099999999999994"/>
    <x v="2"/>
    <x v="9"/>
  </r>
  <r>
    <x v="0"/>
    <s v="ATESA TRANS E.I.R.L"/>
    <s v="20607301515"/>
    <s v="PAGO"/>
    <d v="2025-11-20T00:00:00"/>
    <n v="66.099999999999994"/>
    <x v="2"/>
    <x v="9"/>
  </r>
  <r>
    <x v="0"/>
    <s v="ITS MANAGEMENT S.A.C."/>
    <s v="20608703277"/>
    <s v="PAGO"/>
    <d v="2025-11-20T00:00:00"/>
    <n v="66.099999999999994"/>
    <x v="2"/>
    <x v="9"/>
  </r>
  <r>
    <x v="0"/>
    <s v="MULTISERVICIOS MENA E.I.R.L."/>
    <s v="20609499517"/>
    <s v="PAGO"/>
    <d v="2025-11-20T00:00:00"/>
    <n v="91.42"/>
    <x v="2"/>
    <x v="9"/>
  </r>
  <r>
    <x v="0"/>
    <s v="REFRIGERACION Y SERVICIOS GENERALES ALCASA S.A.C."/>
    <s v="20609655870"/>
    <s v="PAGO"/>
    <d v="2025-11-20T00:00:00"/>
    <n v="66.099999999999994"/>
    <x v="2"/>
    <x v="9"/>
  </r>
  <r>
    <x v="3"/>
    <s v="OVM SAC"/>
    <s v="20479722138"/>
    <s v="PAGO"/>
    <d v="2025-11-20T00:00:00"/>
    <n v="1291.68"/>
    <x v="2"/>
    <x v="9"/>
  </r>
  <r>
    <x v="0"/>
    <s v="AREVALO CORONADO HENRY"/>
    <s v="10277471332"/>
    <s v="PAGO"/>
    <d v="2025-11-21T00:00:00"/>
    <n v="91.37"/>
    <x v="2"/>
    <x v="10"/>
  </r>
  <r>
    <x v="0"/>
    <s v="ASOCIACION BIO HUERTO VILLA MIRAFLORES"/>
    <s v="20321592229"/>
    <s v="PAGO"/>
    <d v="2025-11-21T00:00:00"/>
    <n v="91.8"/>
    <x v="2"/>
    <x v="10"/>
  </r>
  <r>
    <x v="0"/>
    <s v="ROHA CONSTRUCCION Y MINERIA S.A.C."/>
    <s v="20454377011"/>
    <s v="PAGO"/>
    <d v="2025-11-21T00:00:00"/>
    <n v="70"/>
    <x v="2"/>
    <x v="10"/>
  </r>
  <r>
    <x v="0"/>
    <s v="CANTERA PATAPO LA VICTORIA SA"/>
    <s v="20480515961"/>
    <s v="PAGO"/>
    <d v="2025-11-21T00:00:00"/>
    <n v="66.099999999999994"/>
    <x v="2"/>
    <x v="10"/>
  </r>
  <r>
    <x v="0"/>
    <s v="VILLE BLUE E.I.R.L."/>
    <s v="20602354939"/>
    <s v="PAGO"/>
    <d v="2025-11-21T00:00:00"/>
    <n v="66.099999999999994"/>
    <x v="2"/>
    <x v="10"/>
  </r>
  <r>
    <x v="0"/>
    <s v="CORPORACION BODY POWER S.A.C."/>
    <s v="20603717105"/>
    <s v="PAGO"/>
    <d v="2025-11-21T00:00:00"/>
    <n v="120"/>
    <x v="2"/>
    <x v="10"/>
  </r>
  <r>
    <x v="0"/>
    <s v="RH ORQUIDEAS S.A.C."/>
    <s v="20605360174"/>
    <s v="PAGO"/>
    <d v="2025-11-21T00:00:00"/>
    <n v="80"/>
    <x v="2"/>
    <x v="10"/>
  </r>
  <r>
    <x v="0"/>
    <s v="EMPRESA DE TRANSPORTES GAF LAOS E.I.R.L. - GAF LAOS E.I.R.L."/>
    <s v="20608879022"/>
    <s v="PAGO"/>
    <d v="2025-11-21T00:00:00"/>
    <n v="66.099999999999994"/>
    <x v="2"/>
    <x v="10"/>
  </r>
  <r>
    <x v="0"/>
    <s v="CORPORATIVO ATAUCHI E.I.R.L."/>
    <s v="20610011609"/>
    <s v="PAGO"/>
    <d v="2025-11-21T00:00:00"/>
    <n v="66.099999999999994"/>
    <x v="2"/>
    <x v="10"/>
  </r>
  <r>
    <x v="0"/>
    <s v="VIGO PERU S.A.C."/>
    <s v="20611659131"/>
    <s v="PAGO"/>
    <d v="2025-11-21T00:00:00"/>
    <n v="97.62"/>
    <x v="2"/>
    <x v="10"/>
  </r>
  <r>
    <x v="1"/>
    <s v="MASIAS MARROU MANUEL ESTUARDO"/>
    <s v="10070065571"/>
    <s v="PAGO"/>
    <d v="2025-11-21T00:00:00"/>
    <n v="10692.1"/>
    <x v="2"/>
    <x v="10"/>
  </r>
  <r>
    <x v="1"/>
    <s v="CAMARA INTERNACIONAL DE GASTRONOMIA"/>
    <s v="20601613256"/>
    <s v="PAGO"/>
    <d v="2025-11-21T00:00:00"/>
    <n v="66.099999999999994"/>
    <x v="2"/>
    <x v="10"/>
  </r>
  <r>
    <x v="0"/>
    <s v="SIETE MEDIOS S.A.C."/>
    <s v="20603083670"/>
    <s v="PAGO"/>
    <d v="2025-11-23T00:00:00"/>
    <n v="66"/>
    <x v="2"/>
    <x v="10"/>
  </r>
  <r>
    <x v="0"/>
    <s v="NUÑEZ SAAVEDRA SILVESTRE"/>
    <s v="10026192400"/>
    <s v="PAGO"/>
    <d v="2025-11-24T00:00:00"/>
    <n v="68.400000000000006"/>
    <x v="2"/>
    <x v="11"/>
  </r>
  <r>
    <x v="0"/>
    <s v="4A SOLUCIONES INTEGRALES S.A.C."/>
    <s v="20492325784"/>
    <s v="PAGO"/>
    <d v="2025-11-24T00:00:00"/>
    <n v="101.13"/>
    <x v="2"/>
    <x v="11"/>
  </r>
  <r>
    <x v="0"/>
    <s v="H &amp; Q COMERCIAL LISAGE E.I.R.L"/>
    <s v="20538512312"/>
    <s v="PAGO"/>
    <d v="2025-11-24T00:00:00"/>
    <n v="66.099999999999994"/>
    <x v="2"/>
    <x v="11"/>
  </r>
  <r>
    <x v="0"/>
    <s v="ASOCIACION CIVIL EDUCATIVA AGAPE KAI DIACONIA-OLMOS"/>
    <s v="20600298080"/>
    <s v="PAGO"/>
    <d v="2025-11-24T00:00:00"/>
    <n v="102.03"/>
    <x v="2"/>
    <x v="11"/>
  </r>
  <r>
    <x v="0"/>
    <s v="ROSALES HUERTA JANDO DIOGENES"/>
    <s v="10410886150"/>
    <s v="PAGO"/>
    <d v="2025-11-25T00:00:00"/>
    <n v="92"/>
    <x v="2"/>
    <x v="12"/>
  </r>
  <r>
    <x v="0"/>
    <s v="AQUA FLASH - FONTANEROS S.R.L."/>
    <s v="20376827055"/>
    <s v="PAGO"/>
    <d v="2025-11-25T00:00:00"/>
    <n v="216.86"/>
    <x v="2"/>
    <x v="12"/>
  </r>
  <r>
    <x v="0"/>
    <s v="JCR PRODUCCIONES S.R.L."/>
    <s v="20520988239"/>
    <s v="PAGO"/>
    <d v="2025-11-25T00:00:00"/>
    <n v="66.099999999999994"/>
    <x v="2"/>
    <x v="12"/>
  </r>
  <r>
    <x v="0"/>
    <s v="S &amp; V TRANSPORTE Y SERVICIOS GENERALES S.A.C."/>
    <s v="20549017470"/>
    <s v="PAGO"/>
    <d v="2025-11-25T00:00:00"/>
    <n v="81.67"/>
    <x v="2"/>
    <x v="12"/>
  </r>
  <r>
    <x v="0"/>
    <s v="VITALITY S.A.C."/>
    <s v="20549119043"/>
    <s v="PAGO"/>
    <d v="2025-11-25T00:00:00"/>
    <n v="66.099999999999994"/>
    <x v="2"/>
    <x v="12"/>
  </r>
  <r>
    <x v="0"/>
    <s v="MONTAJES Y OBRAS ELECTRICAS DEL NORTE EMPRESA INDIVIDUAL DE RESPONSABILIDAD LIMITADA"/>
    <s v="20600707346"/>
    <s v="PAGO"/>
    <d v="2025-11-25T00:00:00"/>
    <n v="138.4"/>
    <x v="2"/>
    <x v="12"/>
  </r>
  <r>
    <x v="0"/>
    <s v="EMPRESA DE TRANSPORTES Y SERVICIOS GENERALES ABESA E.I.R.L."/>
    <s v="20600720636"/>
    <s v="PAGO"/>
    <d v="2025-11-25T00:00:00"/>
    <n v="66.099999999999994"/>
    <x v="2"/>
    <x v="12"/>
  </r>
  <r>
    <x v="0"/>
    <s v="GRUPO TEKNOMEAL - FYN S.A.C."/>
    <s v="20602720391"/>
    <s v="PAGO"/>
    <d v="2025-11-25T00:00:00"/>
    <n v="66.099999999999994"/>
    <x v="2"/>
    <x v="12"/>
  </r>
  <r>
    <x v="0"/>
    <s v="CLINICA SOLIDARIA SANTA ANITA SOCIEDAD ANONIMA CERRADA - CLINICA SOLIDARIA SANTA ANITA S.A.C."/>
    <s v="20605358129"/>
    <s v="PAGO"/>
    <d v="2025-11-25T00:00:00"/>
    <n v="125.22"/>
    <x v="2"/>
    <x v="12"/>
  </r>
  <r>
    <x v="0"/>
    <s v="IMPORTACIONES D´LIDIA EIRL"/>
    <s v="20608904655"/>
    <s v="PAGO"/>
    <d v="2025-11-25T00:00:00"/>
    <n v="66.099999999999994"/>
    <x v="2"/>
    <x v="12"/>
  </r>
  <r>
    <x v="0"/>
    <s v="ESTILOS DARUAST E.I.R.L."/>
    <s v="20613318802"/>
    <s v="PAGO"/>
    <d v="2025-11-25T00:00:00"/>
    <n v="100"/>
    <x v="2"/>
    <x v="12"/>
  </r>
  <r>
    <x v="3"/>
    <s v="CORPORACION ELIANA E.I.R.L."/>
    <s v="20508114843"/>
    <s v="PAGO"/>
    <d v="2025-11-25T00:00:00"/>
    <n v="179.24"/>
    <x v="2"/>
    <x v="12"/>
  </r>
  <r>
    <x v="2"/>
    <s v="ANA KAREN NEGOCIOS Y REPRESENTACIONES S.A.C."/>
    <s v="20613405322"/>
    <s v="PAGO"/>
    <d v="2025-11-25T00:00:00"/>
    <n v="66.099999999999994"/>
    <x v="2"/>
    <x v="12"/>
  </r>
  <r>
    <x v="0"/>
    <s v="VILA ESQUIVEL DOLLY CARMELA"/>
    <s v="10404047103"/>
    <s v="PAGO"/>
    <d v="2025-11-26T00:00:00"/>
    <n v="66.099999999999994"/>
    <x v="2"/>
    <x v="13"/>
  </r>
  <r>
    <x v="0"/>
    <s v="M &amp; M SOLUCIONES EN CAPITAL HUMANO SAC"/>
    <s v="20451491297"/>
    <s v="PAGO"/>
    <d v="2025-11-26T00:00:00"/>
    <n v="115"/>
    <x v="2"/>
    <x v="13"/>
  </r>
  <r>
    <x v="0"/>
    <s v="PANADERIA Y PASTELERIA AVE MARIA E.I.R.L"/>
    <s v="20493382528"/>
    <s v="PAGO"/>
    <d v="2025-11-26T00:00:00"/>
    <n v="70"/>
    <x v="2"/>
    <x v="13"/>
  </r>
  <r>
    <x v="0"/>
    <s v="CORPORACION ANGO S.A.C."/>
    <s v="20510202946"/>
    <s v="PAGO"/>
    <d v="2025-11-26T00:00:00"/>
    <n v="229.91"/>
    <x v="2"/>
    <x v="13"/>
  </r>
  <r>
    <x v="0"/>
    <s v="MAGOKORO SERVICE E.I.R.L."/>
    <s v="20610364935"/>
    <s v="PAGO"/>
    <d v="2025-11-26T00:00:00"/>
    <n v="93"/>
    <x v="2"/>
    <x v="13"/>
  </r>
  <r>
    <x v="0"/>
    <s v="INVERSIONES Y SERVICIOS REMA S.A.C."/>
    <s v="20606512636"/>
    <s v="PAGO"/>
    <d v="2025-11-27T00:00:00"/>
    <n v="66.099999999999994"/>
    <x v="2"/>
    <x v="14"/>
  </r>
  <r>
    <x v="0"/>
    <s v="MASTER METAL SERVICE E.I.R.L."/>
    <s v="20608792113"/>
    <s v="PAGO"/>
    <d v="2025-11-27T00:00:00"/>
    <n v="100.81"/>
    <x v="2"/>
    <x v="14"/>
  </r>
  <r>
    <x v="0"/>
    <s v="SERVIARTE DRYWALL S.A.C."/>
    <s v="20558361248"/>
    <s v="PAGO"/>
    <d v="2025-11-28T00:00:00"/>
    <n v="66.099999999999994"/>
    <x v="2"/>
    <x v="15"/>
  </r>
  <r>
    <x v="0"/>
    <s v="LEON TRUCK LOGISTICS E.I.R.L."/>
    <s v="20606269031"/>
    <s v="PAGO"/>
    <d v="2025-11-28T00:00:00"/>
    <n v="86.33"/>
    <x v="2"/>
    <x v="15"/>
  </r>
  <r>
    <x v="0"/>
    <s v="PRANEE SOCIEDAD ANONIMA CERRADA"/>
    <s v="20610786686"/>
    <s v="PAGO"/>
    <d v="2025-11-28T00:00:00"/>
    <n v="200"/>
    <x v="2"/>
    <x v="15"/>
  </r>
  <r>
    <x v="0"/>
    <s v="LOTTUS CORPORATION EMPRESA INDIVIDUAL DE RESPONSABILIDAD LIMITADA"/>
    <s v="20611106191"/>
    <s v="PAGO"/>
    <d v="2025-11-28T00:00:00"/>
    <n v="66.099999999999994"/>
    <x v="2"/>
    <x v="15"/>
  </r>
  <r>
    <x v="0"/>
    <s v="DECORACIONES DE INTERIORES SOMAR E.I.R.L"/>
    <s v="20614221292"/>
    <s v="PAGO"/>
    <d v="2025-11-28T00:00:00"/>
    <n v="66.099999999999994"/>
    <x v="2"/>
    <x v="15"/>
  </r>
  <r>
    <x v="0"/>
    <s v="ALLESMARKT EMPRESA INDIVIDUAL DE RESPONSABILIDAD LIMITADA - ALLESMARKT E.I.R.L."/>
    <s v="20604136548"/>
    <s v="PAGO"/>
    <d v="2025-11-29T00:00:00"/>
    <n v="142.99"/>
    <x v="2"/>
    <x v="15"/>
  </r>
  <r>
    <x v="0"/>
    <s v="INMOBILIARIA CAVANA S.A.C."/>
    <s v="20614142627"/>
    <s v="PAGO"/>
    <d v="2025-11-29T00:00:00"/>
    <n v="121.41"/>
    <x v="2"/>
    <x v="15"/>
  </r>
  <r>
    <x v="0"/>
    <s v="ROMIFER E.I.R.L."/>
    <s v="20504796508"/>
    <s v="PAGO"/>
    <d v="2025-12-01T00:00:00"/>
    <n v="66.099999999999994"/>
    <x v="2"/>
    <x v="16"/>
  </r>
  <r>
    <x v="0"/>
    <s v="W &amp; A SUMINISTROS E INSTALACIONES CONTRA INCENDIOS E.I.R.L."/>
    <s v="20523226933"/>
    <s v="PAGO"/>
    <d v="2025-12-01T00:00:00"/>
    <n v="87.63"/>
    <x v="2"/>
    <x v="16"/>
  </r>
  <r>
    <x v="0"/>
    <s v="METROLOGIA &amp; CALIDAD PERU S.A.C. - MECALPE S.A.C."/>
    <s v="20600292197"/>
    <s v="PAGO"/>
    <d v="2025-12-01T00:00:00"/>
    <n v="70"/>
    <x v="2"/>
    <x v="16"/>
  </r>
  <r>
    <x v="0"/>
    <s v="INVERSIONES KINTU CUSCO E.I.R.L."/>
    <s v="20605598804"/>
    <s v="PAGO"/>
    <d v="2025-12-01T00:00:00"/>
    <n v="66.099999999999994"/>
    <x v="2"/>
    <x v="16"/>
  </r>
  <r>
    <x v="0"/>
    <s v="HISPANATURA S.A.C."/>
    <s v="20605733027"/>
    <s v="PAGO"/>
    <d v="2025-12-01T00:00:00"/>
    <n v="113.64"/>
    <x v="2"/>
    <x v="16"/>
  </r>
  <r>
    <x v="0"/>
    <s v="ZANE DISTRIBUCIONES S.A.C."/>
    <s v="20614141990"/>
    <s v="PAGO"/>
    <d v="2025-12-01T00:00:00"/>
    <n v="67"/>
    <x v="2"/>
    <x v="16"/>
  </r>
  <r>
    <x v="0"/>
    <s v="ASOCIACION DE POBLADORES DEL PUEBLO JOVEN VIÑA ALTA LA MOLINA"/>
    <s v="20197398567"/>
    <s v="PAGO"/>
    <d v="2025-12-02T00:00:00"/>
    <n v="144"/>
    <x v="2"/>
    <x v="19"/>
  </r>
  <r>
    <x v="0"/>
    <s v="MULTISERVICIOS EXPRESO DEL SUR SOCIEDAD ANONIMA CERRADA"/>
    <s v="20535090883"/>
    <s v="PAGO"/>
    <d v="2025-12-02T00:00:00"/>
    <n v="121.72"/>
    <x v="2"/>
    <x v="19"/>
  </r>
  <r>
    <x v="0"/>
    <s v="GRUPO JH SEGURIDAD SOCIEDAD ANONIMA CERRADA"/>
    <s v="20609908964"/>
    <s v="PAGO"/>
    <d v="2025-12-02T00:00:00"/>
    <n v="66.099999999999994"/>
    <x v="2"/>
    <x v="19"/>
  </r>
  <r>
    <x v="0"/>
    <s v="CASA MATUK S.R.L."/>
    <s v="20498587012"/>
    <s v="PAGO"/>
    <d v="2025-12-03T00:00:00"/>
    <n v="66.099999999999994"/>
    <x v="2"/>
    <x v="17"/>
  </r>
  <r>
    <x v="0"/>
    <s v="EMPRESA DE SEGURIDAD TONY &amp; EA S.A.C."/>
    <s v="20534421703"/>
    <s v="PAGO"/>
    <d v="2025-12-03T00:00:00"/>
    <n v="66.099999999999994"/>
    <x v="2"/>
    <x v="17"/>
  </r>
  <r>
    <x v="0"/>
    <s v="GUSTOS MARY SOCIEDAD ANONIMA CERRADA"/>
    <s v="20537886294"/>
    <s v="PAGO"/>
    <d v="2025-12-03T00:00:00"/>
    <n v="91.69"/>
    <x v="2"/>
    <x v="17"/>
  </r>
  <r>
    <x v="0"/>
    <s v="BOTICA DERMA PERU S Y S S.A.C."/>
    <s v="20606176199"/>
    <s v="PAGO"/>
    <d v="2025-12-03T00:00:00"/>
    <n v="108.8"/>
    <x v="2"/>
    <x v="17"/>
  </r>
  <r>
    <x v="0"/>
    <s v="CONSORCIO EJECUTOR SUNEC"/>
    <s v="20613388126"/>
    <s v="PAGO"/>
    <d v="2025-12-03T00:00:00"/>
    <n v="181.99"/>
    <x v="2"/>
    <x v="17"/>
  </r>
  <r>
    <x v="3"/>
    <s v="INSTITUCION EDUCATIVA NUESTRA SEñORA DE LA ASUNTA S.R.L. - IENSA S.R.L."/>
    <s v="20453989861"/>
    <s v="PAGO"/>
    <d v="2025-12-03T00:00:00"/>
    <n v="66.099999999999994"/>
    <x v="2"/>
    <x v="17"/>
  </r>
  <r>
    <x v="3"/>
    <s v="COPY FAST TECH S.A.C."/>
    <s v="20519499780"/>
    <s v="PAGO"/>
    <d v="2025-12-03T00:00:00"/>
    <n v="424.42"/>
    <x v="2"/>
    <x v="17"/>
  </r>
  <r>
    <x v="0"/>
    <s v="EMPRESA CONSTRUCTORA FORCON SOCIEDAD ANONIMA CERRADA"/>
    <s v="20601305276"/>
    <s v="PAGO"/>
    <d v="2025-12-04T00:00:00"/>
    <n v="66.099999999999994"/>
    <x v="2"/>
    <x v="20"/>
  </r>
  <r>
    <x v="0"/>
    <s v="EMPRESA DE TRANSPORTES HILDA S.A.C."/>
    <s v="20123697864"/>
    <s v="PAGO"/>
    <d v="2025-12-05T00:00:00"/>
    <n v="66.099999999999994"/>
    <x v="2"/>
    <x v="21"/>
  </r>
  <r>
    <x v="0"/>
    <s v="LA TAULA FOOD S.R.L."/>
    <s v="20603841418"/>
    <s v="PAGO"/>
    <d v="2025-12-05T00:00:00"/>
    <n v="66.099999999999994"/>
    <x v="2"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6874C-C2F0-4B20-96DC-537F552005B8}" name="TablaDinámica13" cacheId="1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DIA HABIL" colHeaderCaption="MES">
  <location ref="A3:G28" firstHeaderRow="1" firstDataRow="3" firstDataCol="1"/>
  <pivotFields count="4">
    <pivotField dataField="1" numFmtId="14" showAll="0"/>
    <pivotField dataField="1" showAll="0"/>
    <pivotField axis="axisCol" showAll="0">
      <items count="3">
        <item x="0"/>
        <item x="1"/>
        <item t="default"/>
      </items>
    </pivotField>
    <pivotField axis="axisRow" showAll="0">
      <items count="23">
        <item x="0"/>
        <item x="1"/>
        <item x="20"/>
        <item x="2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Q " fld="0" subtotal="count" baseField="0" baseItem="0"/>
    <dataField name="SUMA TOTAL" fld="1" baseField="0" baseItem="0"/>
  </dataFields>
  <formats count="17">
    <format dxfId="428">
      <pivotArea type="all" dataOnly="0" outline="0" fieldPosition="0"/>
    </format>
    <format dxfId="427">
      <pivotArea outline="0" collapsedLevelsAreSubtotals="1" fieldPosition="0"/>
    </format>
    <format dxfId="426">
      <pivotArea type="origin" dataOnly="0" labelOnly="1" outline="0" fieldPosition="0"/>
    </format>
    <format dxfId="425">
      <pivotArea field="2" type="button" dataOnly="0" labelOnly="1" outline="0" axis="axisCol" fieldPosition="0"/>
    </format>
    <format dxfId="424">
      <pivotArea field="-2" type="button" dataOnly="0" labelOnly="1" outline="0" axis="axisCol" fieldPosition="1"/>
    </format>
    <format dxfId="423">
      <pivotArea type="topRight" dataOnly="0" labelOnly="1" outline="0" fieldPosition="0"/>
    </format>
    <format dxfId="422">
      <pivotArea field="3" type="button" dataOnly="0" labelOnly="1" outline="0" axis="axisRow" fieldPosition="0"/>
    </format>
    <format dxfId="421">
      <pivotArea dataOnly="0" labelOnly="1" fieldPosition="0">
        <references count="1">
          <reference field="3" count="0"/>
        </references>
      </pivotArea>
    </format>
    <format dxfId="420">
      <pivotArea dataOnly="0" labelOnly="1" grandRow="1" outline="0" fieldPosition="0"/>
    </format>
    <format dxfId="419">
      <pivotArea dataOnly="0" labelOnly="1" fieldPosition="0">
        <references count="1">
          <reference field="2" count="0"/>
        </references>
      </pivotArea>
    </format>
    <format dxfId="418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17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6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415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"/>
          </reference>
        </references>
      </pivotArea>
    </format>
    <format dxfId="414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format>
    <format dxfId="413">
      <pivotArea dataOnly="0" labelOnly="1" outline="0" fieldPosition="0">
        <references count="2">
          <reference field="4294967294" count="1">
            <x v="1"/>
          </reference>
          <reference field="2" count="1" selected="0">
            <x v="1"/>
          </reference>
        </references>
      </pivotArea>
    </format>
    <format dxfId="412">
      <pivotArea field="2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258EE-C77A-46B8-BFE6-C82DAF92BAC7}" name="TablaDinámica21" cacheId="2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DIA HABIL" colHeaderCaption="MES">
  <location ref="A3:G27" firstHeaderRow="1" firstDataRow="3" firstDataCol="1"/>
  <pivotFields count="5">
    <pivotField numFmtId="14" showAll="0"/>
    <pivotField dataField="1" showAll="0"/>
    <pivotField dataField="1"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2">
    <field x="4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Q " fld="1" baseField="3" baseItem="0"/>
    <dataField name="TOTAL" fld="2" baseField="0" baseItem="0"/>
  </dataFields>
  <formats count="19">
    <format dxfId="411">
      <pivotArea type="all" dataOnly="0" outline="0" fieldPosition="0"/>
    </format>
    <format dxfId="410">
      <pivotArea outline="0" collapsedLevelsAreSubtotals="1" fieldPosition="0"/>
    </format>
    <format dxfId="409">
      <pivotArea type="origin" dataOnly="0" labelOnly="1" outline="0" fieldPosition="0"/>
    </format>
    <format dxfId="408">
      <pivotArea field="4" type="button" dataOnly="0" labelOnly="1" outline="0" axis="axisCol" fieldPosition="0"/>
    </format>
    <format dxfId="407">
      <pivotArea field="-2" type="button" dataOnly="0" labelOnly="1" outline="0" axis="axisCol" fieldPosition="1"/>
    </format>
    <format dxfId="406">
      <pivotArea type="topRight" dataOnly="0" labelOnly="1" outline="0" fieldPosition="0"/>
    </format>
    <format dxfId="405">
      <pivotArea field="3" type="button" dataOnly="0" labelOnly="1" outline="0" axis="axisRow" fieldPosition="0"/>
    </format>
    <format dxfId="404">
      <pivotArea dataOnly="0" labelOnly="1" fieldPosition="0">
        <references count="1">
          <reference field="3" count="0"/>
        </references>
      </pivotArea>
    </format>
    <format dxfId="403">
      <pivotArea dataOnly="0" labelOnly="1" grandRow="1" outline="0" fieldPosition="0"/>
    </format>
    <format dxfId="402">
      <pivotArea dataOnly="0" labelOnly="1" fieldPosition="0">
        <references count="1">
          <reference field="4" count="0"/>
        </references>
      </pivotArea>
    </format>
    <format dxfId="401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00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99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398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"/>
          </reference>
        </references>
      </pivotArea>
    </format>
    <format dxfId="397">
      <pivotArea outline="0" collapsedLevelsAreSubtotals="1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format>
    <format dxfId="396">
      <pivotArea field="-2" type="button" dataOnly="0" labelOnly="1" outline="0" axis="axisCol" fieldPosition="1"/>
    </format>
    <format dxfId="395">
      <pivotArea dataOnly="0" labelOnly="1" fieldPosition="0">
        <references count="1">
          <reference field="4" count="1">
            <x v="0"/>
          </reference>
        </references>
      </pivotArea>
    </format>
    <format dxfId="394">
      <pivotArea dataOnly="0" labelOnly="1" outline="0" fieldPosition="0">
        <references count="2">
          <reference field="4294967294" count="1">
            <x v="1"/>
          </reference>
          <reference field="4" count="1" selected="0">
            <x v="0"/>
          </reference>
        </references>
      </pivotArea>
    </format>
    <format dxfId="393">
      <pivotArea outline="0" collapsedLevelsAreSubtotals="1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2D7DF-39B9-4CBF-988C-93B419D9FDD9}" name="TablaDinámica11" cacheId="1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DIA HABIL " colHeaderCaption="MES">
  <location ref="A3:G28" firstHeaderRow="1" firstDataRow="3" firstDataCol="1"/>
  <pivotFields count="5">
    <pivotField numFmtId="14" showAll="0"/>
    <pivotField dataField="1" showAll="0"/>
    <pivotField dataField="1" showAll="0"/>
    <pivotField axis="axisRow" showAll="0">
      <items count="23">
        <item x="16"/>
        <item x="21"/>
        <item x="17"/>
        <item x="18"/>
        <item x="19"/>
        <item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2">
    <field x="4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  Q" fld="1" subtotal="count" baseField="3" baseItem="0"/>
    <dataField name=" MONTO" fld="2" baseField="0" baseItem="0"/>
  </dataFields>
  <formats count="14">
    <format dxfId="392">
      <pivotArea type="all" dataOnly="0" outline="0" fieldPosition="0"/>
    </format>
    <format dxfId="391">
      <pivotArea outline="0" collapsedLevelsAreSubtotals="1" fieldPosition="0"/>
    </format>
    <format dxfId="390">
      <pivotArea type="origin" dataOnly="0" labelOnly="1" outline="0" fieldPosition="0"/>
    </format>
    <format dxfId="389">
      <pivotArea field="4" type="button" dataOnly="0" labelOnly="1" outline="0" axis="axisCol" fieldPosition="0"/>
    </format>
    <format dxfId="388">
      <pivotArea field="-2" type="button" dataOnly="0" labelOnly="1" outline="0" axis="axisCol" fieldPosition="1"/>
    </format>
    <format dxfId="387">
      <pivotArea type="topRight" dataOnly="0" labelOnly="1" outline="0" fieldPosition="0"/>
    </format>
    <format dxfId="386">
      <pivotArea field="3" type="button" dataOnly="0" labelOnly="1" outline="0" axis="axisRow" fieldPosition="0"/>
    </format>
    <format dxfId="385">
      <pivotArea dataOnly="0" labelOnly="1" fieldPosition="0">
        <references count="1">
          <reference field="3" count="0"/>
        </references>
      </pivotArea>
    </format>
    <format dxfId="384">
      <pivotArea dataOnly="0" labelOnly="1" grandRow="1" outline="0" fieldPosition="0"/>
    </format>
    <format dxfId="383">
      <pivotArea dataOnly="0" labelOnly="1" fieldPosition="0">
        <references count="1">
          <reference field="4" count="0"/>
        </references>
      </pivotArea>
    </format>
    <format dxfId="382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81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80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379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D6795-64FF-44DD-9BAA-E02CA826B548}" name="TablaDinámica4" cacheId="8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Dia Habil" colHeaderCaption="MES">
  <location ref="A3:I28" firstHeaderRow="1" firstDataRow="3" firstDataCol="1" rowPageCount="1" colPageCount="1"/>
  <pivotFields count="8">
    <pivotField axis="axisPage" showAll="0">
      <items count="9">
        <item m="1" x="4"/>
        <item x="0"/>
        <item m="1" x="6"/>
        <item x="2"/>
        <item m="1" x="7"/>
        <item x="1"/>
        <item x="3"/>
        <item m="1" x="5"/>
        <item t="default"/>
      </items>
    </pivotField>
    <pivotField showAll="0"/>
    <pivotField dataField="1" showAll="0"/>
    <pivotField showAll="0"/>
    <pivotField numFmtId="14" showAll="0"/>
    <pivotField dataField="1" showAll="0"/>
    <pivotField axis="axisCol" showAll="0">
      <items count="4">
        <item n="9" x="0"/>
        <item n="10" x="1"/>
        <item n="11" x="2"/>
        <item t="default"/>
      </items>
    </pivotField>
    <pivotField axis="axisRow" showAll="0">
      <items count="23">
        <item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9"/>
        <item x="17"/>
        <item x="20"/>
        <item x="21"/>
        <item t="default"/>
      </items>
    </pivotField>
  </pivotFields>
  <rowFields count="1">
    <field x="7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2">
    <field x="6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Q" fld="2" subtotal="count" baseField="0" baseItem="0"/>
    <dataField name="TOTAL" fld="5" baseField="0" baseItem="0"/>
  </dataFields>
  <formats count="19">
    <format dxfId="19">
      <pivotArea outline="0" collapsedLevelsAreSubtotals="1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format>
    <format dxfId="20">
      <pivotArea field="-2" type="button" dataOnly="0" labelOnly="1" outline="0" axis="axisCol" fieldPosition="1"/>
    </format>
    <format dxfId="21">
      <pivotArea dataOnly="0" labelOnly="1" fieldPosition="0">
        <references count="1">
          <reference field="6" count="1">
            <x v="0"/>
          </reference>
        </references>
      </pivotArea>
    </format>
    <format dxfId="22">
      <pivotArea dataOnly="0" labelOnly="1" outline="0" fieldPosition="0">
        <references count="2">
          <reference field="4294967294" count="1">
            <x v="1"/>
          </reference>
          <reference field="6" count="1" selected="0">
            <x v="0"/>
          </reference>
        </references>
      </pivotArea>
    </format>
    <format dxfId="23">
      <pivotArea outline="0" collapsedLevelsAreSubtotals="1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format>
    <format dxfId="24">
      <pivotArea outline="0" collapsedLevelsAreSubtotals="1" fieldPosition="0"/>
    </format>
    <format dxfId="25">
      <pivotArea field="6" type="button" dataOnly="0" labelOnly="1" outline="0" axis="axisCol" fieldPosition="0"/>
    </format>
    <format dxfId="26">
      <pivotArea field="-2" type="button" dataOnly="0" labelOnly="1" outline="0" axis="axisCol" fieldPosition="1"/>
    </format>
    <format dxfId="27">
      <pivotArea type="topRight" dataOnly="0" labelOnly="1" outline="0" fieldPosition="0"/>
    </format>
    <format dxfId="28">
      <pivotArea dataOnly="0" labelOnly="1" fieldPosition="0">
        <references count="1">
          <reference field="6" count="0"/>
        </references>
      </pivotArea>
    </format>
    <format dxfId="29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3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3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34">
      <pivotArea type="origin" dataOnly="0" labelOnly="1" outline="0" fieldPosition="0"/>
    </format>
    <format dxfId="35">
      <pivotArea field="7" type="button" dataOnly="0" labelOnly="1" outline="0" axis="axisRow" fieldPosition="0"/>
    </format>
    <format dxfId="36">
      <pivotArea dataOnly="0" labelOnly="1" fieldPosition="0">
        <references count="1">
          <reference field="7" count="0"/>
        </references>
      </pivotArea>
    </format>
    <format dxfId="3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BBBAB-3325-425F-A1BB-6DFFA99F2F93}" name="TablaDinámica2" cacheId="5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olHeaderCaption="Mes">
  <location ref="A3:I29" firstHeaderRow="1" firstDataRow="3" firstDataCol="1"/>
  <pivotFields count="8">
    <pivotField showAll="0"/>
    <pivotField dataField="1" showAll="0"/>
    <pivotField showAll="0"/>
    <pivotField showAll="0"/>
    <pivotField numFmtId="14" showAll="0"/>
    <pivotField dataField="1" showAll="0"/>
    <pivotField axis="axisCol" showAll="0">
      <items count="4">
        <item n="9" x="0"/>
        <item n="10" x="1"/>
        <item n="11" x="2"/>
        <item t="default"/>
      </items>
    </pivotField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1"/>
        <item t="default"/>
      </items>
    </pivotField>
  </pivotFields>
  <rowFields count="1">
    <field x="7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2">
    <field x="6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Q" fld="1" subtotal="count" baseField="7" baseItem="0"/>
    <dataField name="Suma de Suma Total" fld="5" baseField="7" baseItem="1" numFmtId="168"/>
  </dataFields>
  <formats count="18">
    <format dxfId="378">
      <pivotArea outline="0" collapsedLevelsAreSubtotals="1" fieldPosition="0"/>
    </format>
    <format dxfId="377">
      <pivotArea field="6" type="button" dataOnly="0" labelOnly="1" outline="0" axis="axisCol" fieldPosition="0"/>
    </format>
    <format dxfId="376">
      <pivotArea type="topRight" dataOnly="0" labelOnly="1" outline="0" fieldPosition="0"/>
    </format>
    <format dxfId="375">
      <pivotArea dataOnly="0" labelOnly="1" fieldPosition="0">
        <references count="1">
          <reference field="6" count="0"/>
        </references>
      </pivotArea>
    </format>
    <format dxfId="374">
      <pivotArea dataOnly="0" labelOnly="1" grandCol="1" outline="0" fieldPosition="0"/>
    </format>
    <format dxfId="373">
      <pivotArea dataOnly="0" outline="0" fieldPosition="0">
        <references count="1">
          <reference field="4294967294" count="1">
            <x v="0"/>
          </reference>
        </references>
      </pivotArea>
    </format>
    <format dxfId="372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2" selected="0">
            <x v="0"/>
            <x v="1"/>
          </reference>
        </references>
      </pivotArea>
    </format>
    <format dxfId="371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format>
    <format dxfId="370">
      <pivotArea field="6" type="button" dataOnly="0" labelOnly="1" outline="0" axis="axisCol" fieldPosition="0"/>
    </format>
    <format dxfId="369">
      <pivotArea field="-2" type="button" dataOnly="0" labelOnly="1" outline="0" axis="axisCol" fieldPosition="1"/>
    </format>
    <format dxfId="368">
      <pivotArea type="topRight" dataOnly="0" labelOnly="1" outline="0" fieldPosition="0"/>
    </format>
    <format dxfId="367">
      <pivotArea dataOnly="0" labelOnly="1" fieldPosition="0">
        <references count="1">
          <reference field="6" count="2">
            <x v="0"/>
            <x v="1"/>
          </reference>
        </references>
      </pivotArea>
    </format>
    <format dxfId="366">
      <pivotArea dataOnly="0" labelOnly="1" fieldPosition="0">
        <references count="1">
          <reference field="6" count="1">
            <x v="2"/>
          </reference>
        </references>
      </pivotArea>
    </format>
    <format dxfId="36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36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363">
      <pivotArea dataOnly="0" labelOnly="1" outline="0" fieldPosition="0">
        <references count="2">
          <reference field="4294967294" count="1">
            <x v="0"/>
          </reference>
          <reference field="6" count="1" selected="0">
            <x v="2"/>
          </reference>
        </references>
      </pivotArea>
    </format>
    <format dxfId="362">
      <pivotArea outline="0" collapsedLevelsAreSubtotals="1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format>
    <format dxfId="361">
      <pivotArea field="6" grandCol="1" outline="0" collapsedLevelsAreSubtotals="1" axis="axisCol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9A9FDE-2708-4A59-BAF2-4A27D0824E99}" name="TablaDinámica19" cacheId="3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C55" firstHeaderRow="0" firstDataRow="1" firstDataCol="1"/>
  <pivotFields count="9">
    <pivotField showAll="0"/>
    <pivotField dataField="1" showAll="0"/>
    <pivotField showAll="0"/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52"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1"/>
    </i>
    <i>
      <x v="302"/>
    </i>
    <i>
      <x v="303"/>
    </i>
    <i>
      <x v="304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DOCUMENTO" fld="1" subtotal="count" baseField="4" baseItem="252"/>
    <dataField name="Suma de Suma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023F1-58B8-4E18-8CB9-37AF2B395E6A}" name="TablaDinámica12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33" firstHeaderRow="1" firstDataRow="1" firstDataCol="1" rowPageCount="1" colPageCount="1"/>
  <pivotFields count="8">
    <pivotField showAll="0"/>
    <pivotField showAll="0"/>
    <pivotField showAll="0"/>
    <pivotField showAll="0"/>
    <pivotField axis="axisRow"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dataField="1" showAll="0"/>
    <pivotField axis="axisPage" showAll="0">
      <items count="3">
        <item x="0"/>
        <item x="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0"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2"/>
    </i>
    <i>
      <x v="273"/>
    </i>
    <i>
      <x v="274"/>
    </i>
    <i>
      <x v="275"/>
    </i>
    <i>
      <x v="276"/>
    </i>
    <i>
      <x v="277"/>
    </i>
    <i>
      <x v="279"/>
    </i>
    <i>
      <x v="280"/>
    </i>
    <i>
      <x v="282"/>
    </i>
    <i t="grand">
      <x/>
    </i>
  </rowItems>
  <colItems count="1">
    <i/>
  </colItems>
  <pageFields count="1">
    <pageField fld="6" item="0" hier="-1"/>
  </pageFields>
  <dataFields count="1">
    <dataField name="Suma de Suma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BF50-C821-4A09-9BC3-D5DA748C81DA}">
  <dimension ref="A3:U31"/>
  <sheetViews>
    <sheetView topLeftCell="D3" workbookViewId="0">
      <selection activeCell="Q6" sqref="Q6:U29"/>
    </sheetView>
  </sheetViews>
  <sheetFormatPr baseColWidth="10" defaultRowHeight="14.4" x14ac:dyDescent="0.3"/>
  <cols>
    <col min="1" max="1" width="13.88671875" style="5" bestFit="1" customWidth="1"/>
    <col min="2" max="2" width="9.21875" style="5" bestFit="1" customWidth="1"/>
    <col min="3" max="3" width="12.21875" style="5" bestFit="1" customWidth="1"/>
    <col min="4" max="4" width="3" style="5" bestFit="1" customWidth="1"/>
    <col min="5" max="5" width="12.21875" style="5" bestFit="1" customWidth="1"/>
    <col min="6" max="6" width="7.44140625" style="5" bestFit="1" customWidth="1"/>
    <col min="7" max="7" width="17" style="5" bestFit="1" customWidth="1"/>
    <col min="8" max="16384" width="11.5546875" style="5"/>
  </cols>
  <sheetData>
    <row r="3" spans="1:21" x14ac:dyDescent="0.3">
      <c r="B3" s="6" t="s">
        <v>1487</v>
      </c>
    </row>
    <row r="4" spans="1:21" x14ac:dyDescent="0.3">
      <c r="B4" s="5">
        <v>9</v>
      </c>
      <c r="D4" s="5">
        <v>10</v>
      </c>
      <c r="F4" s="5" t="s">
        <v>1494</v>
      </c>
      <c r="G4" s="5" t="s">
        <v>1496</v>
      </c>
      <c r="I4"/>
      <c r="J4"/>
      <c r="K4"/>
      <c r="L4"/>
      <c r="M4"/>
      <c r="N4"/>
      <c r="O4"/>
      <c r="P4"/>
      <c r="Q4"/>
      <c r="R4"/>
      <c r="S4"/>
      <c r="T4"/>
      <c r="U4"/>
    </row>
    <row r="5" spans="1:21" x14ac:dyDescent="0.3">
      <c r="A5" s="6" t="s">
        <v>1493</v>
      </c>
      <c r="B5" s="5" t="s">
        <v>1495</v>
      </c>
      <c r="C5" s="5" t="s">
        <v>1497</v>
      </c>
      <c r="D5" s="5" t="s">
        <v>1495</v>
      </c>
      <c r="E5" s="5" t="s">
        <v>1497</v>
      </c>
      <c r="I5" s="8" t="s">
        <v>1498</v>
      </c>
      <c r="J5" s="9" t="s">
        <v>1499</v>
      </c>
      <c r="K5" s="9" t="s">
        <v>703</v>
      </c>
      <c r="L5" s="10" t="s">
        <v>1500</v>
      </c>
      <c r="M5"/>
      <c r="N5"/>
      <c r="O5"/>
      <c r="P5"/>
      <c r="Q5"/>
      <c r="R5"/>
      <c r="S5"/>
      <c r="T5"/>
      <c r="U5"/>
    </row>
    <row r="6" spans="1:21" x14ac:dyDescent="0.3">
      <c r="A6" s="5">
        <v>1</v>
      </c>
      <c r="B6" s="7">
        <v>2</v>
      </c>
      <c r="C6" s="7">
        <v>10187.529999999999</v>
      </c>
      <c r="D6" s="7">
        <v>2</v>
      </c>
      <c r="E6" s="7">
        <v>3863.33</v>
      </c>
      <c r="F6" s="7">
        <v>4</v>
      </c>
      <c r="G6" s="7">
        <v>14050.859999999997</v>
      </c>
      <c r="I6" s="11">
        <v>1</v>
      </c>
      <c r="J6" s="12">
        <f>C6/$C$28</f>
        <v>1.9595985915245067E-2</v>
      </c>
      <c r="K6" s="12">
        <f>E6/$E$28</f>
        <v>9.2087641830981698E-3</v>
      </c>
      <c r="L6" s="12">
        <f>G6/$G$28</f>
        <v>1.4957176180482489E-2</v>
      </c>
      <c r="M6"/>
      <c r="N6" s="11">
        <v>1</v>
      </c>
      <c r="O6" s="49">
        <v>1.4957176180482489E-2</v>
      </c>
      <c r="P6"/>
      <c r="Q6" s="16" t="s">
        <v>1486</v>
      </c>
      <c r="R6" s="17" t="s">
        <v>1501</v>
      </c>
      <c r="S6" s="17" t="s">
        <v>1502</v>
      </c>
      <c r="T6" s="17" t="s">
        <v>1503</v>
      </c>
      <c r="U6" s="18" t="s">
        <v>1504</v>
      </c>
    </row>
    <row r="7" spans="1:21" x14ac:dyDescent="0.3">
      <c r="A7" s="5">
        <v>2</v>
      </c>
      <c r="B7" s="7">
        <v>2</v>
      </c>
      <c r="C7" s="7">
        <v>3095.33</v>
      </c>
      <c r="D7" s="7"/>
      <c r="E7" s="7"/>
      <c r="F7" s="7">
        <v>2</v>
      </c>
      <c r="G7" s="7">
        <v>3095.33</v>
      </c>
      <c r="I7" s="11">
        <v>2</v>
      </c>
      <c r="J7" s="12">
        <f t="shared" ref="J7:J27" si="0">C7/$C$28</f>
        <v>5.9539498860897112E-3</v>
      </c>
      <c r="K7" s="12">
        <f t="shared" ref="K7:K27" si="1">E7/$E$28</f>
        <v>0</v>
      </c>
      <c r="L7" s="12">
        <f t="shared" ref="L7:L27" si="2">G7/$G$28</f>
        <v>3.2949866518300571E-3</v>
      </c>
      <c r="M7"/>
      <c r="N7" s="11">
        <v>2</v>
      </c>
      <c r="O7" s="49">
        <v>3.2949866518300571E-3</v>
      </c>
      <c r="P7"/>
      <c r="Q7" s="11">
        <v>1</v>
      </c>
      <c r="R7" s="19">
        <v>45967</v>
      </c>
      <c r="S7" s="20">
        <v>1.4957176180482489E-2</v>
      </c>
      <c r="T7" s="21">
        <f>S7*$T$29</f>
        <v>7478.5880902412446</v>
      </c>
      <c r="U7" s="22">
        <f>+T7</f>
        <v>7478.5880902412446</v>
      </c>
    </row>
    <row r="8" spans="1:21" x14ac:dyDescent="0.3">
      <c r="A8" s="5">
        <v>3</v>
      </c>
      <c r="B8" s="7">
        <v>2</v>
      </c>
      <c r="C8" s="7">
        <v>38513.200000000004</v>
      </c>
      <c r="D8" s="7">
        <v>3</v>
      </c>
      <c r="E8" s="7">
        <v>4483.0600000000004</v>
      </c>
      <c r="F8" s="7">
        <v>5</v>
      </c>
      <c r="G8" s="7">
        <v>42996.26</v>
      </c>
      <c r="I8" s="11">
        <v>3</v>
      </c>
      <c r="J8" s="12">
        <f t="shared" si="0"/>
        <v>7.4081168325493663E-2</v>
      </c>
      <c r="K8" s="12">
        <f t="shared" si="1"/>
        <v>1.0685973592387935E-2</v>
      </c>
      <c r="L8" s="12">
        <f t="shared" si="2"/>
        <v>4.576962804567352E-2</v>
      </c>
      <c r="M8"/>
      <c r="N8" s="11">
        <v>3</v>
      </c>
      <c r="O8" s="49">
        <v>4.576962804567352E-2</v>
      </c>
      <c r="P8"/>
      <c r="Q8" s="11">
        <v>2</v>
      </c>
      <c r="R8" s="19">
        <v>45968</v>
      </c>
      <c r="S8" s="20">
        <v>3.2949866518300571E-3</v>
      </c>
      <c r="T8" s="21">
        <f t="shared" ref="T8:T28" si="3">S8*$T$29</f>
        <v>1647.4933259150287</v>
      </c>
      <c r="U8" s="22">
        <f>T8+U7</f>
        <v>9126.0814161562739</v>
      </c>
    </row>
    <row r="9" spans="1:21" x14ac:dyDescent="0.3">
      <c r="A9" s="5">
        <v>4</v>
      </c>
      <c r="B9" s="7">
        <v>1</v>
      </c>
      <c r="C9" s="7">
        <v>1172.78</v>
      </c>
      <c r="D9" s="7">
        <v>1</v>
      </c>
      <c r="E9" s="7">
        <v>13533.270000000004</v>
      </c>
      <c r="F9" s="7">
        <v>2</v>
      </c>
      <c r="G9" s="7">
        <v>14706.050000000005</v>
      </c>
      <c r="I9" s="11">
        <v>4</v>
      </c>
      <c r="J9" s="12">
        <f t="shared" si="0"/>
        <v>2.2558736378377399E-3</v>
      </c>
      <c r="K9" s="12">
        <f t="shared" si="1"/>
        <v>3.2258360548075626E-2</v>
      </c>
      <c r="L9" s="12">
        <f t="shared" si="2"/>
        <v>1.5654627600658225E-2</v>
      </c>
      <c r="M9"/>
      <c r="N9" s="11">
        <v>4</v>
      </c>
      <c r="O9" s="49">
        <v>1.5654627600658225E-2</v>
      </c>
      <c r="P9"/>
      <c r="Q9" s="11">
        <v>3</v>
      </c>
      <c r="R9" s="19">
        <v>45971</v>
      </c>
      <c r="S9" s="20">
        <v>4.576962804567352E-2</v>
      </c>
      <c r="T9" s="21">
        <f t="shared" si="3"/>
        <v>22884.814022836759</v>
      </c>
      <c r="U9" s="22">
        <f t="shared" ref="U9:U28" si="4">T9+U8</f>
        <v>32010.895438993033</v>
      </c>
    </row>
    <row r="10" spans="1:21" x14ac:dyDescent="0.3">
      <c r="A10" s="5">
        <v>5</v>
      </c>
      <c r="B10" s="7">
        <v>3</v>
      </c>
      <c r="C10" s="7">
        <v>26969.579999999998</v>
      </c>
      <c r="D10" s="7">
        <v>2</v>
      </c>
      <c r="E10" s="7">
        <v>24648.66</v>
      </c>
      <c r="F10" s="7">
        <v>5</v>
      </c>
      <c r="G10" s="7">
        <v>51618.239999999998</v>
      </c>
      <c r="I10" s="11">
        <v>5</v>
      </c>
      <c r="J10" s="12">
        <f t="shared" si="0"/>
        <v>5.1876707093876047E-2</v>
      </c>
      <c r="K10" s="12">
        <f t="shared" si="1"/>
        <v>5.8753380469533933E-2</v>
      </c>
      <c r="L10" s="12">
        <f t="shared" si="2"/>
        <v>5.4947747668571793E-2</v>
      </c>
      <c r="M10"/>
      <c r="N10" s="11">
        <v>5</v>
      </c>
      <c r="O10" s="49">
        <v>5.4947747668571793E-2</v>
      </c>
      <c r="P10"/>
      <c r="Q10" s="11">
        <v>4</v>
      </c>
      <c r="R10" s="19">
        <v>45972</v>
      </c>
      <c r="S10" s="20">
        <v>1.5654627600658225E-2</v>
      </c>
      <c r="T10" s="21">
        <f t="shared" si="3"/>
        <v>7827.3138003291124</v>
      </c>
      <c r="U10" s="22">
        <f t="shared" si="4"/>
        <v>39838.209239322146</v>
      </c>
    </row>
    <row r="11" spans="1:21" x14ac:dyDescent="0.3">
      <c r="A11" s="5">
        <v>6</v>
      </c>
      <c r="B11" s="7">
        <v>2</v>
      </c>
      <c r="C11" s="7">
        <v>8632.52</v>
      </c>
      <c r="D11" s="7">
        <v>1</v>
      </c>
      <c r="E11" s="7">
        <v>20019.27</v>
      </c>
      <c r="F11" s="7">
        <v>3</v>
      </c>
      <c r="G11" s="7">
        <v>28651.79</v>
      </c>
      <c r="I11" s="11">
        <v>6</v>
      </c>
      <c r="J11" s="12">
        <f t="shared" si="0"/>
        <v>1.6604882668622457E-2</v>
      </c>
      <c r="K11" s="12">
        <f t="shared" si="1"/>
        <v>4.7718609735065781E-2</v>
      </c>
      <c r="L11" s="12">
        <f t="shared" si="2"/>
        <v>3.0499903273976576E-2</v>
      </c>
      <c r="M11"/>
      <c r="N11" s="11">
        <v>6</v>
      </c>
      <c r="O11" s="12">
        <v>3.0499903273976576E-2</v>
      </c>
      <c r="P11"/>
      <c r="Q11" s="11">
        <v>5</v>
      </c>
      <c r="R11" s="19">
        <v>45973</v>
      </c>
      <c r="S11" s="20">
        <v>5.4947747668571793E-2</v>
      </c>
      <c r="T11" s="21">
        <f t="shared" si="3"/>
        <v>27473.873834285896</v>
      </c>
      <c r="U11" s="22">
        <f t="shared" si="4"/>
        <v>67312.083073608039</v>
      </c>
    </row>
    <row r="12" spans="1:21" x14ac:dyDescent="0.3">
      <c r="A12" s="5">
        <v>7</v>
      </c>
      <c r="B12" s="7">
        <v>1</v>
      </c>
      <c r="C12" s="7">
        <v>22665.600000000002</v>
      </c>
      <c r="D12" s="7">
        <v>3</v>
      </c>
      <c r="E12" s="7">
        <v>65332.999999999978</v>
      </c>
      <c r="F12" s="7">
        <v>4</v>
      </c>
      <c r="G12" s="7">
        <v>87998.599999999977</v>
      </c>
      <c r="I12" s="11">
        <v>7</v>
      </c>
      <c r="J12" s="12">
        <f t="shared" si="0"/>
        <v>4.3597886667384407E-2</v>
      </c>
      <c r="K12" s="12">
        <f t="shared" si="1"/>
        <v>0.15572995068356896</v>
      </c>
      <c r="L12" s="12">
        <f t="shared" si="2"/>
        <v>9.3674733349830994E-2</v>
      </c>
      <c r="M12"/>
      <c r="N12" s="11">
        <v>7</v>
      </c>
      <c r="O12" s="12">
        <v>9.3674733349830994E-2</v>
      </c>
      <c r="P12"/>
      <c r="Q12" s="11">
        <v>6</v>
      </c>
      <c r="R12" s="19">
        <v>45974</v>
      </c>
      <c r="S12" s="12">
        <v>3.0499903273976576E-2</v>
      </c>
      <c r="T12" s="21">
        <f t="shared" si="3"/>
        <v>15249.951636988288</v>
      </c>
      <c r="U12" s="22">
        <f t="shared" si="4"/>
        <v>82562.03471059633</v>
      </c>
    </row>
    <row r="13" spans="1:21" x14ac:dyDescent="0.3">
      <c r="A13" s="5">
        <v>8</v>
      </c>
      <c r="B13" s="7">
        <v>1</v>
      </c>
      <c r="C13" s="7">
        <v>24138.450000000004</v>
      </c>
      <c r="D13" s="7">
        <v>1</v>
      </c>
      <c r="E13" s="7">
        <v>19346.329999999998</v>
      </c>
      <c r="F13" s="7">
        <v>2</v>
      </c>
      <c r="G13" s="7">
        <v>43484.78</v>
      </c>
      <c r="I13" s="11">
        <v>8</v>
      </c>
      <c r="J13" s="12">
        <f t="shared" si="0"/>
        <v>4.64309529607125E-2</v>
      </c>
      <c r="K13" s="12">
        <f t="shared" si="1"/>
        <v>4.6114567168323073E-2</v>
      </c>
      <c r="L13" s="12">
        <f t="shared" si="2"/>
        <v>4.6289658827254811E-2</v>
      </c>
      <c r="M13"/>
      <c r="N13" s="11">
        <v>8</v>
      </c>
      <c r="O13" s="12">
        <v>4.6289658827254811E-2</v>
      </c>
      <c r="P13"/>
      <c r="Q13" s="11">
        <v>7</v>
      </c>
      <c r="R13" s="19">
        <v>45975</v>
      </c>
      <c r="S13" s="12">
        <v>9.3674733349830994E-2</v>
      </c>
      <c r="T13" s="21">
        <f t="shared" si="3"/>
        <v>46837.366674915495</v>
      </c>
      <c r="U13" s="22">
        <f t="shared" si="4"/>
        <v>129399.40138551182</v>
      </c>
    </row>
    <row r="14" spans="1:21" x14ac:dyDescent="0.3">
      <c r="A14" s="5">
        <v>9</v>
      </c>
      <c r="B14" s="7">
        <v>1</v>
      </c>
      <c r="C14" s="7">
        <v>23324.109999999993</v>
      </c>
      <c r="D14" s="7">
        <v>1</v>
      </c>
      <c r="E14" s="7">
        <v>25410.94000000001</v>
      </c>
      <c r="F14" s="7">
        <v>2</v>
      </c>
      <c r="G14" s="7">
        <v>48735.05</v>
      </c>
      <c r="I14" s="11">
        <v>9</v>
      </c>
      <c r="J14" s="12">
        <f t="shared" si="0"/>
        <v>4.4864548231575908E-2</v>
      </c>
      <c r="K14" s="12">
        <f t="shared" si="1"/>
        <v>6.057037688493002E-2</v>
      </c>
      <c r="L14" s="12">
        <f t="shared" si="2"/>
        <v>5.1878584585898897E-2</v>
      </c>
      <c r="M14"/>
      <c r="N14" s="11">
        <v>9</v>
      </c>
      <c r="O14" s="12">
        <v>5.1878584585898897E-2</v>
      </c>
      <c r="P14"/>
      <c r="Q14" s="11">
        <v>8</v>
      </c>
      <c r="R14" s="19">
        <v>45978</v>
      </c>
      <c r="S14" s="12">
        <v>4.6289658827254811E-2</v>
      </c>
      <c r="T14" s="21">
        <f t="shared" si="3"/>
        <v>23144.829413627405</v>
      </c>
      <c r="U14" s="22">
        <f t="shared" si="4"/>
        <v>152544.23079913924</v>
      </c>
    </row>
    <row r="15" spans="1:21" x14ac:dyDescent="0.3">
      <c r="A15" s="5">
        <v>10</v>
      </c>
      <c r="B15" s="7">
        <v>3</v>
      </c>
      <c r="C15" s="7">
        <v>34437.659999999989</v>
      </c>
      <c r="D15" s="7">
        <v>1</v>
      </c>
      <c r="E15" s="7">
        <v>26511.91</v>
      </c>
      <c r="F15" s="7">
        <v>4</v>
      </c>
      <c r="G15" s="7">
        <v>60949.569999999992</v>
      </c>
      <c r="I15" s="11">
        <v>10</v>
      </c>
      <c r="J15" s="12">
        <f t="shared" si="0"/>
        <v>6.6241758337300435E-2</v>
      </c>
      <c r="K15" s="12">
        <f t="shared" si="1"/>
        <v>6.3194686250856696E-2</v>
      </c>
      <c r="L15" s="12">
        <f t="shared" si="2"/>
        <v>6.4880972169294282E-2</v>
      </c>
      <c r="M15"/>
      <c r="N15" s="11">
        <v>10</v>
      </c>
      <c r="O15" s="12">
        <v>6.4880972169294282E-2</v>
      </c>
      <c r="P15"/>
      <c r="Q15" s="11">
        <v>9</v>
      </c>
      <c r="R15" s="19">
        <v>45979</v>
      </c>
      <c r="S15" s="12">
        <v>5.1878584585898897E-2</v>
      </c>
      <c r="T15" s="21">
        <f t="shared" si="3"/>
        <v>25939.292292949449</v>
      </c>
      <c r="U15" s="22">
        <f t="shared" si="4"/>
        <v>178483.5230920887</v>
      </c>
    </row>
    <row r="16" spans="1:21" x14ac:dyDescent="0.3">
      <c r="A16" s="5">
        <v>11</v>
      </c>
      <c r="B16" s="7">
        <v>1</v>
      </c>
      <c r="C16" s="7">
        <v>13028.679999999997</v>
      </c>
      <c r="D16" s="7">
        <v>1</v>
      </c>
      <c r="E16" s="7">
        <v>47811.360000000001</v>
      </c>
      <c r="F16" s="7">
        <v>2</v>
      </c>
      <c r="G16" s="7">
        <v>60840.039999999994</v>
      </c>
      <c r="I16" s="11">
        <v>11</v>
      </c>
      <c r="J16" s="12">
        <f t="shared" si="0"/>
        <v>2.5061013785896584E-2</v>
      </c>
      <c r="K16" s="12">
        <f t="shared" si="1"/>
        <v>0.11396477637509933</v>
      </c>
      <c r="L16" s="12">
        <f t="shared" si="2"/>
        <v>6.4764377205922055E-2</v>
      </c>
      <c r="M16"/>
      <c r="N16" s="11">
        <v>11</v>
      </c>
      <c r="O16" s="12">
        <v>6.4764377205922055E-2</v>
      </c>
      <c r="P16"/>
      <c r="Q16" s="11">
        <v>10</v>
      </c>
      <c r="R16" s="19">
        <v>45980</v>
      </c>
      <c r="S16" s="12">
        <v>6.4880972169294282E-2</v>
      </c>
      <c r="T16" s="21">
        <f t="shared" si="3"/>
        <v>32440.486084647142</v>
      </c>
      <c r="U16" s="22">
        <f t="shared" si="4"/>
        <v>210924.00917673582</v>
      </c>
    </row>
    <row r="17" spans="1:21" x14ac:dyDescent="0.3">
      <c r="A17" s="5">
        <v>12</v>
      </c>
      <c r="B17" s="7">
        <v>1</v>
      </c>
      <c r="C17" s="7">
        <v>17544.099999999999</v>
      </c>
      <c r="D17" s="7">
        <v>3</v>
      </c>
      <c r="E17" s="7">
        <v>29339.490000000009</v>
      </c>
      <c r="F17" s="7">
        <v>4</v>
      </c>
      <c r="G17" s="7">
        <v>46883.59</v>
      </c>
      <c r="I17" s="11">
        <v>12</v>
      </c>
      <c r="J17" s="12">
        <f t="shared" si="0"/>
        <v>3.3746544696864791E-2</v>
      </c>
      <c r="K17" s="12">
        <f t="shared" si="1"/>
        <v>6.9934601668086085E-2</v>
      </c>
      <c r="L17" s="12">
        <f t="shared" si="2"/>
        <v>4.990770071038407E-2</v>
      </c>
      <c r="M17"/>
      <c r="N17" s="11">
        <v>12</v>
      </c>
      <c r="O17" s="12">
        <v>4.990770071038407E-2</v>
      </c>
      <c r="P17"/>
      <c r="Q17" s="11">
        <v>11</v>
      </c>
      <c r="R17" s="19">
        <v>45981</v>
      </c>
      <c r="S17" s="12">
        <v>6.4764377205922055E-2</v>
      </c>
      <c r="T17" s="21">
        <f t="shared" si="3"/>
        <v>32382.188602961029</v>
      </c>
      <c r="U17" s="22">
        <f t="shared" si="4"/>
        <v>243306.19777969684</v>
      </c>
    </row>
    <row r="18" spans="1:21" x14ac:dyDescent="0.3">
      <c r="A18" s="5">
        <v>13</v>
      </c>
      <c r="B18" s="7">
        <v>1</v>
      </c>
      <c r="C18" s="7">
        <v>25059.62</v>
      </c>
      <c r="D18" s="7">
        <v>1</v>
      </c>
      <c r="E18" s="7">
        <v>20335.22</v>
      </c>
      <c r="F18" s="7">
        <v>2</v>
      </c>
      <c r="G18" s="7">
        <v>45394.84</v>
      </c>
      <c r="I18" s="11">
        <v>13</v>
      </c>
      <c r="J18" s="12">
        <f t="shared" si="0"/>
        <v>4.8202848046719232E-2</v>
      </c>
      <c r="K18" s="12">
        <f t="shared" si="1"/>
        <v>4.8471718851721586E-2</v>
      </c>
      <c r="L18" s="12">
        <f t="shared" si="2"/>
        <v>4.8322922551702445E-2</v>
      </c>
      <c r="M18"/>
      <c r="N18" s="11">
        <v>13</v>
      </c>
      <c r="O18" s="12">
        <v>4.8322922551702445E-2</v>
      </c>
      <c r="P18"/>
      <c r="Q18" s="11">
        <v>12</v>
      </c>
      <c r="R18" s="19">
        <v>45982</v>
      </c>
      <c r="S18" s="12">
        <v>4.990770071038407E-2</v>
      </c>
      <c r="T18" s="21">
        <f t="shared" si="3"/>
        <v>24953.850355192037</v>
      </c>
      <c r="U18" s="22">
        <f t="shared" si="4"/>
        <v>268260.04813488887</v>
      </c>
    </row>
    <row r="19" spans="1:21" x14ac:dyDescent="0.3">
      <c r="A19" s="5">
        <v>14</v>
      </c>
      <c r="B19" s="7">
        <v>1</v>
      </c>
      <c r="C19" s="7">
        <v>14925.390000000001</v>
      </c>
      <c r="D19" s="7">
        <v>1</v>
      </c>
      <c r="E19" s="7">
        <v>16717.039999999997</v>
      </c>
      <c r="F19" s="7">
        <v>2</v>
      </c>
      <c r="G19" s="7">
        <v>31642.43</v>
      </c>
      <c r="I19" s="11">
        <v>14</v>
      </c>
      <c r="J19" s="12">
        <f t="shared" si="0"/>
        <v>2.8709386104339287E-2</v>
      </c>
      <c r="K19" s="12">
        <f t="shared" si="1"/>
        <v>3.9847302508307446E-2</v>
      </c>
      <c r="L19" s="12">
        <f t="shared" si="2"/>
        <v>3.3683447154735348E-2</v>
      </c>
      <c r="M19"/>
      <c r="N19" s="11">
        <v>14</v>
      </c>
      <c r="O19" s="12">
        <v>3.3683447154735348E-2</v>
      </c>
      <c r="P19"/>
      <c r="Q19" s="11">
        <v>13</v>
      </c>
      <c r="R19" s="19">
        <v>45985</v>
      </c>
      <c r="S19" s="12">
        <v>4.8322922551702445E-2</v>
      </c>
      <c r="T19" s="21">
        <f t="shared" si="3"/>
        <v>24161.461275851223</v>
      </c>
      <c r="U19" s="22">
        <f t="shared" si="4"/>
        <v>292421.50941074011</v>
      </c>
    </row>
    <row r="20" spans="1:21" x14ac:dyDescent="0.3">
      <c r="A20" s="5">
        <v>15</v>
      </c>
      <c r="B20" s="7">
        <v>3</v>
      </c>
      <c r="C20" s="7">
        <v>50655.710000000006</v>
      </c>
      <c r="D20" s="7">
        <v>1</v>
      </c>
      <c r="E20" s="7">
        <v>9155.98</v>
      </c>
      <c r="F20" s="7">
        <v>4</v>
      </c>
      <c r="G20" s="7">
        <v>59811.69</v>
      </c>
      <c r="I20" s="11">
        <v>15</v>
      </c>
      <c r="J20" s="12">
        <f t="shared" si="0"/>
        <v>9.7437610459722698E-2</v>
      </c>
      <c r="K20" s="12">
        <f t="shared" si="1"/>
        <v>2.1824503908587454E-2</v>
      </c>
      <c r="L20" s="12">
        <f t="shared" si="2"/>
        <v>6.366969601735431E-2</v>
      </c>
      <c r="M20"/>
      <c r="N20" s="11">
        <v>15</v>
      </c>
      <c r="O20" s="12">
        <v>6.366969601735431E-2</v>
      </c>
      <c r="P20"/>
      <c r="Q20" s="11">
        <v>14</v>
      </c>
      <c r="R20" s="19">
        <v>45986</v>
      </c>
      <c r="S20" s="12">
        <v>3.3683447154735348E-2</v>
      </c>
      <c r="T20" s="21">
        <f t="shared" si="3"/>
        <v>16841.723577367673</v>
      </c>
      <c r="U20" s="22">
        <f t="shared" si="4"/>
        <v>309263.23298810777</v>
      </c>
    </row>
    <row r="21" spans="1:21" x14ac:dyDescent="0.3">
      <c r="A21" s="5">
        <v>16</v>
      </c>
      <c r="B21" s="7">
        <v>1</v>
      </c>
      <c r="C21" s="7">
        <v>6165.6399999999994</v>
      </c>
      <c r="D21" s="7">
        <v>1</v>
      </c>
      <c r="E21" s="7">
        <v>14312.800000000001</v>
      </c>
      <c r="F21" s="7">
        <v>2</v>
      </c>
      <c r="G21" s="7">
        <v>20478.440000000002</v>
      </c>
      <c r="I21" s="11">
        <v>16</v>
      </c>
      <c r="J21" s="12">
        <f t="shared" si="0"/>
        <v>1.1859773134260374E-2</v>
      </c>
      <c r="K21" s="12">
        <f t="shared" si="1"/>
        <v>3.4116474647479633E-2</v>
      </c>
      <c r="L21" s="12">
        <f t="shared" si="2"/>
        <v>2.1799351426278531E-2</v>
      </c>
      <c r="M21"/>
      <c r="N21" s="11">
        <v>16</v>
      </c>
      <c r="O21" s="12">
        <v>2.1799351426278531E-2</v>
      </c>
      <c r="P21"/>
      <c r="Q21" s="11">
        <v>15</v>
      </c>
      <c r="R21" s="19">
        <v>45987</v>
      </c>
      <c r="S21" s="12">
        <v>6.366969601735431E-2</v>
      </c>
      <c r="T21" s="21">
        <f t="shared" si="3"/>
        <v>31834.848008677156</v>
      </c>
      <c r="U21" s="22">
        <f t="shared" si="4"/>
        <v>341098.08099678491</v>
      </c>
    </row>
    <row r="22" spans="1:21" x14ac:dyDescent="0.3">
      <c r="A22" s="5">
        <v>17</v>
      </c>
      <c r="B22" s="7">
        <v>1</v>
      </c>
      <c r="C22" s="7">
        <v>11526.39</v>
      </c>
      <c r="D22" s="7">
        <v>2</v>
      </c>
      <c r="E22" s="7">
        <v>20799.939999999995</v>
      </c>
      <c r="F22" s="7">
        <v>3</v>
      </c>
      <c r="G22" s="7">
        <v>32326.329999999994</v>
      </c>
      <c r="I22" s="11">
        <v>17</v>
      </c>
      <c r="J22" s="12">
        <f t="shared" si="0"/>
        <v>2.2171318866655763E-2</v>
      </c>
      <c r="K22" s="12">
        <f t="shared" si="1"/>
        <v>4.9579441177065094E-2</v>
      </c>
      <c r="L22" s="12">
        <f t="shared" si="2"/>
        <v>3.4411460442877982E-2</v>
      </c>
      <c r="M22"/>
      <c r="N22" s="11">
        <v>17</v>
      </c>
      <c r="O22" s="12">
        <v>3.4411460442877982E-2</v>
      </c>
      <c r="P22"/>
      <c r="Q22" s="11">
        <v>16</v>
      </c>
      <c r="R22" s="19">
        <v>45988</v>
      </c>
      <c r="S22" s="12">
        <v>2.1799351426278531E-2</v>
      </c>
      <c r="T22" s="21">
        <f t="shared" si="3"/>
        <v>10899.675713139266</v>
      </c>
      <c r="U22" s="22">
        <f t="shared" si="4"/>
        <v>351997.7567099242</v>
      </c>
    </row>
    <row r="23" spans="1:21" x14ac:dyDescent="0.3">
      <c r="A23" s="5">
        <v>18</v>
      </c>
      <c r="B23" s="7">
        <v>1</v>
      </c>
      <c r="C23" s="7">
        <v>13165.15</v>
      </c>
      <c r="D23" s="7">
        <v>1</v>
      </c>
      <c r="E23" s="7">
        <v>14624.43</v>
      </c>
      <c r="F23" s="7">
        <v>2</v>
      </c>
      <c r="G23" s="7">
        <v>27789.58</v>
      </c>
      <c r="I23" s="11">
        <v>18</v>
      </c>
      <c r="J23" s="12">
        <f t="shared" si="0"/>
        <v>2.5323517474018589E-2</v>
      </c>
      <c r="K23" s="12">
        <f t="shared" si="1"/>
        <v>3.4859286465879533E-2</v>
      </c>
      <c r="L23" s="12">
        <f t="shared" si="2"/>
        <v>2.9582078537656251E-2</v>
      </c>
      <c r="M23"/>
      <c r="N23" s="11">
        <v>18</v>
      </c>
      <c r="O23" s="12">
        <v>2.9582078537656251E-2</v>
      </c>
      <c r="P23"/>
      <c r="Q23" s="11">
        <v>17</v>
      </c>
      <c r="R23" s="19">
        <v>45989</v>
      </c>
      <c r="S23" s="12">
        <v>3.4411460442877982E-2</v>
      </c>
      <c r="T23" s="21">
        <f t="shared" si="3"/>
        <v>17205.730221438993</v>
      </c>
      <c r="U23" s="22">
        <f t="shared" si="4"/>
        <v>369203.48693136318</v>
      </c>
    </row>
    <row r="24" spans="1:21" x14ac:dyDescent="0.3">
      <c r="A24" s="5">
        <v>19</v>
      </c>
      <c r="B24" s="7">
        <v>1</v>
      </c>
      <c r="C24" s="7">
        <v>10654.599999999999</v>
      </c>
      <c r="D24" s="7">
        <v>1</v>
      </c>
      <c r="E24" s="7">
        <v>18876.530000000002</v>
      </c>
      <c r="F24" s="7">
        <v>2</v>
      </c>
      <c r="G24" s="7">
        <v>29531.13</v>
      </c>
      <c r="I24" s="11">
        <v>19</v>
      </c>
      <c r="J24" s="12">
        <f t="shared" si="0"/>
        <v>2.0494407528868143E-2</v>
      </c>
      <c r="K24" s="12">
        <f t="shared" si="1"/>
        <v>4.4994735982993458E-2</v>
      </c>
      <c r="L24" s="12">
        <f t="shared" si="2"/>
        <v>3.1435962938833065E-2</v>
      </c>
      <c r="M24"/>
      <c r="N24" s="11">
        <v>19</v>
      </c>
      <c r="O24" s="12">
        <v>3.1435962938833065E-2</v>
      </c>
      <c r="P24"/>
      <c r="Q24" s="11">
        <v>18</v>
      </c>
      <c r="R24" s="19">
        <v>45992</v>
      </c>
      <c r="S24" s="12">
        <v>2.9582078537656251E-2</v>
      </c>
      <c r="T24" s="21">
        <f t="shared" si="3"/>
        <v>14791.039268828124</v>
      </c>
      <c r="U24" s="22">
        <f t="shared" si="4"/>
        <v>383994.52620019129</v>
      </c>
    </row>
    <row r="25" spans="1:21" x14ac:dyDescent="0.3">
      <c r="A25" s="5">
        <v>20</v>
      </c>
      <c r="B25" s="7">
        <v>2</v>
      </c>
      <c r="C25" s="7">
        <v>97528.62</v>
      </c>
      <c r="D25" s="7">
        <v>1</v>
      </c>
      <c r="E25" s="7">
        <v>9942.41</v>
      </c>
      <c r="F25" s="7">
        <v>3</v>
      </c>
      <c r="G25" s="7">
        <v>107471.03</v>
      </c>
      <c r="I25" s="11">
        <v>20</v>
      </c>
      <c r="J25" s="12">
        <f t="shared" si="0"/>
        <v>0.1875989041360652</v>
      </c>
      <c r="K25" s="12">
        <f t="shared" si="1"/>
        <v>2.3699065081594653E-2</v>
      </c>
      <c r="L25" s="12">
        <f t="shared" si="2"/>
        <v>0.11440318457431925</v>
      </c>
      <c r="M25"/>
      <c r="N25" s="11">
        <v>20</v>
      </c>
      <c r="O25" s="12">
        <v>0.11440318457431925</v>
      </c>
      <c r="P25"/>
      <c r="Q25" s="11">
        <v>19</v>
      </c>
      <c r="R25" s="19">
        <v>45993</v>
      </c>
      <c r="S25" s="12">
        <v>3.1435962938833065E-2</v>
      </c>
      <c r="T25" s="21">
        <f t="shared" si="3"/>
        <v>15717.981469416532</v>
      </c>
      <c r="U25" s="22">
        <f t="shared" si="4"/>
        <v>399712.50766960782</v>
      </c>
    </row>
    <row r="26" spans="1:21" x14ac:dyDescent="0.3">
      <c r="A26" s="5">
        <v>21</v>
      </c>
      <c r="B26" s="7">
        <v>1</v>
      </c>
      <c r="C26" s="7">
        <v>36950.340000000004</v>
      </c>
      <c r="D26" s="7">
        <v>1</v>
      </c>
      <c r="E26" s="7">
        <v>5233.9800000000005</v>
      </c>
      <c r="F26" s="7">
        <v>2</v>
      </c>
      <c r="G26" s="7">
        <v>42184.320000000007</v>
      </c>
      <c r="I26" s="11">
        <v>21</v>
      </c>
      <c r="J26" s="12">
        <f t="shared" si="0"/>
        <v>7.1074965394312115E-2</v>
      </c>
      <c r="K26" s="12">
        <f t="shared" si="1"/>
        <v>1.2475891927185139E-2</v>
      </c>
      <c r="L26" s="12">
        <f t="shared" si="2"/>
        <v>4.4905315852115199E-2</v>
      </c>
      <c r="M26"/>
      <c r="N26" s="11">
        <v>21</v>
      </c>
      <c r="O26" s="50">
        <v>4.4905315852115199E-2</v>
      </c>
      <c r="P26"/>
      <c r="Q26" s="11">
        <v>20</v>
      </c>
      <c r="R26" s="19">
        <v>45994</v>
      </c>
      <c r="S26" s="12">
        <v>0.11440318457431925</v>
      </c>
      <c r="T26" s="21">
        <f t="shared" si="3"/>
        <v>57201.592287159627</v>
      </c>
      <c r="U26" s="22">
        <f t="shared" si="4"/>
        <v>456914.09995676746</v>
      </c>
    </row>
    <row r="27" spans="1:21" x14ac:dyDescent="0.3">
      <c r="A27" s="5">
        <v>22</v>
      </c>
      <c r="B27" s="7">
        <v>1</v>
      </c>
      <c r="C27" s="7">
        <v>29537.409999999996</v>
      </c>
      <c r="D27" s="7">
        <v>1</v>
      </c>
      <c r="E27" s="7">
        <v>9228.57</v>
      </c>
      <c r="F27" s="7">
        <v>2</v>
      </c>
      <c r="G27" s="7">
        <v>38765.979999999996</v>
      </c>
      <c r="I27" s="13">
        <v>22</v>
      </c>
      <c r="J27" s="12">
        <f t="shared" si="0"/>
        <v>5.6815996648139321E-2</v>
      </c>
      <c r="K27" s="12">
        <f t="shared" si="1"/>
        <v>2.199753189016063E-2</v>
      </c>
      <c r="L27" s="12">
        <f t="shared" si="2"/>
        <v>4.1266484234350115E-2</v>
      </c>
      <c r="M27"/>
      <c r="N27" s="13">
        <v>22</v>
      </c>
      <c r="O27" s="50">
        <v>4.1266484234350115E-2</v>
      </c>
      <c r="P27"/>
      <c r="Q27" s="11">
        <v>21</v>
      </c>
      <c r="R27" s="19">
        <v>45995</v>
      </c>
      <c r="S27" s="12">
        <v>4.4905315852115199E-2</v>
      </c>
      <c r="T27" s="21">
        <f t="shared" si="3"/>
        <v>22452.6579260576</v>
      </c>
      <c r="U27" s="22">
        <f t="shared" si="4"/>
        <v>479366.75788282504</v>
      </c>
    </row>
    <row r="28" spans="1:21" x14ac:dyDescent="0.3">
      <c r="A28" s="5" t="s">
        <v>702</v>
      </c>
      <c r="B28" s="7">
        <v>33</v>
      </c>
      <c r="C28" s="7">
        <v>519878.41</v>
      </c>
      <c r="D28" s="7">
        <v>30</v>
      </c>
      <c r="E28" s="7">
        <v>419527.5199999999</v>
      </c>
      <c r="F28" s="7">
        <v>63</v>
      </c>
      <c r="G28" s="7">
        <v>939405.9299999997</v>
      </c>
      <c r="I28"/>
      <c r="J28" s="14">
        <f>SUM(J6:J27)</f>
        <v>0.99999999999999989</v>
      </c>
      <c r="K28" s="14">
        <f>SUM(K6:K27)</f>
        <v>1.0000000000000002</v>
      </c>
      <c r="L28" s="14">
        <f>SUM(L6:L27)</f>
        <v>1.0000000000000004</v>
      </c>
      <c r="M28"/>
      <c r="N28"/>
      <c r="O28" s="14">
        <f>SUM(O6:O27)</f>
        <v>1.0000000000000004</v>
      </c>
      <c r="P28"/>
      <c r="Q28" s="11">
        <v>22</v>
      </c>
      <c r="R28" s="19">
        <v>45996</v>
      </c>
      <c r="S28" s="12">
        <v>4.1266484234350115E-2</v>
      </c>
      <c r="T28" s="21">
        <f t="shared" si="3"/>
        <v>20633.242117175058</v>
      </c>
      <c r="U28" s="22">
        <f t="shared" si="4"/>
        <v>500000.00000000012</v>
      </c>
    </row>
    <row r="29" spans="1:21" x14ac:dyDescent="0.3">
      <c r="I29"/>
      <c r="J29"/>
      <c r="K29"/>
      <c r="L29"/>
      <c r="M29"/>
      <c r="N29"/>
      <c r="O29"/>
      <c r="P29"/>
      <c r="Q29" s="23"/>
      <c r="R29" s="24"/>
      <c r="S29" s="25"/>
      <c r="T29" s="26">
        <v>500000</v>
      </c>
      <c r="U29" s="27"/>
    </row>
    <row r="30" spans="1:21" x14ac:dyDescent="0.3">
      <c r="Q30"/>
      <c r="R30"/>
      <c r="S30"/>
      <c r="T30"/>
      <c r="U30"/>
    </row>
    <row r="31" spans="1:21" x14ac:dyDescent="0.3">
      <c r="Q31"/>
      <c r="R31"/>
      <c r="S31"/>
      <c r="T31"/>
      <c r="U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9B41-1F6D-4A41-8B36-B1D3DEDF2273}">
  <dimension ref="A2:V27"/>
  <sheetViews>
    <sheetView workbookViewId="0">
      <selection activeCell="M6" sqref="M6"/>
    </sheetView>
  </sheetViews>
  <sheetFormatPr baseColWidth="10" defaultRowHeight="14.4" x14ac:dyDescent="0.3"/>
  <cols>
    <col min="1" max="1" width="13.88671875" style="5" bestFit="1" customWidth="1"/>
    <col min="2" max="2" width="9.21875" style="5" bestFit="1" customWidth="1"/>
    <col min="3" max="3" width="13.77734375" style="40" bestFit="1" customWidth="1"/>
    <col min="4" max="4" width="4" style="5" bestFit="1" customWidth="1"/>
    <col min="5" max="5" width="13.77734375" style="40" bestFit="1" customWidth="1"/>
    <col min="6" max="6" width="7.44140625" style="5" bestFit="1" customWidth="1"/>
    <col min="7" max="7" width="11.109375" style="40" bestFit="1" customWidth="1"/>
  </cols>
  <sheetData>
    <row r="2" spans="1:22" x14ac:dyDescent="0.3"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x14ac:dyDescent="0.3">
      <c r="B3" s="6" t="s">
        <v>1487</v>
      </c>
      <c r="E3" s="5"/>
      <c r="G3" s="5"/>
      <c r="I3" s="5"/>
    </row>
    <row r="4" spans="1:22" x14ac:dyDescent="0.3">
      <c r="B4" s="40">
        <v>9</v>
      </c>
      <c r="D4" s="5">
        <v>10</v>
      </c>
      <c r="E4" s="5"/>
      <c r="F4" s="5" t="s">
        <v>1494</v>
      </c>
      <c r="G4" s="5" t="s">
        <v>1534</v>
      </c>
      <c r="I4" s="5"/>
      <c r="J4" s="8" t="s">
        <v>1498</v>
      </c>
      <c r="K4" s="9" t="s">
        <v>1499</v>
      </c>
      <c r="L4" s="9" t="s">
        <v>703</v>
      </c>
      <c r="M4" s="10" t="s">
        <v>1500</v>
      </c>
    </row>
    <row r="5" spans="1:22" x14ac:dyDescent="0.3">
      <c r="A5" s="6" t="s">
        <v>1493</v>
      </c>
      <c r="B5" s="5" t="s">
        <v>1495</v>
      </c>
      <c r="C5" s="40" t="s">
        <v>1535</v>
      </c>
      <c r="D5" s="5" t="s">
        <v>1495</v>
      </c>
      <c r="E5" s="5" t="s">
        <v>1535</v>
      </c>
      <c r="G5" s="5"/>
      <c r="I5" s="5"/>
      <c r="J5" s="11">
        <v>1</v>
      </c>
      <c r="K5" s="12">
        <f>C6/$C$27</f>
        <v>1.426524877627388E-2</v>
      </c>
      <c r="L5" s="12">
        <f>E6/$E$27</f>
        <v>3.3766566134210196E-2</v>
      </c>
      <c r="M5" s="12">
        <f>G6/$G$27</f>
        <v>2.3415501698002269E-2</v>
      </c>
      <c r="O5" s="11">
        <v>1</v>
      </c>
      <c r="P5" s="15">
        <v>2.3415501698002269E-2</v>
      </c>
      <c r="R5" s="16" t="s">
        <v>1486</v>
      </c>
      <c r="S5" s="17" t="s">
        <v>1501</v>
      </c>
      <c r="T5" s="17" t="s">
        <v>1502</v>
      </c>
      <c r="U5" s="17" t="s">
        <v>1503</v>
      </c>
      <c r="V5" s="18" t="s">
        <v>1504</v>
      </c>
    </row>
    <row r="6" spans="1:22" x14ac:dyDescent="0.3">
      <c r="A6" s="5">
        <v>1</v>
      </c>
      <c r="B6" s="7">
        <v>23</v>
      </c>
      <c r="C6" s="40">
        <v>7028.14</v>
      </c>
      <c r="D6" s="7">
        <v>24</v>
      </c>
      <c r="E6" s="40">
        <v>14706.049999999997</v>
      </c>
      <c r="F6" s="7">
        <v>47</v>
      </c>
      <c r="G6" s="7">
        <v>21734.19</v>
      </c>
      <c r="I6" s="5"/>
      <c r="J6" s="11">
        <v>2</v>
      </c>
      <c r="K6" s="12">
        <f t="shared" ref="K6:K25" si="0">C7/$C$27</f>
        <v>4.6005119798910275E-2</v>
      </c>
      <c r="L6" s="12">
        <f t="shared" ref="L6:L25" si="1">E7/$E$27</f>
        <v>8.1802362521911712E-2</v>
      </c>
      <c r="M6" s="12">
        <f t="shared" ref="M6:M25" si="2">G7/$G$27</f>
        <v>6.2801617122854494E-2</v>
      </c>
      <c r="O6" s="11">
        <v>2</v>
      </c>
      <c r="P6" s="15">
        <v>6.2801617122854494E-2</v>
      </c>
      <c r="R6" s="11">
        <v>1</v>
      </c>
      <c r="S6" s="19">
        <v>45967</v>
      </c>
      <c r="T6" s="41">
        <v>2.3415501698002269E-2</v>
      </c>
      <c r="U6" s="21">
        <f t="shared" ref="U6:U26" si="3">T6*$U$27</f>
        <v>11707.750849001135</v>
      </c>
      <c r="V6" s="22">
        <f>+U6</f>
        <v>11707.750849001135</v>
      </c>
    </row>
    <row r="7" spans="1:22" x14ac:dyDescent="0.3">
      <c r="A7" s="5">
        <v>2</v>
      </c>
      <c r="B7" s="7">
        <v>46</v>
      </c>
      <c r="C7" s="40">
        <v>22665.600000000002</v>
      </c>
      <c r="D7" s="7">
        <v>44</v>
      </c>
      <c r="E7" s="40">
        <v>35626.649999999994</v>
      </c>
      <c r="F7" s="7">
        <v>90</v>
      </c>
      <c r="G7" s="7">
        <v>58292.25</v>
      </c>
      <c r="I7" s="5"/>
      <c r="J7" s="11">
        <v>3</v>
      </c>
      <c r="K7" s="12">
        <f t="shared" si="0"/>
        <v>4.8994612276313264E-2</v>
      </c>
      <c r="L7" s="12">
        <f t="shared" si="1"/>
        <v>1.5433077584495122E-2</v>
      </c>
      <c r="M7" s="12">
        <f t="shared" si="2"/>
        <v>3.3247136080992501E-2</v>
      </c>
      <c r="O7" s="11">
        <v>3</v>
      </c>
      <c r="P7" s="15">
        <v>3.3247136080992501E-2</v>
      </c>
      <c r="R7" s="11">
        <v>2</v>
      </c>
      <c r="S7" s="19">
        <v>45968</v>
      </c>
      <c r="T7" s="41">
        <v>6.2801617122854494E-2</v>
      </c>
      <c r="U7" s="21">
        <f t="shared" si="3"/>
        <v>31400.808561427246</v>
      </c>
      <c r="V7" s="22">
        <f>U7+V6</f>
        <v>43108.559410428381</v>
      </c>
    </row>
    <row r="8" spans="1:22" x14ac:dyDescent="0.3">
      <c r="A8" s="5">
        <v>3</v>
      </c>
      <c r="B8" s="7">
        <v>49</v>
      </c>
      <c r="C8" s="40">
        <v>24138.450000000004</v>
      </c>
      <c r="D8" s="7">
        <v>7</v>
      </c>
      <c r="E8" s="40">
        <v>6721.43</v>
      </c>
      <c r="F8" s="7">
        <v>56</v>
      </c>
      <c r="G8" s="7">
        <v>30859.880000000005</v>
      </c>
      <c r="I8" s="5"/>
      <c r="J8" s="11">
        <v>4</v>
      </c>
      <c r="K8" s="12">
        <f t="shared" si="0"/>
        <v>4.7341719378836689E-2</v>
      </c>
      <c r="L8" s="12">
        <f t="shared" si="1"/>
        <v>4.9650069718790192E-2</v>
      </c>
      <c r="M8" s="12">
        <f t="shared" si="2"/>
        <v>4.8424825153428698E-2</v>
      </c>
      <c r="O8" s="11">
        <v>4</v>
      </c>
      <c r="P8" s="15">
        <v>4.8424825153428698E-2</v>
      </c>
      <c r="R8" s="11">
        <v>3</v>
      </c>
      <c r="S8" s="19">
        <v>45971</v>
      </c>
      <c r="T8" s="41">
        <v>3.3247136080992501E-2</v>
      </c>
      <c r="U8" s="21">
        <f t="shared" si="3"/>
        <v>16623.568040496251</v>
      </c>
      <c r="V8" s="22">
        <f t="shared" ref="V8:V26" si="4">U8+V7</f>
        <v>59732.127450924629</v>
      </c>
    </row>
    <row r="9" spans="1:22" x14ac:dyDescent="0.3">
      <c r="A9" s="5">
        <v>4</v>
      </c>
      <c r="B9" s="7">
        <v>44</v>
      </c>
      <c r="C9" s="40">
        <v>23324.109999999993</v>
      </c>
      <c r="D9" s="7">
        <v>36</v>
      </c>
      <c r="E9" s="40">
        <v>21623.65</v>
      </c>
      <c r="F9" s="7">
        <v>80</v>
      </c>
      <c r="G9" s="7">
        <v>44947.759999999995</v>
      </c>
      <c r="I9" s="5"/>
      <c r="J9" s="11">
        <v>5</v>
      </c>
      <c r="K9" s="12">
        <f t="shared" si="0"/>
        <v>6.9899260284048956E-2</v>
      </c>
      <c r="L9" s="12">
        <f t="shared" si="1"/>
        <v>0.15001112230995783</v>
      </c>
      <c r="M9" s="12">
        <f t="shared" si="2"/>
        <v>0.10748871058184396</v>
      </c>
      <c r="O9" s="11">
        <v>5</v>
      </c>
      <c r="P9" s="15">
        <v>0.10748871058184396</v>
      </c>
      <c r="R9" s="11">
        <v>4</v>
      </c>
      <c r="S9" s="19">
        <v>45972</v>
      </c>
      <c r="T9" s="41">
        <v>4.8424825153428698E-2</v>
      </c>
      <c r="U9" s="21">
        <f t="shared" si="3"/>
        <v>24212.412576714349</v>
      </c>
      <c r="V9" s="22">
        <f t="shared" si="4"/>
        <v>83944.540027638985</v>
      </c>
    </row>
    <row r="10" spans="1:22" x14ac:dyDescent="0.3">
      <c r="A10" s="5">
        <v>5</v>
      </c>
      <c r="B10" s="7">
        <v>48</v>
      </c>
      <c r="C10" s="40">
        <v>34437.659999999989</v>
      </c>
      <c r="D10" s="7">
        <v>67</v>
      </c>
      <c r="E10" s="40">
        <v>65333.000000000007</v>
      </c>
      <c r="F10" s="7">
        <v>115</v>
      </c>
      <c r="G10" s="7">
        <v>99770.66</v>
      </c>
      <c r="I10" s="5"/>
      <c r="J10" s="11">
        <v>6</v>
      </c>
      <c r="K10" s="12">
        <f t="shared" si="0"/>
        <v>2.6444743762427031E-2</v>
      </c>
      <c r="L10" s="12">
        <f t="shared" si="1"/>
        <v>4.4421114534443633E-2</v>
      </c>
      <c r="M10" s="12">
        <f t="shared" si="2"/>
        <v>3.4879473384001908E-2</v>
      </c>
      <c r="O10" s="11">
        <v>6</v>
      </c>
      <c r="P10" s="12">
        <v>3.4879473384001908E-2</v>
      </c>
      <c r="R10" s="11">
        <v>5</v>
      </c>
      <c r="S10" s="19">
        <v>45973</v>
      </c>
      <c r="T10" s="41">
        <v>0.10748871058184396</v>
      </c>
      <c r="U10" s="21">
        <f t="shared" si="3"/>
        <v>53744.35529092198</v>
      </c>
      <c r="V10" s="22">
        <f t="shared" si="4"/>
        <v>137688.89531856097</v>
      </c>
    </row>
    <row r="11" spans="1:22" x14ac:dyDescent="0.3">
      <c r="A11" s="5">
        <v>6</v>
      </c>
      <c r="B11" s="7">
        <v>19</v>
      </c>
      <c r="C11" s="40">
        <v>13028.679999999997</v>
      </c>
      <c r="D11" s="7">
        <v>23</v>
      </c>
      <c r="E11" s="40">
        <v>19346.329999999998</v>
      </c>
      <c r="F11" s="7">
        <v>42</v>
      </c>
      <c r="G11" s="7">
        <v>32375.009999999995</v>
      </c>
      <c r="I11" s="5"/>
      <c r="J11" s="11">
        <v>7</v>
      </c>
      <c r="K11" s="12">
        <f t="shared" si="0"/>
        <v>3.5609841445364852E-2</v>
      </c>
      <c r="L11" s="12">
        <f t="shared" si="1"/>
        <v>5.8346067505716859E-2</v>
      </c>
      <c r="M11" s="12">
        <f t="shared" si="2"/>
        <v>4.6277952482137841E-2</v>
      </c>
      <c r="O11" s="11">
        <v>7</v>
      </c>
      <c r="P11" s="12">
        <v>4.6277952482137841E-2</v>
      </c>
      <c r="R11" s="11">
        <v>6</v>
      </c>
      <c r="S11" s="19">
        <v>45974</v>
      </c>
      <c r="T11" s="42">
        <v>3.4879473384001908E-2</v>
      </c>
      <c r="U11" s="21">
        <f t="shared" si="3"/>
        <v>17439.736692000955</v>
      </c>
      <c r="V11" s="22">
        <f t="shared" si="4"/>
        <v>155128.63201056194</v>
      </c>
    </row>
    <row r="12" spans="1:22" x14ac:dyDescent="0.3">
      <c r="A12" s="5">
        <v>7</v>
      </c>
      <c r="B12" s="7">
        <v>26</v>
      </c>
      <c r="C12" s="40">
        <v>17544.099999999999</v>
      </c>
      <c r="D12" s="7">
        <v>26</v>
      </c>
      <c r="E12" s="40">
        <v>25410.940000000002</v>
      </c>
      <c r="F12" s="7">
        <v>52</v>
      </c>
      <c r="G12" s="7">
        <v>42955.040000000001</v>
      </c>
      <c r="I12" s="5"/>
      <c r="J12" s="11">
        <v>8</v>
      </c>
      <c r="K12" s="12">
        <f t="shared" si="0"/>
        <v>5.0864341566742896E-2</v>
      </c>
      <c r="L12" s="12">
        <f t="shared" si="1"/>
        <v>6.0874005076769683E-2</v>
      </c>
      <c r="M12" s="12">
        <f t="shared" si="2"/>
        <v>5.5560996213043827E-2</v>
      </c>
      <c r="O12" s="11">
        <v>8</v>
      </c>
      <c r="P12" s="12">
        <v>5.5560996213043827E-2</v>
      </c>
      <c r="R12" s="11">
        <v>7</v>
      </c>
      <c r="S12" s="19">
        <v>45975</v>
      </c>
      <c r="T12" s="42">
        <v>4.6277952482137841E-2</v>
      </c>
      <c r="U12" s="21">
        <f t="shared" si="3"/>
        <v>23138.976241068922</v>
      </c>
      <c r="V12" s="22">
        <f t="shared" si="4"/>
        <v>178267.60825163085</v>
      </c>
    </row>
    <row r="13" spans="1:22" x14ac:dyDescent="0.3">
      <c r="A13" s="5">
        <v>8</v>
      </c>
      <c r="B13" s="7">
        <v>45</v>
      </c>
      <c r="C13" s="40">
        <v>25059.62</v>
      </c>
      <c r="D13" s="7">
        <v>40</v>
      </c>
      <c r="E13" s="40">
        <v>26511.91</v>
      </c>
      <c r="F13" s="7">
        <v>85</v>
      </c>
      <c r="G13" s="7">
        <v>51571.53</v>
      </c>
      <c r="I13" s="5"/>
      <c r="J13" s="11">
        <v>9</v>
      </c>
      <c r="K13" s="12">
        <f t="shared" si="0"/>
        <v>3.0294558934925945E-2</v>
      </c>
      <c r="L13" s="12">
        <f t="shared" si="1"/>
        <v>0.10977967907130275</v>
      </c>
      <c r="M13" s="12">
        <f t="shared" si="2"/>
        <v>6.7589934391488415E-2</v>
      </c>
      <c r="O13" s="11">
        <v>9</v>
      </c>
      <c r="P13" s="12">
        <v>6.7589934391488415E-2</v>
      </c>
      <c r="R13" s="11">
        <v>8</v>
      </c>
      <c r="S13" s="19">
        <v>45978</v>
      </c>
      <c r="T13" s="42">
        <v>5.5560996213043827E-2</v>
      </c>
      <c r="U13" s="21">
        <f t="shared" si="3"/>
        <v>27780.498106521914</v>
      </c>
      <c r="V13" s="22">
        <f t="shared" si="4"/>
        <v>206048.10635815276</v>
      </c>
    </row>
    <row r="14" spans="1:22" x14ac:dyDescent="0.3">
      <c r="A14" s="5">
        <v>9</v>
      </c>
      <c r="B14" s="7">
        <v>33</v>
      </c>
      <c r="C14" s="40">
        <v>14925.390000000001</v>
      </c>
      <c r="D14" s="7">
        <v>34</v>
      </c>
      <c r="E14" s="40">
        <v>47811.359999999986</v>
      </c>
      <c r="F14" s="7">
        <v>67</v>
      </c>
      <c r="G14" s="7">
        <v>62736.749999999985</v>
      </c>
      <c r="I14" s="5"/>
      <c r="J14" s="11">
        <v>10</v>
      </c>
      <c r="K14" s="12">
        <f t="shared" si="0"/>
        <v>0.10281757407917097</v>
      </c>
      <c r="L14" s="12">
        <f t="shared" si="1"/>
        <v>6.7366412424070279E-2</v>
      </c>
      <c r="M14" s="12">
        <f t="shared" si="2"/>
        <v>8.6183462159483804E-2</v>
      </c>
      <c r="O14" s="11">
        <v>10</v>
      </c>
      <c r="P14" s="12">
        <v>8.6183462159483804E-2</v>
      </c>
      <c r="R14" s="11">
        <v>9</v>
      </c>
      <c r="S14" s="19">
        <v>45979</v>
      </c>
      <c r="T14" s="42">
        <v>6.7589934391488415E-2</v>
      </c>
      <c r="U14" s="21">
        <f t="shared" si="3"/>
        <v>33794.967195744204</v>
      </c>
      <c r="V14" s="22">
        <f t="shared" si="4"/>
        <v>239843.07355389697</v>
      </c>
    </row>
    <row r="15" spans="1:22" x14ac:dyDescent="0.3">
      <c r="A15" s="5">
        <v>10</v>
      </c>
      <c r="B15" s="7">
        <v>37</v>
      </c>
      <c r="C15" s="40">
        <v>50655.710000000006</v>
      </c>
      <c r="D15" s="7">
        <v>41</v>
      </c>
      <c r="E15" s="40">
        <v>29339.489999999994</v>
      </c>
      <c r="F15" s="7">
        <v>78</v>
      </c>
      <c r="G15" s="7">
        <v>79995.199999999997</v>
      </c>
      <c r="I15" s="5"/>
      <c r="J15" s="11">
        <v>11</v>
      </c>
      <c r="K15" s="12">
        <f t="shared" si="0"/>
        <v>1.2514603930050522E-2</v>
      </c>
      <c r="L15" s="12">
        <f t="shared" si="1"/>
        <v>4.6691705181453484E-2</v>
      </c>
      <c r="M15" s="12">
        <f t="shared" si="2"/>
        <v>2.8550911367229259E-2</v>
      </c>
      <c r="O15" s="11">
        <v>11</v>
      </c>
      <c r="P15" s="12">
        <v>2.8550911367229259E-2</v>
      </c>
      <c r="R15" s="11">
        <v>10</v>
      </c>
      <c r="S15" s="19">
        <v>45980</v>
      </c>
      <c r="T15" s="42">
        <v>8.6183462159483804E-2</v>
      </c>
      <c r="U15" s="21">
        <f t="shared" si="3"/>
        <v>43091.731079741905</v>
      </c>
      <c r="V15" s="22">
        <f t="shared" si="4"/>
        <v>282934.80463363888</v>
      </c>
    </row>
    <row r="16" spans="1:22" x14ac:dyDescent="0.3">
      <c r="A16" s="5">
        <v>11</v>
      </c>
      <c r="B16" s="7">
        <v>14</v>
      </c>
      <c r="C16" s="40">
        <v>6165.6399999999994</v>
      </c>
      <c r="D16" s="7">
        <v>26</v>
      </c>
      <c r="E16" s="40">
        <v>20335.22</v>
      </c>
      <c r="F16" s="7">
        <v>40</v>
      </c>
      <c r="G16" s="7">
        <v>26500.86</v>
      </c>
      <c r="I16" s="5"/>
      <c r="J16" s="11">
        <v>12</v>
      </c>
      <c r="K16" s="12">
        <f t="shared" si="0"/>
        <v>2.3395495940939634E-2</v>
      </c>
      <c r="L16" s="12">
        <f t="shared" si="1"/>
        <v>3.8384000919909643E-2</v>
      </c>
      <c r="M16" s="12">
        <f t="shared" si="2"/>
        <v>3.0428282955215179E-2</v>
      </c>
      <c r="O16" s="11">
        <v>12</v>
      </c>
      <c r="P16" s="12">
        <v>3.0428282955215179E-2</v>
      </c>
      <c r="R16" s="11">
        <v>11</v>
      </c>
      <c r="S16" s="19">
        <v>45981</v>
      </c>
      <c r="T16" s="42">
        <v>2.8550911367229259E-2</v>
      </c>
      <c r="U16" s="21">
        <f t="shared" si="3"/>
        <v>14275.455683614629</v>
      </c>
      <c r="V16" s="22">
        <f t="shared" si="4"/>
        <v>297210.26031725353</v>
      </c>
    </row>
    <row r="17" spans="1:22" x14ac:dyDescent="0.3">
      <c r="A17" s="5">
        <v>12</v>
      </c>
      <c r="B17" s="7">
        <v>23</v>
      </c>
      <c r="C17" s="40">
        <v>11526.39</v>
      </c>
      <c r="D17" s="7">
        <v>22</v>
      </c>
      <c r="E17" s="40">
        <v>16717.039999999997</v>
      </c>
      <c r="F17" s="7">
        <v>45</v>
      </c>
      <c r="G17" s="7">
        <v>28243.429999999997</v>
      </c>
      <c r="I17" s="5"/>
      <c r="J17" s="11">
        <v>13</v>
      </c>
      <c r="K17" s="12">
        <f t="shared" si="0"/>
        <v>2.6721741446095564E-2</v>
      </c>
      <c r="L17" s="12">
        <f t="shared" si="1"/>
        <v>2.102304862240411E-2</v>
      </c>
      <c r="M17" s="12">
        <f t="shared" si="2"/>
        <v>2.4047846154668266E-2</v>
      </c>
      <c r="O17" s="11">
        <v>13</v>
      </c>
      <c r="P17" s="12">
        <v>2.4047846154668266E-2</v>
      </c>
      <c r="R17" s="11">
        <v>12</v>
      </c>
      <c r="S17" s="19">
        <v>45982</v>
      </c>
      <c r="T17" s="42">
        <v>3.0428282955215179E-2</v>
      </c>
      <c r="U17" s="21">
        <f t="shared" si="3"/>
        <v>15214.141477607589</v>
      </c>
      <c r="V17" s="22">
        <f t="shared" si="4"/>
        <v>312424.40179486113</v>
      </c>
    </row>
    <row r="18" spans="1:22" x14ac:dyDescent="0.3">
      <c r="A18" s="5">
        <v>13</v>
      </c>
      <c r="B18" s="7">
        <v>21</v>
      </c>
      <c r="C18" s="40">
        <v>13165.15</v>
      </c>
      <c r="D18" s="7">
        <v>23</v>
      </c>
      <c r="E18" s="40">
        <v>9155.9800000000014</v>
      </c>
      <c r="F18" s="7">
        <v>44</v>
      </c>
      <c r="G18" s="7">
        <v>22321.13</v>
      </c>
      <c r="I18" s="5"/>
      <c r="J18" s="11">
        <v>14</v>
      </c>
      <c r="K18" s="12">
        <f t="shared" si="0"/>
        <v>2.162599487370594E-2</v>
      </c>
      <c r="L18" s="12">
        <f t="shared" si="1"/>
        <v>3.2863624682747825E-2</v>
      </c>
      <c r="M18" s="12">
        <f t="shared" si="2"/>
        <v>2.6898826093574305E-2</v>
      </c>
      <c r="O18" s="11">
        <v>14</v>
      </c>
      <c r="P18" s="12">
        <v>2.6898826093574305E-2</v>
      </c>
      <c r="R18" s="11">
        <v>13</v>
      </c>
      <c r="S18" s="19">
        <v>45985</v>
      </c>
      <c r="T18" s="42">
        <v>2.4047846154668266E-2</v>
      </c>
      <c r="U18" s="21">
        <f t="shared" si="3"/>
        <v>12023.923077334133</v>
      </c>
      <c r="V18" s="22">
        <f t="shared" si="4"/>
        <v>324448.32487219526</v>
      </c>
    </row>
    <row r="19" spans="1:22" x14ac:dyDescent="0.3">
      <c r="A19" s="5">
        <v>14</v>
      </c>
      <c r="B19" s="7">
        <v>26</v>
      </c>
      <c r="C19" s="40">
        <v>10654.599999999999</v>
      </c>
      <c r="D19" s="7">
        <v>23</v>
      </c>
      <c r="E19" s="40">
        <v>14312.799999999997</v>
      </c>
      <c r="F19" s="7">
        <v>49</v>
      </c>
      <c r="G19" s="7">
        <v>24967.399999999994</v>
      </c>
      <c r="I19" s="5"/>
      <c r="J19" s="11">
        <v>15</v>
      </c>
      <c r="K19" s="12">
        <f t="shared" si="0"/>
        <v>0.19795707357945064</v>
      </c>
      <c r="L19" s="12">
        <f t="shared" si="1"/>
        <v>4.7758748922899365E-2</v>
      </c>
      <c r="M19" s="12">
        <f t="shared" si="2"/>
        <v>0.12748221109699343</v>
      </c>
      <c r="O19" s="11">
        <v>15</v>
      </c>
      <c r="P19" s="12">
        <v>0.12748221109699343</v>
      </c>
      <c r="R19" s="11">
        <v>14</v>
      </c>
      <c r="S19" s="19">
        <v>45986</v>
      </c>
      <c r="T19" s="42">
        <v>2.6898826093574305E-2</v>
      </c>
      <c r="U19" s="21">
        <f t="shared" si="3"/>
        <v>13449.413046787153</v>
      </c>
      <c r="V19" s="22">
        <f t="shared" si="4"/>
        <v>337897.7379189824</v>
      </c>
    </row>
    <row r="20" spans="1:22" x14ac:dyDescent="0.3">
      <c r="A20" s="5">
        <v>15</v>
      </c>
      <c r="B20" s="7">
        <v>31</v>
      </c>
      <c r="C20" s="40">
        <v>97528.62</v>
      </c>
      <c r="D20" s="7">
        <v>36</v>
      </c>
      <c r="E20" s="40">
        <v>20799.940000000002</v>
      </c>
      <c r="F20" s="7">
        <v>67</v>
      </c>
      <c r="G20" s="7">
        <v>118328.56</v>
      </c>
      <c r="I20" s="5"/>
      <c r="J20" s="11">
        <v>16</v>
      </c>
      <c r="K20" s="12">
        <f t="shared" si="0"/>
        <v>7.4999330188058835E-2</v>
      </c>
      <c r="L20" s="12">
        <f t="shared" si="1"/>
        <v>3.3579158425962638E-2</v>
      </c>
      <c r="M20" s="12">
        <f t="shared" si="2"/>
        <v>5.5564486852699671E-2</v>
      </c>
      <c r="O20" s="11">
        <v>16</v>
      </c>
      <c r="P20" s="12">
        <v>5.5564486852699671E-2</v>
      </c>
      <c r="R20" s="11">
        <v>15</v>
      </c>
      <c r="S20" s="19">
        <v>45987</v>
      </c>
      <c r="T20" s="42">
        <v>0.12748221109699343</v>
      </c>
      <c r="U20" s="21">
        <f t="shared" si="3"/>
        <v>63741.105548496715</v>
      </c>
      <c r="V20" s="22">
        <f t="shared" si="4"/>
        <v>401638.84346747911</v>
      </c>
    </row>
    <row r="21" spans="1:22" x14ac:dyDescent="0.3">
      <c r="A21" s="5">
        <v>16</v>
      </c>
      <c r="B21" s="7">
        <v>21</v>
      </c>
      <c r="C21" s="40">
        <v>36950.340000000004</v>
      </c>
      <c r="D21" s="7">
        <v>22</v>
      </c>
      <c r="E21" s="40">
        <v>14624.430000000004</v>
      </c>
      <c r="F21" s="7">
        <v>43</v>
      </c>
      <c r="G21" s="7">
        <v>51574.770000000004</v>
      </c>
      <c r="I21" s="5"/>
      <c r="J21" s="11">
        <v>17</v>
      </c>
      <c r="K21" s="12">
        <f t="shared" si="0"/>
        <v>5.9953060391056495E-2</v>
      </c>
      <c r="L21" s="12">
        <f t="shared" si="1"/>
        <v>4.3342406603364123E-2</v>
      </c>
      <c r="M21" s="12">
        <f t="shared" si="2"/>
        <v>5.2159141623266389E-2</v>
      </c>
      <c r="O21" s="11">
        <v>17</v>
      </c>
      <c r="P21" s="12">
        <v>5.2159141623266389E-2</v>
      </c>
      <c r="R21" s="11">
        <v>16</v>
      </c>
      <c r="S21" s="19">
        <v>45988</v>
      </c>
      <c r="T21" s="42">
        <v>5.5564486852699671E-2</v>
      </c>
      <c r="U21" s="21">
        <f t="shared" si="3"/>
        <v>27782.243426349836</v>
      </c>
      <c r="V21" s="22">
        <f t="shared" si="4"/>
        <v>429421.08689382893</v>
      </c>
    </row>
    <row r="22" spans="1:22" x14ac:dyDescent="0.3">
      <c r="A22" s="5">
        <v>17</v>
      </c>
      <c r="B22" s="7">
        <v>21</v>
      </c>
      <c r="C22" s="40">
        <v>29537.409999999996</v>
      </c>
      <c r="D22" s="7">
        <v>19</v>
      </c>
      <c r="E22" s="40">
        <v>18876.530000000002</v>
      </c>
      <c r="F22" s="7">
        <v>40</v>
      </c>
      <c r="G22" s="7">
        <v>48413.94</v>
      </c>
      <c r="I22" s="5"/>
      <c r="J22" s="11">
        <v>18</v>
      </c>
      <c r="K22" s="12">
        <f t="shared" si="0"/>
        <v>1.7834412745425181E-2</v>
      </c>
      <c r="L22" s="12">
        <f t="shared" si="1"/>
        <v>2.2828770798306332E-2</v>
      </c>
      <c r="M22" s="12">
        <f t="shared" si="2"/>
        <v>2.0177825681420264E-2</v>
      </c>
      <c r="O22" s="11">
        <v>18</v>
      </c>
      <c r="P22" s="12">
        <v>2.0177825681420264E-2</v>
      </c>
      <c r="R22" s="11">
        <v>17</v>
      </c>
      <c r="S22" s="19">
        <v>45989</v>
      </c>
      <c r="T22" s="42">
        <v>5.2159141623266389E-2</v>
      </c>
      <c r="U22" s="21">
        <f t="shared" si="3"/>
        <v>26079.570811633195</v>
      </c>
      <c r="V22" s="22">
        <f t="shared" si="4"/>
        <v>455500.65770546213</v>
      </c>
    </row>
    <row r="23" spans="1:22" x14ac:dyDescent="0.3">
      <c r="A23" s="5">
        <v>18</v>
      </c>
      <c r="B23" s="7">
        <v>21</v>
      </c>
      <c r="C23" s="40">
        <v>8786.5799999999981</v>
      </c>
      <c r="D23" s="7">
        <v>19</v>
      </c>
      <c r="E23" s="40">
        <v>9942.41</v>
      </c>
      <c r="F23" s="7">
        <v>40</v>
      </c>
      <c r="G23" s="7">
        <v>18728.989999999998</v>
      </c>
      <c r="I23" s="5"/>
      <c r="J23" s="11">
        <v>19</v>
      </c>
      <c r="K23" s="12">
        <f t="shared" si="0"/>
        <v>5.1903321374145569E-3</v>
      </c>
      <c r="L23" s="12">
        <f t="shared" si="1"/>
        <v>1.2017743161157043E-2</v>
      </c>
      <c r="M23" s="12">
        <f t="shared" si="2"/>
        <v>8.3938355993186976E-3</v>
      </c>
      <c r="O23" s="11">
        <v>19</v>
      </c>
      <c r="P23" s="12">
        <v>8.3938355993186976E-3</v>
      </c>
      <c r="R23" s="11">
        <v>18</v>
      </c>
      <c r="S23" s="19">
        <v>45992</v>
      </c>
      <c r="T23" s="42">
        <v>2.0177825681420264E-2</v>
      </c>
      <c r="U23" s="21">
        <f t="shared" si="3"/>
        <v>10088.912840710133</v>
      </c>
      <c r="V23" s="22">
        <f t="shared" si="4"/>
        <v>465589.57054617227</v>
      </c>
    </row>
    <row r="24" spans="1:22" x14ac:dyDescent="0.3">
      <c r="A24" s="5">
        <v>19</v>
      </c>
      <c r="B24" s="7">
        <v>9</v>
      </c>
      <c r="C24" s="40">
        <v>2557.1499999999996</v>
      </c>
      <c r="D24" s="7">
        <v>9</v>
      </c>
      <c r="E24" s="40">
        <v>5233.9800000000005</v>
      </c>
      <c r="F24" s="7">
        <v>18</v>
      </c>
      <c r="G24" s="7">
        <v>7791.13</v>
      </c>
      <c r="I24" s="5"/>
      <c r="J24" s="11">
        <v>20</v>
      </c>
      <c r="K24" s="12">
        <f t="shared" si="0"/>
        <v>8.72709344647878E-2</v>
      </c>
      <c r="L24" s="12">
        <f t="shared" si="1"/>
        <v>2.2818713878897799E-2</v>
      </c>
      <c r="M24" s="12">
        <f t="shared" si="2"/>
        <v>5.7029176490016181E-2</v>
      </c>
      <c r="O24" s="11">
        <v>20</v>
      </c>
      <c r="P24" s="12">
        <v>5.7029176490016181E-2</v>
      </c>
      <c r="R24" s="11">
        <v>19</v>
      </c>
      <c r="S24" s="19">
        <v>45993</v>
      </c>
      <c r="T24" s="42">
        <v>8.3938355993186976E-3</v>
      </c>
      <c r="U24" s="21">
        <f t="shared" si="3"/>
        <v>4196.9177996593489</v>
      </c>
      <c r="V24" s="22">
        <f t="shared" si="4"/>
        <v>469786.48834583163</v>
      </c>
    </row>
    <row r="25" spans="1:22" x14ac:dyDescent="0.3">
      <c r="A25" s="5">
        <v>20</v>
      </c>
      <c r="B25" s="7">
        <v>29</v>
      </c>
      <c r="C25" s="40">
        <v>42996.260000000009</v>
      </c>
      <c r="D25" s="7">
        <v>18</v>
      </c>
      <c r="E25" s="40">
        <v>9938.0299999999988</v>
      </c>
      <c r="F25" s="7">
        <v>47</v>
      </c>
      <c r="G25" s="7">
        <v>52934.290000000008</v>
      </c>
      <c r="I25" s="5"/>
      <c r="J25" s="11">
        <v>21</v>
      </c>
      <c r="K25" s="12">
        <f t="shared" si="0"/>
        <v>0</v>
      </c>
      <c r="L25" s="12">
        <f t="shared" si="1"/>
        <v>7.2416019212298011E-3</v>
      </c>
      <c r="M25" s="12">
        <f t="shared" si="2"/>
        <v>3.3978468183207384E-3</v>
      </c>
      <c r="O25" s="44">
        <v>21</v>
      </c>
      <c r="P25" s="14">
        <v>3.3978468183207384E-3</v>
      </c>
      <c r="R25" s="11">
        <v>20</v>
      </c>
      <c r="S25" s="19">
        <v>45994</v>
      </c>
      <c r="T25" s="42">
        <v>5.7029176490016181E-2</v>
      </c>
      <c r="U25" s="21">
        <f t="shared" si="3"/>
        <v>28514.58824500809</v>
      </c>
      <c r="V25" s="22">
        <f t="shared" si="4"/>
        <v>498301.07659083972</v>
      </c>
    </row>
    <row r="26" spans="1:22" x14ac:dyDescent="0.3">
      <c r="A26" s="5">
        <v>21</v>
      </c>
      <c r="B26" s="7"/>
      <c r="D26" s="7">
        <v>8</v>
      </c>
      <c r="E26" s="40">
        <v>3153.8699999999994</v>
      </c>
      <c r="F26" s="7">
        <v>8</v>
      </c>
      <c r="G26" s="7">
        <v>3153.8699999999994</v>
      </c>
      <c r="I26" s="5"/>
      <c r="K26" s="14">
        <f>SUM(K5:K25)</f>
        <v>1</v>
      </c>
      <c r="L26" s="14">
        <f>SUM(L5:L25)</f>
        <v>1.0000000000000004</v>
      </c>
      <c r="M26" s="14">
        <f>SUM(M5:M25)</f>
        <v>1</v>
      </c>
      <c r="P26" s="14">
        <f>SUM(P5:P25)</f>
        <v>1</v>
      </c>
      <c r="R26" s="13">
        <v>21</v>
      </c>
      <c r="S26" s="43">
        <v>45995</v>
      </c>
      <c r="T26" s="46">
        <v>3.3978468183207384E-3</v>
      </c>
      <c r="U26" s="26">
        <f t="shared" si="3"/>
        <v>1698.9234091603691</v>
      </c>
      <c r="V26" s="27">
        <f t="shared" si="4"/>
        <v>500000.00000000006</v>
      </c>
    </row>
    <row r="27" spans="1:22" x14ac:dyDescent="0.3">
      <c r="A27" s="5" t="s">
        <v>702</v>
      </c>
      <c r="B27" s="7">
        <v>586</v>
      </c>
      <c r="C27" s="40">
        <v>492675.60000000003</v>
      </c>
      <c r="D27" s="7">
        <v>567</v>
      </c>
      <c r="E27" s="40">
        <v>435521.0399999998</v>
      </c>
      <c r="F27" s="7">
        <v>1153</v>
      </c>
      <c r="G27" s="7">
        <v>928196.6399999999</v>
      </c>
      <c r="I27" s="5"/>
      <c r="U27" s="34">
        <v>500000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5DFD-1F4B-44A2-AED0-89C3773BE1FE}">
  <dimension ref="A3:V31"/>
  <sheetViews>
    <sheetView topLeftCell="I1" workbookViewId="0">
      <selection activeCell="N14" sqref="N14"/>
    </sheetView>
  </sheetViews>
  <sheetFormatPr baseColWidth="10" defaultRowHeight="14.4" x14ac:dyDescent="0.3"/>
  <cols>
    <col min="1" max="1" width="14.33203125" style="5" bestFit="1" customWidth="1"/>
    <col min="2" max="2" width="9.21875" style="5" bestFit="1" customWidth="1"/>
    <col min="3" max="3" width="9" style="5" bestFit="1" customWidth="1"/>
    <col min="4" max="4" width="3.21875" style="5" bestFit="1" customWidth="1"/>
    <col min="5" max="5" width="9" style="5" bestFit="1" customWidth="1"/>
    <col min="6" max="6" width="7.88671875" style="5" bestFit="1" customWidth="1"/>
    <col min="7" max="7" width="12.88671875" style="5" bestFit="1" customWidth="1"/>
  </cols>
  <sheetData>
    <row r="3" spans="1:22" x14ac:dyDescent="0.3">
      <c r="B3" s="6" t="s">
        <v>1487</v>
      </c>
    </row>
    <row r="4" spans="1:22" x14ac:dyDescent="0.3">
      <c r="B4" s="5">
        <v>9</v>
      </c>
      <c r="D4" s="5">
        <v>10</v>
      </c>
      <c r="F4" s="5" t="s">
        <v>1490</v>
      </c>
      <c r="G4" s="5" t="s">
        <v>1488</v>
      </c>
      <c r="J4" s="28" t="s">
        <v>1498</v>
      </c>
      <c r="K4" s="28" t="s">
        <v>1499</v>
      </c>
      <c r="L4" s="28" t="s">
        <v>703</v>
      </c>
      <c r="M4" s="28" t="s">
        <v>1500</v>
      </c>
    </row>
    <row r="5" spans="1:22" x14ac:dyDescent="0.3">
      <c r="A5" s="6" t="s">
        <v>1492</v>
      </c>
      <c r="B5" s="5" t="s">
        <v>1491</v>
      </c>
      <c r="C5" s="5" t="s">
        <v>1489</v>
      </c>
      <c r="D5" s="5" t="s">
        <v>1491</v>
      </c>
      <c r="E5" s="5" t="s">
        <v>1489</v>
      </c>
      <c r="J5" s="30">
        <v>1</v>
      </c>
      <c r="K5" s="31">
        <f>C6/$C$28</f>
        <v>5.778542881016379E-3</v>
      </c>
      <c r="L5" s="31">
        <f>E6/$E$28</f>
        <v>1.0925658637214553E-2</v>
      </c>
      <c r="M5" s="31">
        <f>G6/$G$28</f>
        <v>8.9484893397994841E-3</v>
      </c>
      <c r="O5" s="30">
        <v>1</v>
      </c>
      <c r="P5" s="33">
        <f>AVERAGE(K5:M5)</f>
        <v>8.550896952676806E-3</v>
      </c>
      <c r="R5" s="16" t="s">
        <v>1486</v>
      </c>
      <c r="S5" s="17" t="s">
        <v>1501</v>
      </c>
      <c r="T5" s="17" t="s">
        <v>1502</v>
      </c>
      <c r="U5" s="17" t="s">
        <v>1503</v>
      </c>
      <c r="V5" s="18" t="s">
        <v>1504</v>
      </c>
    </row>
    <row r="6" spans="1:22" x14ac:dyDescent="0.3">
      <c r="A6" s="5">
        <v>1</v>
      </c>
      <c r="B6" s="7">
        <v>1</v>
      </c>
      <c r="C6" s="7">
        <v>86.1</v>
      </c>
      <c r="D6" s="7">
        <v>2</v>
      </c>
      <c r="E6" s="7">
        <v>261</v>
      </c>
      <c r="F6" s="7">
        <v>3</v>
      </c>
      <c r="G6" s="7">
        <v>347.1</v>
      </c>
      <c r="J6" s="30">
        <v>2</v>
      </c>
      <c r="K6" s="31">
        <f t="shared" ref="K6:K26" si="0">C7/$C$28</f>
        <v>0</v>
      </c>
      <c r="L6" s="31">
        <f t="shared" ref="L6:L26" si="1">E7/$E$28</f>
        <v>2.7698846987197309E-2</v>
      </c>
      <c r="M6" s="31">
        <f t="shared" ref="M6:M26" si="2">G7/$G$28</f>
        <v>1.7058847338668741E-2</v>
      </c>
      <c r="O6" s="30">
        <v>2</v>
      </c>
      <c r="P6" s="33">
        <f t="shared" ref="P6:P9" si="3">AVERAGE(K6:M6)</f>
        <v>1.4919231441955351E-2</v>
      </c>
      <c r="R6" s="11">
        <v>1</v>
      </c>
      <c r="S6" s="35">
        <v>45967</v>
      </c>
      <c r="T6" s="20">
        <v>2.8560896952676801E-2</v>
      </c>
      <c r="U6" s="21">
        <f t="shared" ref="U6:U26" si="4">T6*$U$27</f>
        <v>714.02242381691997</v>
      </c>
      <c r="V6" s="22">
        <f>+U6</f>
        <v>714.02242381691997</v>
      </c>
    </row>
    <row r="7" spans="1:22" x14ac:dyDescent="0.3">
      <c r="A7" s="5">
        <v>2</v>
      </c>
      <c r="B7" s="7"/>
      <c r="C7" s="7"/>
      <c r="D7" s="7">
        <v>1</v>
      </c>
      <c r="E7" s="7">
        <v>661.69</v>
      </c>
      <c r="F7" s="7">
        <v>1</v>
      </c>
      <c r="G7" s="7">
        <v>661.69</v>
      </c>
      <c r="J7" s="30">
        <v>3</v>
      </c>
      <c r="K7" s="31">
        <f t="shared" si="0"/>
        <v>5.1676683478803616E-2</v>
      </c>
      <c r="L7" s="31">
        <f t="shared" si="1"/>
        <v>0</v>
      </c>
      <c r="M7" s="31">
        <f t="shared" si="2"/>
        <v>1.985064195292079E-2</v>
      </c>
      <c r="O7" s="30">
        <v>3</v>
      </c>
      <c r="P7" s="33">
        <f t="shared" si="3"/>
        <v>2.3842441810574804E-2</v>
      </c>
      <c r="R7" s="11">
        <v>2</v>
      </c>
      <c r="S7" s="35">
        <v>45968</v>
      </c>
      <c r="T7" s="20">
        <v>1.4919231441955351E-2</v>
      </c>
      <c r="U7" s="21">
        <f t="shared" si="4"/>
        <v>372.98078604888377</v>
      </c>
      <c r="V7" s="22">
        <f>+U7+V6</f>
        <v>1087.0032098658037</v>
      </c>
    </row>
    <row r="8" spans="1:22" x14ac:dyDescent="0.3">
      <c r="A8" s="5">
        <v>3</v>
      </c>
      <c r="B8" s="7">
        <v>1</v>
      </c>
      <c r="C8" s="7">
        <v>769.98</v>
      </c>
      <c r="D8" s="7"/>
      <c r="E8" s="7"/>
      <c r="F8" s="7">
        <v>1</v>
      </c>
      <c r="G8" s="7">
        <v>769.98</v>
      </c>
      <c r="J8" s="30">
        <v>4</v>
      </c>
      <c r="K8" s="31">
        <f t="shared" si="0"/>
        <v>8.3805650354531386E-2</v>
      </c>
      <c r="L8" s="31">
        <f t="shared" si="1"/>
        <v>0</v>
      </c>
      <c r="M8" s="31">
        <f t="shared" si="2"/>
        <v>3.2192390200540523E-2</v>
      </c>
      <c r="O8" s="30">
        <v>4</v>
      </c>
      <c r="P8" s="33">
        <f t="shared" si="3"/>
        <v>3.8666013518357301E-2</v>
      </c>
      <c r="R8" s="11">
        <v>3</v>
      </c>
      <c r="S8" s="35">
        <v>45971</v>
      </c>
      <c r="T8" s="20">
        <v>2.3842441810574804E-2</v>
      </c>
      <c r="U8" s="21">
        <f t="shared" si="4"/>
        <v>596.06104526437014</v>
      </c>
      <c r="V8" s="22">
        <f t="shared" ref="V8:V24" si="5">+U8+V7</f>
        <v>1683.0642551301739</v>
      </c>
    </row>
    <row r="9" spans="1:22" x14ac:dyDescent="0.3">
      <c r="A9" s="5">
        <v>4</v>
      </c>
      <c r="B9" s="7">
        <v>2</v>
      </c>
      <c r="C9" s="7">
        <v>1248.7</v>
      </c>
      <c r="D9" s="7"/>
      <c r="E9" s="7"/>
      <c r="F9" s="7">
        <v>2</v>
      </c>
      <c r="G9" s="7">
        <v>1248.7</v>
      </c>
      <c r="J9" s="30">
        <v>5</v>
      </c>
      <c r="K9" s="31">
        <f t="shared" si="0"/>
        <v>4.4362564975050246E-3</v>
      </c>
      <c r="L9" s="31">
        <f t="shared" si="1"/>
        <v>0</v>
      </c>
      <c r="M9" s="31">
        <f t="shared" si="2"/>
        <v>1.7041058639030418E-3</v>
      </c>
      <c r="O9" s="30">
        <v>5</v>
      </c>
      <c r="P9" s="33">
        <f t="shared" si="3"/>
        <v>2.046787453802689E-3</v>
      </c>
      <c r="R9" s="11">
        <v>4</v>
      </c>
      <c r="S9" s="35">
        <v>45972</v>
      </c>
      <c r="T9" s="20">
        <v>3.8666013518357301E-2</v>
      </c>
      <c r="U9" s="21">
        <f t="shared" si="4"/>
        <v>966.65033795893248</v>
      </c>
      <c r="V9" s="22">
        <f t="shared" si="5"/>
        <v>2649.7145930891065</v>
      </c>
    </row>
    <row r="10" spans="1:22" x14ac:dyDescent="0.3">
      <c r="A10" s="5">
        <v>5</v>
      </c>
      <c r="B10" s="7">
        <v>1</v>
      </c>
      <c r="C10" s="7">
        <v>66.099999999999994</v>
      </c>
      <c r="D10" s="7"/>
      <c r="E10" s="7"/>
      <c r="F10" s="7">
        <v>1</v>
      </c>
      <c r="G10" s="7">
        <v>66.099999999999994</v>
      </c>
      <c r="J10" s="30">
        <v>6</v>
      </c>
      <c r="K10" s="31">
        <f t="shared" si="0"/>
        <v>0</v>
      </c>
      <c r="L10" s="31">
        <f t="shared" si="1"/>
        <v>5.415191772518578E-2</v>
      </c>
      <c r="M10" s="31">
        <f t="shared" si="2"/>
        <v>3.3350460327719406E-2</v>
      </c>
      <c r="O10" s="30">
        <v>6</v>
      </c>
      <c r="P10" s="31">
        <v>8.6924867493523225E-3</v>
      </c>
      <c r="R10" s="11">
        <v>5</v>
      </c>
      <c r="S10" s="35">
        <v>45973</v>
      </c>
      <c r="T10" s="20">
        <v>2.2046787453802601E-2</v>
      </c>
      <c r="U10" s="21">
        <f t="shared" si="4"/>
        <v>551.16968634506509</v>
      </c>
      <c r="V10" s="22">
        <f t="shared" si="5"/>
        <v>3200.8842794341717</v>
      </c>
    </row>
    <row r="11" spans="1:22" x14ac:dyDescent="0.3">
      <c r="A11" s="5">
        <v>6</v>
      </c>
      <c r="B11" s="7"/>
      <c r="C11" s="7"/>
      <c r="D11" s="7">
        <v>1</v>
      </c>
      <c r="E11" s="7">
        <v>1293.6199999999999</v>
      </c>
      <c r="F11" s="7">
        <v>1</v>
      </c>
      <c r="G11" s="7">
        <v>1293.6199999999999</v>
      </c>
      <c r="J11" s="30">
        <v>7</v>
      </c>
      <c r="K11" s="31">
        <f t="shared" si="0"/>
        <v>1.9922885647267272E-2</v>
      </c>
      <c r="L11" s="31">
        <f t="shared" si="1"/>
        <v>0.1789769397439461</v>
      </c>
      <c r="M11" s="31">
        <f t="shared" si="2"/>
        <v>0.11787926732213297</v>
      </c>
      <c r="O11" s="30">
        <v>7</v>
      </c>
      <c r="P11" s="31">
        <v>6.1513838963800513E-2</v>
      </c>
      <c r="R11" s="11">
        <v>6</v>
      </c>
      <c r="S11" s="35">
        <v>45974</v>
      </c>
      <c r="T11" s="12">
        <v>8.6924867493523225E-3</v>
      </c>
      <c r="U11" s="21">
        <f t="shared" si="4"/>
        <v>217.31216873380805</v>
      </c>
      <c r="V11" s="22">
        <f t="shared" si="5"/>
        <v>3418.1964481679797</v>
      </c>
    </row>
    <row r="12" spans="1:22" x14ac:dyDescent="0.3">
      <c r="A12" s="5">
        <v>7</v>
      </c>
      <c r="B12" s="7">
        <v>1</v>
      </c>
      <c r="C12" s="7">
        <v>296.85000000000002</v>
      </c>
      <c r="D12" s="7">
        <v>2</v>
      </c>
      <c r="E12" s="7">
        <v>4275.53</v>
      </c>
      <c r="F12" s="7">
        <v>3</v>
      </c>
      <c r="G12" s="7">
        <v>4572.3799999999992</v>
      </c>
      <c r="J12" s="30">
        <v>8</v>
      </c>
      <c r="K12" s="31">
        <f t="shared" si="0"/>
        <v>8.8725129950100491E-3</v>
      </c>
      <c r="L12" s="31">
        <f t="shared" si="1"/>
        <v>8.5802001949037039E-3</v>
      </c>
      <c r="M12" s="31">
        <f t="shared" si="2"/>
        <v>8.6924867493523225E-3</v>
      </c>
      <c r="O12" s="30">
        <v>8</v>
      </c>
      <c r="P12" s="31">
        <v>0.13377359691101071</v>
      </c>
      <c r="R12" s="11">
        <v>7</v>
      </c>
      <c r="S12" s="35">
        <v>45975</v>
      </c>
      <c r="T12" s="12">
        <v>6.1513838963800513E-2</v>
      </c>
      <c r="U12" s="21">
        <f t="shared" si="4"/>
        <v>1537.8459740950129</v>
      </c>
      <c r="V12" s="22">
        <f t="shared" si="5"/>
        <v>4956.0424222629927</v>
      </c>
    </row>
    <row r="13" spans="1:22" x14ac:dyDescent="0.3">
      <c r="A13" s="5">
        <v>8</v>
      </c>
      <c r="B13" s="7">
        <v>1</v>
      </c>
      <c r="C13" s="7">
        <v>132.19999999999999</v>
      </c>
      <c r="D13" s="7">
        <v>1</v>
      </c>
      <c r="E13" s="7">
        <v>204.97</v>
      </c>
      <c r="F13" s="7">
        <v>2</v>
      </c>
      <c r="G13" s="7">
        <v>337.16999999999996</v>
      </c>
      <c r="J13" s="30">
        <v>9</v>
      </c>
      <c r="K13" s="31">
        <f t="shared" si="0"/>
        <v>5.9624361155574353E-2</v>
      </c>
      <c r="L13" s="31">
        <f t="shared" si="1"/>
        <v>6.2692350197080471E-2</v>
      </c>
      <c r="M13" s="31">
        <f t="shared" si="2"/>
        <v>6.1513838963800513E-2</v>
      </c>
      <c r="O13" s="30">
        <v>9</v>
      </c>
      <c r="P13" s="31">
        <v>6.0978030440332197E-2</v>
      </c>
      <c r="R13" s="11">
        <v>8</v>
      </c>
      <c r="S13" s="35">
        <v>45978</v>
      </c>
      <c r="T13" s="12">
        <v>0.11377359691101099</v>
      </c>
      <c r="U13" s="21">
        <f t="shared" si="4"/>
        <v>2844.3399227752748</v>
      </c>
      <c r="V13" s="22">
        <f t="shared" si="5"/>
        <v>7800.3823450382679</v>
      </c>
    </row>
    <row r="14" spans="1:22" x14ac:dyDescent="0.3">
      <c r="A14" s="5">
        <v>9</v>
      </c>
      <c r="B14" s="7">
        <v>1</v>
      </c>
      <c r="C14" s="7">
        <v>888.40000000000009</v>
      </c>
      <c r="D14" s="7">
        <v>1</v>
      </c>
      <c r="E14" s="7">
        <v>1497.6399999999999</v>
      </c>
      <c r="F14" s="7">
        <v>2</v>
      </c>
      <c r="G14" s="7">
        <v>2386.04</v>
      </c>
      <c r="J14" s="30">
        <v>10</v>
      </c>
      <c r="K14" s="31">
        <f t="shared" si="0"/>
        <v>1.0745673643200145E-2</v>
      </c>
      <c r="L14" s="31">
        <f t="shared" si="1"/>
        <v>0.13377359691101071</v>
      </c>
      <c r="M14" s="31">
        <f t="shared" si="2"/>
        <v>8.6514696172877284E-2</v>
      </c>
      <c r="O14" s="30">
        <v>10</v>
      </c>
      <c r="P14" s="31">
        <v>5.8707607144044889E-2</v>
      </c>
      <c r="R14" s="11">
        <v>9</v>
      </c>
      <c r="S14" s="35">
        <v>45979</v>
      </c>
      <c r="T14" s="12">
        <v>6.0978030440332197E-2</v>
      </c>
      <c r="U14" s="21">
        <f t="shared" si="4"/>
        <v>1524.4507610083049</v>
      </c>
      <c r="V14" s="22">
        <f t="shared" si="5"/>
        <v>9324.8331060465734</v>
      </c>
    </row>
    <row r="15" spans="1:22" x14ac:dyDescent="0.3">
      <c r="A15" s="5">
        <v>10</v>
      </c>
      <c r="B15" s="7">
        <v>1</v>
      </c>
      <c r="C15" s="7">
        <v>160.11000000000001</v>
      </c>
      <c r="D15" s="7">
        <v>1</v>
      </c>
      <c r="E15" s="7">
        <v>3195.6799999999994</v>
      </c>
      <c r="F15" s="7">
        <v>2</v>
      </c>
      <c r="G15" s="7">
        <v>3355.7899999999995</v>
      </c>
      <c r="J15" s="30">
        <v>11</v>
      </c>
      <c r="K15" s="31">
        <f t="shared" si="0"/>
        <v>7.9283487528481647E-2</v>
      </c>
      <c r="L15" s="31">
        <f t="shared" si="1"/>
        <v>3.3323258843504386E-2</v>
      </c>
      <c r="M15" s="31">
        <f t="shared" si="2"/>
        <v>5.0978030440332202E-2</v>
      </c>
      <c r="O15" s="30">
        <v>11</v>
      </c>
      <c r="P15" s="31">
        <v>6.7211637961347451E-2</v>
      </c>
      <c r="R15" s="11">
        <v>10</v>
      </c>
      <c r="S15" s="35">
        <v>45980</v>
      </c>
      <c r="T15" s="12">
        <v>5.8707607144044889E-2</v>
      </c>
      <c r="U15" s="21">
        <f t="shared" si="4"/>
        <v>1467.6901786011222</v>
      </c>
      <c r="V15" s="22">
        <f t="shared" si="5"/>
        <v>10792.523284647696</v>
      </c>
    </row>
    <row r="16" spans="1:22" x14ac:dyDescent="0.3">
      <c r="A16" s="5">
        <v>11</v>
      </c>
      <c r="B16" s="7">
        <v>1</v>
      </c>
      <c r="C16" s="7">
        <v>1181.3200000000002</v>
      </c>
      <c r="D16" s="7">
        <v>1</v>
      </c>
      <c r="E16" s="7">
        <v>796.05000000000007</v>
      </c>
      <c r="F16" s="7">
        <v>2</v>
      </c>
      <c r="G16" s="7">
        <v>1977.3700000000003</v>
      </c>
      <c r="J16" s="30">
        <v>12</v>
      </c>
      <c r="K16" s="31">
        <f t="shared" si="0"/>
        <v>3.7012875882133832E-2</v>
      </c>
      <c r="L16" s="31">
        <f t="shared" si="1"/>
        <v>7.223911536490861E-2</v>
      </c>
      <c r="M16" s="31">
        <f t="shared" si="2"/>
        <v>5.8707607144044889E-2</v>
      </c>
      <c r="O16" s="30">
        <v>12</v>
      </c>
      <c r="P16" s="31">
        <v>9.3891175416682002E-2</v>
      </c>
      <c r="R16" s="11">
        <v>11</v>
      </c>
      <c r="S16" s="35">
        <v>45981</v>
      </c>
      <c r="T16" s="12">
        <v>6.7211637961347451E-2</v>
      </c>
      <c r="U16" s="21">
        <f t="shared" si="4"/>
        <v>1680.2909490336863</v>
      </c>
      <c r="V16" s="22">
        <f t="shared" si="5"/>
        <v>12472.814233681382</v>
      </c>
    </row>
    <row r="17" spans="1:22" x14ac:dyDescent="0.3">
      <c r="A17" s="5">
        <v>12</v>
      </c>
      <c r="B17" s="7">
        <v>1</v>
      </c>
      <c r="C17" s="7">
        <v>551.49</v>
      </c>
      <c r="D17" s="7">
        <v>2</v>
      </c>
      <c r="E17" s="7">
        <v>1725.6999999999996</v>
      </c>
      <c r="F17" s="7">
        <v>3</v>
      </c>
      <c r="G17" s="7">
        <v>2277.1899999999996</v>
      </c>
      <c r="J17" s="30">
        <v>13</v>
      </c>
      <c r="K17" s="31">
        <f t="shared" si="0"/>
        <v>8.127544052161248E-3</v>
      </c>
      <c r="L17" s="31">
        <f t="shared" si="1"/>
        <v>6.7211637961347451E-2</v>
      </c>
      <c r="M17" s="31">
        <f t="shared" si="2"/>
        <v>4.451557632679852E-2</v>
      </c>
      <c r="O17" s="30">
        <v>13</v>
      </c>
      <c r="P17" s="31">
        <v>0.12936999386676573</v>
      </c>
      <c r="R17" s="11">
        <v>12</v>
      </c>
      <c r="S17" s="35">
        <v>45982</v>
      </c>
      <c r="T17" s="12">
        <v>9.3891175416682002E-2</v>
      </c>
      <c r="U17" s="21">
        <f t="shared" si="4"/>
        <v>2347.27938541705</v>
      </c>
      <c r="V17" s="22">
        <f t="shared" si="5"/>
        <v>14820.093619098432</v>
      </c>
    </row>
    <row r="18" spans="1:22" x14ac:dyDescent="0.3">
      <c r="A18" s="5">
        <v>13</v>
      </c>
      <c r="B18" s="7">
        <v>1</v>
      </c>
      <c r="C18" s="7">
        <v>121.1</v>
      </c>
      <c r="D18" s="7">
        <v>1</v>
      </c>
      <c r="E18" s="7">
        <v>1605.6</v>
      </c>
      <c r="F18" s="7">
        <v>2</v>
      </c>
      <c r="G18" s="7">
        <v>1726.6999999999998</v>
      </c>
      <c r="J18" s="30">
        <v>14</v>
      </c>
      <c r="K18" s="31">
        <f t="shared" si="0"/>
        <v>4.6823647059218314E-2</v>
      </c>
      <c r="L18" s="31">
        <f t="shared" si="1"/>
        <v>9.3891175416682002E-2</v>
      </c>
      <c r="M18" s="31">
        <f t="shared" si="2"/>
        <v>7.5811055135430003E-2</v>
      </c>
      <c r="O18" s="30">
        <v>14</v>
      </c>
      <c r="P18" s="31">
        <v>4.0969179917744021E-2</v>
      </c>
      <c r="R18" s="11">
        <v>13</v>
      </c>
      <c r="S18" s="35">
        <v>45985</v>
      </c>
      <c r="T18" s="12">
        <v>0.109369993866766</v>
      </c>
      <c r="U18" s="21">
        <f t="shared" si="4"/>
        <v>2734.24984666915</v>
      </c>
      <c r="V18" s="22">
        <f t="shared" si="5"/>
        <v>17554.343465767583</v>
      </c>
    </row>
    <row r="19" spans="1:22" x14ac:dyDescent="0.3">
      <c r="A19" s="5">
        <v>14</v>
      </c>
      <c r="B19" s="7">
        <v>1</v>
      </c>
      <c r="C19" s="7">
        <v>697.67</v>
      </c>
      <c r="D19" s="7">
        <v>1</v>
      </c>
      <c r="E19" s="7">
        <v>2242.9399999999996</v>
      </c>
      <c r="F19" s="7">
        <v>2</v>
      </c>
      <c r="G19" s="7">
        <v>2940.6099999999997</v>
      </c>
      <c r="J19" s="30">
        <v>15</v>
      </c>
      <c r="K19" s="31">
        <f t="shared" si="0"/>
        <v>0.31954268302913769</v>
      </c>
      <c r="L19" s="31">
        <f t="shared" si="1"/>
        <v>1.0754866732081082E-2</v>
      </c>
      <c r="M19" s="31">
        <f t="shared" si="2"/>
        <v>0.12936999386676573</v>
      </c>
      <c r="O19" s="30">
        <v>15</v>
      </c>
      <c r="P19" s="31">
        <v>1.9497486679905831E-2</v>
      </c>
      <c r="R19" s="11">
        <v>14</v>
      </c>
      <c r="S19" s="35">
        <v>45986</v>
      </c>
      <c r="T19" s="12">
        <v>4.0969179917744021E-2</v>
      </c>
      <c r="U19" s="21">
        <f t="shared" si="4"/>
        <v>1024.2294979436006</v>
      </c>
      <c r="V19" s="22">
        <f t="shared" si="5"/>
        <v>18578.572963711184</v>
      </c>
    </row>
    <row r="20" spans="1:22" x14ac:dyDescent="0.3">
      <c r="A20" s="5">
        <v>15</v>
      </c>
      <c r="B20" s="7">
        <v>1</v>
      </c>
      <c r="C20" s="7">
        <v>4761.17</v>
      </c>
      <c r="D20" s="7">
        <v>1</v>
      </c>
      <c r="E20" s="7">
        <v>256.91999999999996</v>
      </c>
      <c r="F20" s="7">
        <v>2</v>
      </c>
      <c r="G20" s="7">
        <v>5018.09</v>
      </c>
      <c r="J20" s="30">
        <v>16</v>
      </c>
      <c r="K20" s="31">
        <f t="shared" si="0"/>
        <v>7.9571407957744811E-2</v>
      </c>
      <c r="L20" s="31">
        <f t="shared" si="1"/>
        <v>1.689207291139919E-2</v>
      </c>
      <c r="M20" s="31">
        <f t="shared" si="2"/>
        <v>4.0969179917744021E-2</v>
      </c>
      <c r="O20" s="30">
        <v>16</v>
      </c>
      <c r="P20" s="31">
        <v>1.8293486216464757E-2</v>
      </c>
      <c r="R20" s="11">
        <v>15</v>
      </c>
      <c r="S20" s="35">
        <v>45987</v>
      </c>
      <c r="T20" s="12">
        <v>1.9497486679905831E-2</v>
      </c>
      <c r="U20" s="21">
        <f t="shared" si="4"/>
        <v>487.43716699764576</v>
      </c>
      <c r="V20" s="22">
        <f t="shared" si="5"/>
        <v>19066.01013070883</v>
      </c>
    </row>
    <row r="21" spans="1:22" x14ac:dyDescent="0.3">
      <c r="A21" s="5">
        <v>16</v>
      </c>
      <c r="B21" s="7">
        <v>1</v>
      </c>
      <c r="C21" s="7">
        <v>1185.6099999999999</v>
      </c>
      <c r="D21" s="7">
        <v>1</v>
      </c>
      <c r="E21" s="7">
        <v>403.53</v>
      </c>
      <c r="F21" s="7">
        <v>2</v>
      </c>
      <c r="G21" s="7">
        <v>1589.1399999999999</v>
      </c>
      <c r="J21" s="30">
        <v>17</v>
      </c>
      <c r="K21" s="31">
        <f t="shared" si="0"/>
        <v>1.1335608508753384E-2</v>
      </c>
      <c r="L21" s="31">
        <f t="shared" si="1"/>
        <v>1.9497486679905831E-2</v>
      </c>
      <c r="M21" s="31">
        <f t="shared" si="2"/>
        <v>1.6362252173121688E-2</v>
      </c>
      <c r="O21" s="30">
        <v>17</v>
      </c>
      <c r="P21" s="31">
        <v>0.11915791218616986</v>
      </c>
      <c r="R21" s="11">
        <v>16</v>
      </c>
      <c r="S21" s="35">
        <v>45988</v>
      </c>
      <c r="T21" s="12">
        <v>1.8293486216464757E-2</v>
      </c>
      <c r="U21" s="21">
        <f t="shared" si="4"/>
        <v>457.33715541161894</v>
      </c>
      <c r="V21" s="22">
        <f t="shared" si="5"/>
        <v>19523.34728612045</v>
      </c>
    </row>
    <row r="22" spans="1:22" x14ac:dyDescent="0.3">
      <c r="A22" s="5">
        <v>17</v>
      </c>
      <c r="B22" s="7">
        <v>1</v>
      </c>
      <c r="C22" s="7">
        <v>168.89999999999998</v>
      </c>
      <c r="D22" s="7">
        <v>1</v>
      </c>
      <c r="E22" s="7">
        <v>465.77</v>
      </c>
      <c r="F22" s="7">
        <v>2</v>
      </c>
      <c r="G22" s="7">
        <v>634.66999999999996</v>
      </c>
      <c r="J22" s="30">
        <v>18</v>
      </c>
      <c r="K22" s="31">
        <f t="shared" si="0"/>
        <v>2.9412850378692543E-2</v>
      </c>
      <c r="L22" s="31">
        <f t="shared" si="1"/>
        <v>1.1358080298986301E-2</v>
      </c>
      <c r="M22" s="31">
        <f t="shared" si="2"/>
        <v>1.8293486216464757E-2</v>
      </c>
      <c r="O22" s="30">
        <v>18</v>
      </c>
      <c r="P22" s="31">
        <v>4.3310327474491914E-2</v>
      </c>
      <c r="R22" s="11">
        <v>17</v>
      </c>
      <c r="S22" s="35">
        <v>45989</v>
      </c>
      <c r="T22" s="12">
        <v>0.11915791218616986</v>
      </c>
      <c r="U22" s="21">
        <f t="shared" si="4"/>
        <v>2978.9478046542467</v>
      </c>
      <c r="V22" s="22">
        <f t="shared" si="5"/>
        <v>22502.295090774696</v>
      </c>
    </row>
    <row r="23" spans="1:22" x14ac:dyDescent="0.3">
      <c r="A23" s="5">
        <v>18</v>
      </c>
      <c r="B23" s="7">
        <v>1</v>
      </c>
      <c r="C23" s="7">
        <v>438.25</v>
      </c>
      <c r="D23" s="7">
        <v>1</v>
      </c>
      <c r="E23" s="7">
        <v>271.33</v>
      </c>
      <c r="F23" s="7">
        <v>2</v>
      </c>
      <c r="G23" s="7">
        <v>709.57999999999993</v>
      </c>
      <c r="J23" s="30">
        <v>19</v>
      </c>
      <c r="K23" s="31">
        <f t="shared" si="0"/>
        <v>2.4485988208014123E-2</v>
      </c>
      <c r="L23" s="31">
        <f t="shared" si="1"/>
        <v>0.11915791218616986</v>
      </c>
      <c r="M23" s="31">
        <f t="shared" si="2"/>
        <v>8.279144399640409E-2</v>
      </c>
      <c r="O23" s="30">
        <v>19</v>
      </c>
      <c r="P23" s="31">
        <v>2.3178303400098462E-2</v>
      </c>
      <c r="R23" s="11">
        <v>18</v>
      </c>
      <c r="S23" s="35">
        <v>45992</v>
      </c>
      <c r="T23" s="12">
        <v>4.3310327474491914E-2</v>
      </c>
      <c r="U23" s="21">
        <f t="shared" si="4"/>
        <v>1082.7581868622979</v>
      </c>
      <c r="V23" s="22">
        <f t="shared" si="5"/>
        <v>23585.053277636995</v>
      </c>
    </row>
    <row r="24" spans="1:22" x14ac:dyDescent="0.3">
      <c r="A24" s="5">
        <v>19</v>
      </c>
      <c r="B24" s="7">
        <v>1</v>
      </c>
      <c r="C24" s="7">
        <v>364.84000000000003</v>
      </c>
      <c r="D24" s="7">
        <v>1</v>
      </c>
      <c r="E24" s="7">
        <v>2846.5299999999993</v>
      </c>
      <c r="F24" s="7">
        <v>2</v>
      </c>
      <c r="G24" s="7">
        <v>3211.3699999999994</v>
      </c>
      <c r="J24" s="30">
        <v>20</v>
      </c>
      <c r="K24" s="31">
        <f t="shared" si="0"/>
        <v>5.8290799633555823E-2</v>
      </c>
      <c r="L24" s="31">
        <f t="shared" si="1"/>
        <v>3.3966658741029249E-2</v>
      </c>
      <c r="M24" s="31">
        <f t="shared" si="2"/>
        <v>4.3310327474491914E-2</v>
      </c>
      <c r="O24" s="30">
        <v>20</v>
      </c>
      <c r="P24" s="31">
        <v>3.3419810475584753E-2</v>
      </c>
      <c r="R24" s="11">
        <v>19</v>
      </c>
      <c r="S24" s="35">
        <v>45993</v>
      </c>
      <c r="T24" s="12">
        <v>2.3178303400098462E-2</v>
      </c>
      <c r="U24" s="21">
        <f t="shared" si="4"/>
        <v>579.45758500246154</v>
      </c>
      <c r="V24" s="22">
        <f t="shared" si="5"/>
        <v>24164.510862639458</v>
      </c>
    </row>
    <row r="25" spans="1:22" x14ac:dyDescent="0.3">
      <c r="A25" s="5">
        <v>20</v>
      </c>
      <c r="B25" s="7">
        <v>1</v>
      </c>
      <c r="C25" s="7">
        <v>868.53000000000009</v>
      </c>
      <c r="D25" s="7">
        <v>1</v>
      </c>
      <c r="E25" s="7">
        <v>811.42000000000007</v>
      </c>
      <c r="F25" s="7">
        <v>2</v>
      </c>
      <c r="G25" s="7">
        <v>1679.9500000000003</v>
      </c>
      <c r="J25" s="30">
        <v>21</v>
      </c>
      <c r="K25" s="31">
        <f t="shared" si="0"/>
        <v>9.088621102755377E-3</v>
      </c>
      <c r="L25" s="31">
        <f t="shared" si="1"/>
        <v>2.3178303400098462E-2</v>
      </c>
      <c r="M25" s="31">
        <f t="shared" si="2"/>
        <v>1.7766012601102332E-2</v>
      </c>
      <c r="O25" s="29"/>
      <c r="P25" s="32">
        <f>SUM(P5:P24)</f>
        <v>0.99999024498116229</v>
      </c>
      <c r="R25" s="11">
        <v>20</v>
      </c>
      <c r="S25" s="35">
        <v>45994</v>
      </c>
      <c r="T25" s="12">
        <v>3.3419810475584753E-2</v>
      </c>
      <c r="U25" s="21">
        <f t="shared" si="4"/>
        <v>835.49526188961886</v>
      </c>
      <c r="V25" s="22">
        <f>+U25+V23</f>
        <v>24420.548539526615</v>
      </c>
    </row>
    <row r="26" spans="1:22" x14ac:dyDescent="0.3">
      <c r="A26" s="5">
        <v>21</v>
      </c>
      <c r="B26" s="7">
        <v>1</v>
      </c>
      <c r="C26" s="7">
        <v>135.41999999999999</v>
      </c>
      <c r="D26" s="7">
        <v>1</v>
      </c>
      <c r="E26" s="7">
        <v>553.70000000000005</v>
      </c>
      <c r="F26" s="7">
        <v>2</v>
      </c>
      <c r="G26" s="7">
        <v>689.12</v>
      </c>
      <c r="J26" s="30">
        <v>22</v>
      </c>
      <c r="K26" s="31">
        <f t="shared" si="0"/>
        <v>5.2161920006442972E-2</v>
      </c>
      <c r="L26" s="31">
        <f t="shared" si="1"/>
        <v>2.1729921067348945E-2</v>
      </c>
      <c r="M26" s="31">
        <f t="shared" si="2"/>
        <v>3.3419810475584753E-2</v>
      </c>
      <c r="R26" s="11">
        <v>21</v>
      </c>
      <c r="S26" s="43">
        <v>45995</v>
      </c>
      <c r="T26" s="12">
        <v>3.3419810475584753E-2</v>
      </c>
      <c r="U26" s="21">
        <f t="shared" si="4"/>
        <v>835.49526188961886</v>
      </c>
      <c r="V26" s="22">
        <f>+U26+V24</f>
        <v>25000.006124529078</v>
      </c>
    </row>
    <row r="27" spans="1:22" x14ac:dyDescent="0.3">
      <c r="A27" s="5">
        <v>22</v>
      </c>
      <c r="B27" s="7">
        <v>1</v>
      </c>
      <c r="C27" s="7">
        <v>777.21</v>
      </c>
      <c r="D27" s="7">
        <v>1</v>
      </c>
      <c r="E27" s="7">
        <v>519.1</v>
      </c>
      <c r="F27" s="7">
        <v>2</v>
      </c>
      <c r="G27" s="7">
        <v>1296.31</v>
      </c>
      <c r="J27" s="29"/>
      <c r="K27" s="32">
        <f>SUM(K5:K26)</f>
        <v>0.99999999999999989</v>
      </c>
      <c r="L27" s="32">
        <f>SUM(L5:L26)</f>
        <v>0.99999999999999978</v>
      </c>
      <c r="M27" s="32">
        <f>SUM(M5:M26)</f>
        <v>1</v>
      </c>
      <c r="R27" s="9"/>
      <c r="S27" s="35"/>
      <c r="T27" s="37"/>
      <c r="U27" s="34">
        <v>25000</v>
      </c>
      <c r="V27" s="38"/>
    </row>
    <row r="28" spans="1:22" x14ac:dyDescent="0.3">
      <c r="A28" s="5" t="s">
        <v>702</v>
      </c>
      <c r="B28" s="7">
        <v>21</v>
      </c>
      <c r="C28" s="7">
        <v>14899.95</v>
      </c>
      <c r="D28" s="7">
        <v>22</v>
      </c>
      <c r="E28" s="7">
        <v>23888.719999999998</v>
      </c>
      <c r="F28" s="7">
        <v>43</v>
      </c>
      <c r="G28" s="7">
        <v>38788.67</v>
      </c>
      <c r="R28" s="36"/>
      <c r="S28" s="35"/>
      <c r="T28" s="36"/>
      <c r="U28" s="36"/>
      <c r="V28" s="36"/>
    </row>
    <row r="29" spans="1:22" x14ac:dyDescent="0.3">
      <c r="S29" s="35"/>
    </row>
    <row r="30" spans="1:22" x14ac:dyDescent="0.3">
      <c r="S30" s="35"/>
    </row>
    <row r="31" spans="1:22" x14ac:dyDescent="0.3">
      <c r="S31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8B82-B80E-4B9F-9A1E-B691E37929A8}">
  <sheetPr>
    <tabColor rgb="FF92D050"/>
  </sheetPr>
  <dimension ref="B1:P52"/>
  <sheetViews>
    <sheetView tabSelected="1" workbookViewId="0">
      <selection activeCell="G28" sqref="G28"/>
    </sheetView>
  </sheetViews>
  <sheetFormatPr baseColWidth="10" defaultRowHeight="14.4" x14ac:dyDescent="0.3"/>
  <cols>
    <col min="5" max="7" width="12.77734375" bestFit="1" customWidth="1"/>
    <col min="12" max="12" width="12.77734375" bestFit="1" customWidth="1"/>
    <col min="14" max="14" width="17" style="52" bestFit="1" customWidth="1"/>
    <col min="15" max="15" width="17.109375" bestFit="1" customWidth="1"/>
  </cols>
  <sheetData>
    <row r="1" spans="2:13" ht="18" x14ac:dyDescent="0.35">
      <c r="B1" s="54" t="s">
        <v>1536</v>
      </c>
      <c r="C1" s="54"/>
      <c r="D1" s="54"/>
      <c r="E1" s="54"/>
      <c r="F1" s="54"/>
      <c r="H1" s="54" t="s">
        <v>1537</v>
      </c>
      <c r="I1" s="54"/>
      <c r="J1" s="54"/>
      <c r="K1" s="54"/>
      <c r="L1" s="54"/>
    </row>
    <row r="2" spans="2:13" x14ac:dyDescent="0.3">
      <c r="B2" s="16" t="s">
        <v>1486</v>
      </c>
      <c r="C2" s="17" t="s">
        <v>1501</v>
      </c>
      <c r="D2" s="17" t="s">
        <v>1502</v>
      </c>
      <c r="E2" s="17" t="s">
        <v>1503</v>
      </c>
      <c r="F2" s="18" t="s">
        <v>1504</v>
      </c>
      <c r="H2" s="16" t="s">
        <v>1486</v>
      </c>
      <c r="I2" s="17" t="s">
        <v>1501</v>
      </c>
      <c r="J2" s="17" t="s">
        <v>1502</v>
      </c>
      <c r="K2" s="17" t="s">
        <v>1503</v>
      </c>
      <c r="L2" s="18" t="s">
        <v>1504</v>
      </c>
    </row>
    <row r="3" spans="2:13" x14ac:dyDescent="0.3">
      <c r="B3" s="11">
        <v>1</v>
      </c>
      <c r="C3" s="19">
        <v>46003</v>
      </c>
      <c r="D3" s="20">
        <v>1.8265715178009172E-2</v>
      </c>
      <c r="E3" s="21">
        <f>D3*$E$25</f>
        <v>913.28575890045863</v>
      </c>
      <c r="F3" s="22">
        <f>+E3</f>
        <v>913.28575890045863</v>
      </c>
      <c r="G3" s="47"/>
      <c r="H3" s="11">
        <v>1</v>
      </c>
      <c r="I3" s="19">
        <v>46003</v>
      </c>
      <c r="J3" s="20">
        <v>1.8265715178009172E-2</v>
      </c>
      <c r="K3" s="21">
        <f>J3*$K$25</f>
        <v>182.65715178009171</v>
      </c>
      <c r="L3" s="22">
        <f>+K3</f>
        <v>182.65715178009171</v>
      </c>
    </row>
    <row r="4" spans="2:13" x14ac:dyDescent="0.3">
      <c r="B4" s="11">
        <v>2</v>
      </c>
      <c r="C4" s="19">
        <v>46006</v>
      </c>
      <c r="D4" s="20">
        <v>5.3091545798497879E-3</v>
      </c>
      <c r="E4" s="21">
        <f t="shared" ref="E4:E24" si="0">D4*$E$25</f>
        <v>265.45772899248942</v>
      </c>
      <c r="F4" s="22">
        <f>E4+F3</f>
        <v>1178.743487892948</v>
      </c>
      <c r="H4" s="11">
        <v>2</v>
      </c>
      <c r="I4" s="19">
        <v>46006</v>
      </c>
      <c r="J4" s="20">
        <v>5.3091545798497879E-3</v>
      </c>
      <c r="K4" s="21">
        <f t="shared" ref="K4:K24" si="1">J4*$K$25</f>
        <v>53.091545798497876</v>
      </c>
      <c r="L4" s="22">
        <f>K4+L3</f>
        <v>235.7486975785896</v>
      </c>
    </row>
    <row r="5" spans="2:13" x14ac:dyDescent="0.3">
      <c r="B5" s="11">
        <v>3</v>
      </c>
      <c r="C5" s="19">
        <v>46007</v>
      </c>
      <c r="D5" s="20">
        <v>1.933793182135671E-3</v>
      </c>
      <c r="E5" s="21">
        <f t="shared" si="0"/>
        <v>96.689659106783552</v>
      </c>
      <c r="F5" s="22">
        <f t="shared" ref="F5:F24" si="2">E5+F4</f>
        <v>1275.4331469997314</v>
      </c>
      <c r="H5" s="11">
        <v>3</v>
      </c>
      <c r="I5" s="19">
        <v>46007</v>
      </c>
      <c r="J5" s="20">
        <v>1.933793182135671E-3</v>
      </c>
      <c r="K5" s="21">
        <f t="shared" si="1"/>
        <v>19.337931821356708</v>
      </c>
      <c r="L5" s="22">
        <f t="shared" ref="L5:L24" si="3">K5+L4</f>
        <v>255.0866293999463</v>
      </c>
    </row>
    <row r="6" spans="2:13" x14ac:dyDescent="0.3">
      <c r="B6" s="11">
        <v>4</v>
      </c>
      <c r="C6" s="19">
        <v>46008</v>
      </c>
      <c r="D6" s="20">
        <v>6.5875498533198851E-2</v>
      </c>
      <c r="E6" s="21">
        <f t="shared" si="0"/>
        <v>3293.7749266599426</v>
      </c>
      <c r="F6" s="22">
        <f t="shared" si="2"/>
        <v>4569.2080736596745</v>
      </c>
      <c r="H6" s="11">
        <v>4</v>
      </c>
      <c r="I6" s="19">
        <v>46008</v>
      </c>
      <c r="J6" s="20">
        <v>6.5875498533198851E-2</v>
      </c>
      <c r="K6" s="21">
        <f t="shared" si="1"/>
        <v>658.75498533198856</v>
      </c>
      <c r="L6" s="22">
        <f t="shared" si="3"/>
        <v>913.8416147319349</v>
      </c>
    </row>
    <row r="7" spans="2:13" x14ac:dyDescent="0.3">
      <c r="B7" s="11">
        <v>5</v>
      </c>
      <c r="C7" s="19">
        <v>46009</v>
      </c>
      <c r="D7" s="20">
        <v>9.0041038250926533E-2</v>
      </c>
      <c r="E7" s="21">
        <f t="shared" si="0"/>
        <v>4502.051912546327</v>
      </c>
      <c r="F7" s="22">
        <f t="shared" si="2"/>
        <v>9071.2599862060015</v>
      </c>
      <c r="H7" s="11">
        <v>5</v>
      </c>
      <c r="I7" s="19">
        <v>46009</v>
      </c>
      <c r="J7" s="20">
        <v>9.0041038250926533E-2</v>
      </c>
      <c r="K7" s="21">
        <f t="shared" si="1"/>
        <v>900.41038250926533</v>
      </c>
      <c r="L7" s="22">
        <f t="shared" si="3"/>
        <v>1814.2519972412001</v>
      </c>
    </row>
    <row r="8" spans="2:13" x14ac:dyDescent="0.3">
      <c r="B8" s="11">
        <v>6</v>
      </c>
      <c r="C8" s="19">
        <v>46010</v>
      </c>
      <c r="D8" s="12">
        <v>4.2950102431064729E-2</v>
      </c>
      <c r="E8" s="21">
        <f t="shared" si="0"/>
        <v>2147.5051215532367</v>
      </c>
      <c r="F8" s="22">
        <f t="shared" si="2"/>
        <v>11218.765107759238</v>
      </c>
      <c r="H8" s="11">
        <v>6</v>
      </c>
      <c r="I8" s="19">
        <v>46010</v>
      </c>
      <c r="J8" s="12">
        <v>4.2950102431064729E-2</v>
      </c>
      <c r="K8" s="21">
        <f t="shared" si="1"/>
        <v>429.50102431064727</v>
      </c>
      <c r="L8" s="22">
        <f t="shared" si="3"/>
        <v>2243.7530215518473</v>
      </c>
      <c r="M8" s="47"/>
    </row>
    <row r="9" spans="2:13" x14ac:dyDescent="0.3">
      <c r="B9" s="11">
        <v>7</v>
      </c>
      <c r="C9" s="19">
        <v>46013</v>
      </c>
      <c r="D9" s="12">
        <v>8.3047933057404558E-2</v>
      </c>
      <c r="E9" s="21">
        <f t="shared" si="0"/>
        <v>4152.3966528702276</v>
      </c>
      <c r="F9" s="22">
        <f t="shared" si="2"/>
        <v>15371.161760629466</v>
      </c>
      <c r="H9" s="11">
        <v>7</v>
      </c>
      <c r="I9" s="19">
        <v>46013</v>
      </c>
      <c r="J9" s="12">
        <v>8.3047933057404558E-2</v>
      </c>
      <c r="K9" s="21">
        <f t="shared" si="1"/>
        <v>830.47933057404555</v>
      </c>
      <c r="L9" s="22">
        <f t="shared" si="3"/>
        <v>3074.2323521258927</v>
      </c>
    </row>
    <row r="10" spans="2:13" x14ac:dyDescent="0.3">
      <c r="B10" s="11">
        <v>8</v>
      </c>
      <c r="C10" s="19">
        <v>46014</v>
      </c>
      <c r="D10" s="12">
        <v>5.3845900672951245E-2</v>
      </c>
      <c r="E10" s="21">
        <f t="shared" si="0"/>
        <v>2692.2950336475624</v>
      </c>
      <c r="F10" s="22">
        <f t="shared" si="2"/>
        <v>18063.45679427703</v>
      </c>
      <c r="H10" s="11">
        <v>8</v>
      </c>
      <c r="I10" s="19">
        <v>46014</v>
      </c>
      <c r="J10" s="12">
        <v>5.3845900672951245E-2</v>
      </c>
      <c r="K10" s="21">
        <f t="shared" si="1"/>
        <v>538.45900672951245</v>
      </c>
      <c r="L10" s="22">
        <f t="shared" si="3"/>
        <v>3612.6913588554053</v>
      </c>
    </row>
    <row r="11" spans="2:13" x14ac:dyDescent="0.3">
      <c r="B11" s="11">
        <v>9</v>
      </c>
      <c r="C11" s="19">
        <v>46015</v>
      </c>
      <c r="D11" s="12">
        <v>3.6053248063098398E-2</v>
      </c>
      <c r="E11" s="21">
        <f t="shared" si="0"/>
        <v>1802.66240315492</v>
      </c>
      <c r="F11" s="22">
        <f t="shared" si="2"/>
        <v>19866.119197431952</v>
      </c>
      <c r="H11" s="11">
        <v>9</v>
      </c>
      <c r="I11" s="19">
        <v>46015</v>
      </c>
      <c r="J11" s="12">
        <v>3.6053248063098398E-2</v>
      </c>
      <c r="K11" s="21">
        <f t="shared" si="1"/>
        <v>360.53248063098397</v>
      </c>
      <c r="L11" s="22">
        <f t="shared" si="3"/>
        <v>3973.2238394863894</v>
      </c>
    </row>
    <row r="12" spans="2:13" x14ac:dyDescent="0.3">
      <c r="B12" s="11">
        <v>10</v>
      </c>
      <c r="C12" s="19">
        <v>46016</v>
      </c>
      <c r="D12" s="12">
        <v>0.10106731633535955</v>
      </c>
      <c r="E12" s="21">
        <f t="shared" si="0"/>
        <v>5053.3658167679778</v>
      </c>
      <c r="F12" s="22">
        <f t="shared" si="2"/>
        <v>24919.48501419993</v>
      </c>
      <c r="G12" s="47"/>
      <c r="H12" s="11">
        <v>10</v>
      </c>
      <c r="I12" s="19">
        <v>46016</v>
      </c>
      <c r="J12" s="12">
        <v>0.10106731633535955</v>
      </c>
      <c r="K12" s="21">
        <f t="shared" si="1"/>
        <v>1010.6731633535956</v>
      </c>
      <c r="L12" s="22">
        <f t="shared" si="3"/>
        <v>4983.8970028399854</v>
      </c>
    </row>
    <row r="13" spans="2:13" x14ac:dyDescent="0.3">
      <c r="B13" s="11">
        <v>11</v>
      </c>
      <c r="C13" s="19">
        <v>46017</v>
      </c>
      <c r="D13" s="12">
        <v>6.7078195019092915E-2</v>
      </c>
      <c r="E13" s="21">
        <f t="shared" si="0"/>
        <v>3353.9097509546459</v>
      </c>
      <c r="F13" s="22">
        <f t="shared" si="2"/>
        <v>28273.394765154575</v>
      </c>
      <c r="H13" s="11">
        <v>11</v>
      </c>
      <c r="I13" s="19">
        <v>46017</v>
      </c>
      <c r="J13" s="12">
        <v>6.7078195019092915E-2</v>
      </c>
      <c r="K13" s="21">
        <f t="shared" si="1"/>
        <v>670.78195019092914</v>
      </c>
      <c r="L13" s="22">
        <f t="shared" si="3"/>
        <v>5654.6789530309143</v>
      </c>
    </row>
    <row r="14" spans="2:13" x14ac:dyDescent="0.3">
      <c r="B14" s="11">
        <v>12</v>
      </c>
      <c r="C14" s="19">
        <v>46020</v>
      </c>
      <c r="D14" s="12">
        <v>0.20553837197140853</v>
      </c>
      <c r="E14" s="21">
        <f t="shared" si="0"/>
        <v>10276.918598570426</v>
      </c>
      <c r="F14" s="22">
        <f t="shared" si="2"/>
        <v>38550.313363724999</v>
      </c>
      <c r="H14" s="11">
        <v>12</v>
      </c>
      <c r="I14" s="19">
        <v>46020</v>
      </c>
      <c r="J14" s="12">
        <v>0.20553837197140853</v>
      </c>
      <c r="K14" s="21">
        <f t="shared" si="1"/>
        <v>2055.3837197140851</v>
      </c>
      <c r="L14" s="22">
        <f t="shared" si="3"/>
        <v>7710.0626727449999</v>
      </c>
    </row>
    <row r="15" spans="2:13" x14ac:dyDescent="0.3">
      <c r="B15" s="11">
        <v>13</v>
      </c>
      <c r="C15" s="19">
        <v>46021</v>
      </c>
      <c r="D15" s="12">
        <v>1.5108015221673109E-2</v>
      </c>
      <c r="E15" s="21">
        <f t="shared" si="0"/>
        <v>755.40076108365542</v>
      </c>
      <c r="F15" s="22">
        <f t="shared" si="2"/>
        <v>39305.714124808655</v>
      </c>
      <c r="H15" s="11">
        <v>13</v>
      </c>
      <c r="I15" s="19">
        <v>46021</v>
      </c>
      <c r="J15" s="12">
        <v>1.5108015221673109E-2</v>
      </c>
      <c r="K15" s="21">
        <f t="shared" si="1"/>
        <v>151.08015221673111</v>
      </c>
      <c r="L15" s="22">
        <f t="shared" si="3"/>
        <v>7861.1428249617311</v>
      </c>
    </row>
    <row r="16" spans="2:13" x14ac:dyDescent="0.3">
      <c r="B16" s="11">
        <v>14</v>
      </c>
      <c r="C16" s="19">
        <v>46022</v>
      </c>
      <c r="D16" s="12">
        <v>3.0694359014116539E-2</v>
      </c>
      <c r="E16" s="21">
        <f t="shared" si="0"/>
        <v>1534.717950705827</v>
      </c>
      <c r="F16" s="22">
        <f t="shared" si="2"/>
        <v>40840.43207551448</v>
      </c>
      <c r="H16" s="11">
        <v>14</v>
      </c>
      <c r="I16" s="19">
        <v>46022</v>
      </c>
      <c r="J16" s="12">
        <v>3.0694359014116539E-2</v>
      </c>
      <c r="K16" s="21">
        <f t="shared" si="1"/>
        <v>306.94359014116537</v>
      </c>
      <c r="L16" s="22">
        <f t="shared" si="3"/>
        <v>8168.0864151028964</v>
      </c>
    </row>
    <row r="17" spans="2:16" x14ac:dyDescent="0.3">
      <c r="B17" s="11">
        <v>15</v>
      </c>
      <c r="C17" s="19">
        <v>46023</v>
      </c>
      <c r="D17" s="12">
        <v>2.791434846748353E-2</v>
      </c>
      <c r="E17" s="21">
        <f t="shared" si="0"/>
        <v>1395.7174233741764</v>
      </c>
      <c r="F17" s="22">
        <f t="shared" si="2"/>
        <v>42236.149498888655</v>
      </c>
      <c r="H17" s="11">
        <v>15</v>
      </c>
      <c r="I17" s="19">
        <v>46023</v>
      </c>
      <c r="J17" s="12">
        <v>2.791434846748353E-2</v>
      </c>
      <c r="K17" s="21">
        <f t="shared" si="1"/>
        <v>279.14348467483529</v>
      </c>
      <c r="L17" s="22">
        <f t="shared" si="3"/>
        <v>8447.2298997777325</v>
      </c>
    </row>
    <row r="18" spans="2:16" x14ac:dyDescent="0.3">
      <c r="B18" s="11">
        <v>16</v>
      </c>
      <c r="C18" s="19">
        <v>46024</v>
      </c>
      <c r="D18" s="12">
        <v>8.3913751653853959E-3</v>
      </c>
      <c r="E18" s="21">
        <f t="shared" si="0"/>
        <v>419.56875826926978</v>
      </c>
      <c r="F18" s="22">
        <f t="shared" si="2"/>
        <v>42655.718257157925</v>
      </c>
      <c r="H18" s="11">
        <v>16</v>
      </c>
      <c r="I18" s="19">
        <v>46024</v>
      </c>
      <c r="J18" s="12">
        <v>8.3913751653853959E-3</v>
      </c>
      <c r="K18" s="21">
        <f t="shared" si="1"/>
        <v>83.913751653853964</v>
      </c>
      <c r="L18" s="22">
        <f t="shared" si="3"/>
        <v>8531.1436514315865</v>
      </c>
    </row>
    <row r="19" spans="2:16" x14ac:dyDescent="0.3">
      <c r="B19" s="11">
        <v>17</v>
      </c>
      <c r="C19" s="19">
        <v>45662</v>
      </c>
      <c r="D19" s="12">
        <v>6.3963939584322227E-2</v>
      </c>
      <c r="E19" s="21">
        <f t="shared" si="0"/>
        <v>3198.1969792161112</v>
      </c>
      <c r="F19" s="22">
        <f t="shared" si="2"/>
        <v>45853.915236374036</v>
      </c>
      <c r="H19" s="11">
        <v>17</v>
      </c>
      <c r="I19" s="19">
        <v>45662</v>
      </c>
      <c r="J19" s="12">
        <v>6.3963939584322227E-2</v>
      </c>
      <c r="K19" s="21">
        <f t="shared" si="1"/>
        <v>639.63939584322225</v>
      </c>
      <c r="L19" s="22">
        <f t="shared" si="3"/>
        <v>9170.7830472748083</v>
      </c>
    </row>
    <row r="20" spans="2:16" x14ac:dyDescent="0.3">
      <c r="B20" s="11">
        <v>18</v>
      </c>
      <c r="C20" s="19">
        <v>45663</v>
      </c>
      <c r="D20" s="12">
        <v>2.0010663655293318E-2</v>
      </c>
      <c r="E20" s="21">
        <f t="shared" si="0"/>
        <v>1000.5331827646659</v>
      </c>
      <c r="F20" s="22">
        <f t="shared" si="2"/>
        <v>46854.448419138702</v>
      </c>
      <c r="H20" s="11">
        <v>18</v>
      </c>
      <c r="I20" s="19">
        <v>45663</v>
      </c>
      <c r="J20" s="12">
        <v>2.0010663655293318E-2</v>
      </c>
      <c r="K20" s="21">
        <f t="shared" si="1"/>
        <v>200.10663655293317</v>
      </c>
      <c r="L20" s="22">
        <f t="shared" si="3"/>
        <v>9370.8896838277415</v>
      </c>
    </row>
    <row r="21" spans="2:16" x14ac:dyDescent="0.3">
      <c r="B21" s="11">
        <v>19</v>
      </c>
      <c r="C21" s="19">
        <v>45664</v>
      </c>
      <c r="D21" s="12">
        <v>1.2953196207600451E-2</v>
      </c>
      <c r="E21" s="21">
        <f t="shared" si="0"/>
        <v>647.65981038002258</v>
      </c>
      <c r="F21" s="22">
        <f t="shared" si="2"/>
        <v>47502.108229518723</v>
      </c>
      <c r="H21" s="11">
        <v>19</v>
      </c>
      <c r="I21" s="19">
        <v>45664</v>
      </c>
      <c r="J21" s="12">
        <v>1.2953196207600451E-2</v>
      </c>
      <c r="K21" s="21">
        <f t="shared" si="1"/>
        <v>129.5319620760045</v>
      </c>
      <c r="L21" s="22">
        <f t="shared" si="3"/>
        <v>9500.4216459037452</v>
      </c>
    </row>
    <row r="22" spans="2:16" x14ac:dyDescent="0.3">
      <c r="B22" s="11">
        <v>20</v>
      </c>
      <c r="C22" s="19">
        <v>45665</v>
      </c>
      <c r="D22" s="12">
        <v>3.4598807396685777E-2</v>
      </c>
      <c r="E22" s="21">
        <f t="shared" si="0"/>
        <v>1729.9403698342887</v>
      </c>
      <c r="F22" s="22">
        <f t="shared" si="2"/>
        <v>49232.048599353009</v>
      </c>
      <c r="H22" s="11">
        <v>20</v>
      </c>
      <c r="I22" s="19">
        <v>45665</v>
      </c>
      <c r="J22" s="12">
        <v>3.4598807396685777E-2</v>
      </c>
      <c r="K22" s="21">
        <f t="shared" si="1"/>
        <v>345.98807396685777</v>
      </c>
      <c r="L22" s="22">
        <f t="shared" si="3"/>
        <v>9846.4097198706022</v>
      </c>
    </row>
    <row r="23" spans="2:16" x14ac:dyDescent="0.3">
      <c r="B23" s="11">
        <v>21</v>
      </c>
      <c r="C23" s="19">
        <v>45666</v>
      </c>
      <c r="D23" s="12">
        <v>3.7461757484489066E-3</v>
      </c>
      <c r="E23" s="21">
        <f t="shared" si="0"/>
        <v>187.30878742244533</v>
      </c>
      <c r="F23" s="22">
        <f t="shared" si="2"/>
        <v>49419.357386775453</v>
      </c>
      <c r="H23" s="11">
        <v>21</v>
      </c>
      <c r="I23" s="19">
        <v>45666</v>
      </c>
      <c r="J23" s="12">
        <v>3.7461757484489066E-3</v>
      </c>
      <c r="K23" s="21">
        <f t="shared" si="1"/>
        <v>37.461757484489063</v>
      </c>
      <c r="L23" s="22">
        <f t="shared" si="3"/>
        <v>9883.871477355091</v>
      </c>
    </row>
    <row r="24" spans="2:16" x14ac:dyDescent="0.3">
      <c r="B24" s="11">
        <v>22</v>
      </c>
      <c r="C24" s="19">
        <v>45669</v>
      </c>
      <c r="D24" s="12">
        <v>1.1612852264490834E-2</v>
      </c>
      <c r="E24" s="21">
        <f t="shared" si="0"/>
        <v>580.64261322454172</v>
      </c>
      <c r="F24" s="22">
        <f t="shared" si="2"/>
        <v>49999.999999999993</v>
      </c>
      <c r="H24" s="11">
        <v>22</v>
      </c>
      <c r="I24" s="19">
        <v>45669</v>
      </c>
      <c r="J24" s="12">
        <v>1.1612852264490834E-2</v>
      </c>
      <c r="K24" s="21">
        <f t="shared" si="1"/>
        <v>116.12852264490833</v>
      </c>
      <c r="L24" s="22">
        <f t="shared" si="3"/>
        <v>10000</v>
      </c>
    </row>
    <row r="25" spans="2:16" x14ac:dyDescent="0.3">
      <c r="B25" s="23"/>
      <c r="C25" s="24"/>
      <c r="D25" s="25"/>
      <c r="E25" s="21">
        <v>50000</v>
      </c>
      <c r="F25" s="27"/>
      <c r="H25" s="23"/>
      <c r="I25" s="24"/>
      <c r="J25" s="25"/>
      <c r="K25" s="21">
        <v>10000</v>
      </c>
      <c r="L25" s="27"/>
    </row>
    <row r="27" spans="2:16" ht="18" x14ac:dyDescent="0.35">
      <c r="B27" s="54" t="s">
        <v>1538</v>
      </c>
      <c r="C27" s="54"/>
      <c r="D27" s="54"/>
      <c r="E27" s="54"/>
      <c r="F27" s="54"/>
      <c r="H27" s="54" t="s">
        <v>1539</v>
      </c>
      <c r="I27" s="54"/>
      <c r="J27" s="54"/>
      <c r="K27" s="54"/>
      <c r="L27" s="54"/>
    </row>
    <row r="28" spans="2:16" x14ac:dyDescent="0.3">
      <c r="B28" s="16" t="s">
        <v>1486</v>
      </c>
      <c r="C28" s="17" t="s">
        <v>1501</v>
      </c>
      <c r="D28" s="17" t="s">
        <v>1502</v>
      </c>
      <c r="E28" s="17" t="s">
        <v>1503</v>
      </c>
      <c r="F28" s="18" t="s">
        <v>1504</v>
      </c>
      <c r="H28" s="16" t="s">
        <v>1486</v>
      </c>
      <c r="I28" s="17" t="s">
        <v>1501</v>
      </c>
      <c r="J28" s="17" t="s">
        <v>1502</v>
      </c>
      <c r="K28" s="17" t="s">
        <v>1503</v>
      </c>
      <c r="L28" s="18" t="s">
        <v>1504</v>
      </c>
    </row>
    <row r="29" spans="2:16" x14ac:dyDescent="0.3">
      <c r="B29" s="11">
        <v>1</v>
      </c>
      <c r="C29" s="19">
        <v>46003</v>
      </c>
      <c r="D29" s="20">
        <v>1.6229407582248636E-2</v>
      </c>
      <c r="E29" s="21">
        <f>D29*$E$51</f>
        <v>9737.644549349181</v>
      </c>
      <c r="F29" s="22">
        <v>8114.7037911243178</v>
      </c>
      <c r="H29" s="11">
        <v>1</v>
      </c>
      <c r="I29" s="19">
        <v>45967</v>
      </c>
      <c r="J29" s="20">
        <v>1.4957176180482489E-2</v>
      </c>
      <c r="K29" s="21">
        <f>J29*$K$51</f>
        <v>1495.7176180482488</v>
      </c>
      <c r="L29" s="22">
        <f>+K29</f>
        <v>1495.7176180482488</v>
      </c>
    </row>
    <row r="30" spans="2:16" x14ac:dyDescent="0.3">
      <c r="B30" s="11">
        <v>2</v>
      </c>
      <c r="C30" s="19">
        <v>46006</v>
      </c>
      <c r="D30" s="20">
        <v>7.1581845513004158E-2</v>
      </c>
      <c r="E30" s="21">
        <f t="shared" ref="E30:E50" si="4">D30*$E$51</f>
        <v>42949.107307802493</v>
      </c>
      <c r="F30" s="22">
        <v>43905.626547626394</v>
      </c>
      <c r="H30" s="11">
        <v>2</v>
      </c>
      <c r="I30" s="19">
        <v>45968</v>
      </c>
      <c r="J30" s="20">
        <v>3.2949866518300571E-3</v>
      </c>
      <c r="K30" s="21">
        <f t="shared" ref="K30:K50" si="5">J30*$K$51</f>
        <v>329.4986651830057</v>
      </c>
      <c r="L30" s="22">
        <f>K30+L29</f>
        <v>1825.2162832312545</v>
      </c>
    </row>
    <row r="31" spans="2:16" x14ac:dyDescent="0.3">
      <c r="B31" s="11">
        <v>3</v>
      </c>
      <c r="C31" s="19">
        <v>46007</v>
      </c>
      <c r="D31" s="20">
        <v>4.8317348232965185E-2</v>
      </c>
      <c r="E31" s="21">
        <f t="shared" si="4"/>
        <v>28990.40893977911</v>
      </c>
      <c r="F31" s="22">
        <v>68064.300664108989</v>
      </c>
      <c r="H31" s="11">
        <v>3</v>
      </c>
      <c r="I31" s="19">
        <v>45971</v>
      </c>
      <c r="J31" s="20">
        <v>4.576962804567352E-2</v>
      </c>
      <c r="K31" s="21">
        <f t="shared" si="5"/>
        <v>4576.9628045673517</v>
      </c>
      <c r="L31" s="22">
        <f t="shared" ref="L31:L50" si="6">K31+L30</f>
        <v>6402.1790877986059</v>
      </c>
      <c r="O31" s="52"/>
    </row>
    <row r="32" spans="2:16" x14ac:dyDescent="0.3">
      <c r="B32" s="11">
        <v>4</v>
      </c>
      <c r="C32" s="19">
        <v>46008</v>
      </c>
      <c r="D32" s="20">
        <v>5.5489660988909999E-2</v>
      </c>
      <c r="E32" s="21">
        <f t="shared" si="4"/>
        <v>33293.796593346</v>
      </c>
      <c r="F32" s="22">
        <v>95809.131158563992</v>
      </c>
      <c r="H32" s="11">
        <v>4</v>
      </c>
      <c r="I32" s="19">
        <v>45972</v>
      </c>
      <c r="J32" s="20">
        <v>1.5654627600658225E-2</v>
      </c>
      <c r="K32" s="21">
        <f t="shared" si="5"/>
        <v>1565.4627600658225</v>
      </c>
      <c r="L32" s="22">
        <f t="shared" si="6"/>
        <v>7967.6418478644282</v>
      </c>
      <c r="N32" s="52">
        <v>552382.01399999997</v>
      </c>
      <c r="O32" s="53">
        <v>0.6</v>
      </c>
      <c r="P32" t="s">
        <v>1540</v>
      </c>
    </row>
    <row r="33" spans="2:16" x14ac:dyDescent="0.3">
      <c r="B33" s="11">
        <v>5</v>
      </c>
      <c r="C33" s="19">
        <v>46009</v>
      </c>
      <c r="D33" s="20">
        <v>9.1730685322508124E-2</v>
      </c>
      <c r="E33" s="21">
        <f>D33*$E$51</f>
        <v>55038.411193504871</v>
      </c>
      <c r="F33" s="22">
        <v>141674.47381981806</v>
      </c>
      <c r="H33" s="11">
        <v>5</v>
      </c>
      <c r="I33" s="19">
        <v>45973</v>
      </c>
      <c r="J33" s="20">
        <v>5.4947747668571793E-2</v>
      </c>
      <c r="K33" s="21">
        <f t="shared" si="5"/>
        <v>5494.7747668571792</v>
      </c>
      <c r="L33" s="22">
        <f t="shared" si="6"/>
        <v>13462.416614721607</v>
      </c>
      <c r="N33" s="52">
        <v>19071583.872499999</v>
      </c>
      <c r="O33" s="53">
        <v>0.05</v>
      </c>
      <c r="P33" t="s">
        <v>1541</v>
      </c>
    </row>
    <row r="34" spans="2:16" x14ac:dyDescent="0.3">
      <c r="B34" s="11">
        <v>6</v>
      </c>
      <c r="C34" s="19">
        <v>46010</v>
      </c>
      <c r="D34" s="12">
        <v>4.0383064642935521E-2</v>
      </c>
      <c r="E34" s="21">
        <f t="shared" si="4"/>
        <v>24229.838785761312</v>
      </c>
      <c r="F34" s="22">
        <v>161866.00614128582</v>
      </c>
      <c r="H34" s="11">
        <v>6</v>
      </c>
      <c r="I34" s="19">
        <v>45974</v>
      </c>
      <c r="J34" s="12">
        <v>3.0499903273976576E-2</v>
      </c>
      <c r="K34" s="21">
        <f t="shared" si="5"/>
        <v>3049.9903273976574</v>
      </c>
      <c r="L34" s="22">
        <f t="shared" si="6"/>
        <v>16512.406942119265</v>
      </c>
      <c r="N34" s="52">
        <v>2505082.4360000002</v>
      </c>
      <c r="O34" s="53">
        <v>0.1</v>
      </c>
      <c r="P34" t="s">
        <v>1542</v>
      </c>
    </row>
    <row r="35" spans="2:16" x14ac:dyDescent="0.3">
      <c r="B35" s="11">
        <v>7</v>
      </c>
      <c r="C35" s="19">
        <v>46013</v>
      </c>
      <c r="D35" s="12">
        <v>0.10292572607255659</v>
      </c>
      <c r="E35" s="21">
        <f t="shared" si="4"/>
        <v>61755.435643533958</v>
      </c>
      <c r="F35" s="22">
        <v>213328.86917756411</v>
      </c>
      <c r="H35" s="11">
        <v>7</v>
      </c>
      <c r="I35" s="19">
        <v>45975</v>
      </c>
      <c r="J35" s="12">
        <v>9.3674733349830994E-2</v>
      </c>
      <c r="K35" s="21">
        <f t="shared" si="5"/>
        <v>9367.4733349830985</v>
      </c>
      <c r="L35" s="22">
        <f t="shared" si="6"/>
        <v>25879.880277102362</v>
      </c>
      <c r="N35" s="52">
        <v>4922163.5615000008</v>
      </c>
      <c r="O35" s="53">
        <v>0.05</v>
      </c>
      <c r="P35" t="s">
        <v>1543</v>
      </c>
    </row>
    <row r="36" spans="2:16" x14ac:dyDescent="0.3">
      <c r="B36" s="11">
        <v>8</v>
      </c>
      <c r="C36" s="19">
        <v>46014</v>
      </c>
      <c r="D36" s="12">
        <v>5.8525418554827541E-2</v>
      </c>
      <c r="E36" s="21">
        <f t="shared" si="4"/>
        <v>35115.251132896527</v>
      </c>
      <c r="F36" s="22">
        <v>242591.57845497789</v>
      </c>
      <c r="H36" s="11">
        <v>8</v>
      </c>
      <c r="I36" s="19">
        <v>45978</v>
      </c>
      <c r="J36" s="12">
        <v>4.6289658827254811E-2</v>
      </c>
      <c r="K36" s="21">
        <f t="shared" si="5"/>
        <v>4628.9658827254807</v>
      </c>
      <c r="L36" s="22">
        <f t="shared" si="6"/>
        <v>30508.846159827845</v>
      </c>
      <c r="N36" s="52">
        <f>SUM(N32:N35)</f>
        <v>27051211.884</v>
      </c>
      <c r="O36" t="s">
        <v>1535</v>
      </c>
    </row>
    <row r="37" spans="2:16" x14ac:dyDescent="0.3">
      <c r="B37" s="11">
        <v>9</v>
      </c>
      <c r="C37" s="19">
        <v>46015</v>
      </c>
      <c r="D37" s="12">
        <v>7.4682217784394947E-2</v>
      </c>
      <c r="E37" s="21">
        <f t="shared" si="4"/>
        <v>44809.330670636969</v>
      </c>
      <c r="F37" s="22">
        <v>279932.68734717538</v>
      </c>
      <c r="H37" s="11">
        <v>9</v>
      </c>
      <c r="I37" s="19">
        <v>45979</v>
      </c>
      <c r="J37" s="12">
        <v>5.1878584585898897E-2</v>
      </c>
      <c r="K37" s="21">
        <f t="shared" si="5"/>
        <v>5187.8584585898898</v>
      </c>
      <c r="L37" s="22">
        <f t="shared" si="6"/>
        <v>35696.704618417731</v>
      </c>
    </row>
    <row r="38" spans="2:16" x14ac:dyDescent="0.3">
      <c r="B38" s="11">
        <v>10</v>
      </c>
      <c r="C38" s="19">
        <v>46016</v>
      </c>
      <c r="D38" s="12">
        <v>6.5377276013690269E-2</v>
      </c>
      <c r="E38" s="21">
        <f t="shared" si="4"/>
        <v>39226.365608214161</v>
      </c>
      <c r="F38" s="22">
        <v>312621.32535402052</v>
      </c>
      <c r="H38" s="11">
        <v>10</v>
      </c>
      <c r="I38" s="19">
        <v>45980</v>
      </c>
      <c r="J38" s="12">
        <v>6.4880972169294282E-2</v>
      </c>
      <c r="K38" s="21">
        <f t="shared" si="5"/>
        <v>6488.0972169294282</v>
      </c>
      <c r="L38" s="22">
        <f t="shared" si="6"/>
        <v>42184.801835347156</v>
      </c>
    </row>
    <row r="39" spans="2:16" x14ac:dyDescent="0.3">
      <c r="B39" s="11">
        <v>11</v>
      </c>
      <c r="C39" s="19">
        <v>46017</v>
      </c>
      <c r="D39" s="12">
        <v>2.9339427812831338E-2</v>
      </c>
      <c r="E39" s="21">
        <f t="shared" si="4"/>
        <v>17603.656687698804</v>
      </c>
      <c r="F39" s="22">
        <v>327291.0392604362</v>
      </c>
      <c r="H39" s="11">
        <v>11</v>
      </c>
      <c r="I39" s="19">
        <v>45981</v>
      </c>
      <c r="J39" s="12">
        <v>6.4764377205922055E-2</v>
      </c>
      <c r="K39" s="21">
        <f t="shared" si="5"/>
        <v>6476.4377205922056</v>
      </c>
      <c r="L39" s="22">
        <f t="shared" si="6"/>
        <v>48661.239555939363</v>
      </c>
    </row>
    <row r="40" spans="2:16" x14ac:dyDescent="0.3">
      <c r="B40" s="11">
        <v>12</v>
      </c>
      <c r="C40" s="19">
        <v>46020</v>
      </c>
      <c r="D40" s="12">
        <v>2.9439834750176211E-2</v>
      </c>
      <c r="E40" s="21">
        <f t="shared" si="4"/>
        <v>17663.900850105725</v>
      </c>
      <c r="F40" s="22">
        <v>342010.95663552429</v>
      </c>
      <c r="H40" s="11">
        <v>12</v>
      </c>
      <c r="I40" s="19">
        <v>45982</v>
      </c>
      <c r="J40" s="12">
        <v>4.990770071038407E-2</v>
      </c>
      <c r="K40" s="21">
        <f t="shared" si="5"/>
        <v>4990.770071038407</v>
      </c>
      <c r="L40" s="22">
        <f t="shared" si="6"/>
        <v>53652.009626977771</v>
      </c>
    </row>
    <row r="41" spans="2:16" x14ac:dyDescent="0.3">
      <c r="B41" s="11">
        <v>13</v>
      </c>
      <c r="C41" s="19">
        <v>46021</v>
      </c>
      <c r="D41" s="12">
        <v>2.5392635810457077E-2</v>
      </c>
      <c r="E41" s="21">
        <f t="shared" si="4"/>
        <v>15235.581486274246</v>
      </c>
      <c r="F41" s="22">
        <v>354707.27454075281</v>
      </c>
      <c r="H41" s="11">
        <v>13</v>
      </c>
      <c r="I41" s="19">
        <v>45985</v>
      </c>
      <c r="J41" s="12">
        <v>4.8322922551702445E-2</v>
      </c>
      <c r="K41" s="21">
        <f t="shared" si="5"/>
        <v>4832.2922551702441</v>
      </c>
      <c r="L41" s="22">
        <f t="shared" si="6"/>
        <v>58484.301882148015</v>
      </c>
    </row>
    <row r="42" spans="2:16" x14ac:dyDescent="0.3">
      <c r="B42" s="11">
        <v>14</v>
      </c>
      <c r="C42" s="19">
        <v>46022</v>
      </c>
      <c r="D42" s="12">
        <v>2.6520639626344898E-2</v>
      </c>
      <c r="E42" s="21">
        <f t="shared" si="4"/>
        <v>15912.383775806939</v>
      </c>
      <c r="F42" s="22">
        <v>367967.59435392526</v>
      </c>
      <c r="H42" s="11">
        <v>14</v>
      </c>
      <c r="I42" s="19">
        <v>45986</v>
      </c>
      <c r="J42" s="12">
        <v>3.3683447154735348E-2</v>
      </c>
      <c r="K42" s="21">
        <f t="shared" si="5"/>
        <v>3368.344715473535</v>
      </c>
      <c r="L42" s="22">
        <f t="shared" si="6"/>
        <v>61852.646597621548</v>
      </c>
    </row>
    <row r="43" spans="2:16" x14ac:dyDescent="0.3">
      <c r="B43" s="11">
        <v>15</v>
      </c>
      <c r="C43" s="19">
        <v>46023</v>
      </c>
      <c r="D43" s="12">
        <v>9.3399200108707711E-2</v>
      </c>
      <c r="E43" s="21">
        <f t="shared" si="4"/>
        <v>56039.520065224628</v>
      </c>
      <c r="F43" s="22">
        <v>414667.19440827915</v>
      </c>
      <c r="H43" s="11">
        <v>15</v>
      </c>
      <c r="I43" s="19">
        <v>45987</v>
      </c>
      <c r="J43" s="12">
        <v>6.366969601735431E-2</v>
      </c>
      <c r="K43" s="21">
        <f t="shared" si="5"/>
        <v>6366.9696017354308</v>
      </c>
      <c r="L43" s="22">
        <f t="shared" si="6"/>
        <v>68219.616199356984</v>
      </c>
    </row>
    <row r="44" spans="2:16" x14ac:dyDescent="0.3">
      <c r="B44" s="11">
        <v>16</v>
      </c>
      <c r="C44" s="19">
        <v>46024</v>
      </c>
      <c r="D44" s="12">
        <v>4.3130655980776637E-2</v>
      </c>
      <c r="E44" s="21">
        <f t="shared" si="4"/>
        <v>25878.393588465984</v>
      </c>
      <c r="F44" s="22">
        <v>436232.52239866747</v>
      </c>
      <c r="H44" s="11">
        <v>16</v>
      </c>
      <c r="I44" s="19">
        <v>45988</v>
      </c>
      <c r="J44" s="12">
        <v>2.1799351426278531E-2</v>
      </c>
      <c r="K44" s="21">
        <f t="shared" si="5"/>
        <v>2179.9351426278531</v>
      </c>
      <c r="L44" s="22">
        <f t="shared" si="6"/>
        <v>70399.551341984843</v>
      </c>
    </row>
    <row r="45" spans="2:16" x14ac:dyDescent="0.3">
      <c r="B45" s="11">
        <v>17</v>
      </c>
      <c r="C45" s="19">
        <v>45662</v>
      </c>
      <c r="D45" s="12">
        <v>4.0622530325030611E-2</v>
      </c>
      <c r="E45" s="21">
        <f t="shared" si="4"/>
        <v>24373.518195018365</v>
      </c>
      <c r="F45" s="22">
        <v>456543.78756118275</v>
      </c>
      <c r="H45" s="11">
        <v>17</v>
      </c>
      <c r="I45" s="19">
        <v>45989</v>
      </c>
      <c r="J45" s="12">
        <v>3.4411460442877982E-2</v>
      </c>
      <c r="K45" s="21">
        <f t="shared" si="5"/>
        <v>3441.1460442877983</v>
      </c>
      <c r="L45" s="22">
        <f t="shared" si="6"/>
        <v>73840.697386272645</v>
      </c>
    </row>
    <row r="46" spans="2:16" x14ac:dyDescent="0.3">
      <c r="B46" s="11">
        <v>18</v>
      </c>
      <c r="C46" s="19">
        <v>45663</v>
      </c>
      <c r="D46" s="12">
        <v>2.1792181554816301E-2</v>
      </c>
      <c r="E46" s="21">
        <f t="shared" si="4"/>
        <v>13075.30893288978</v>
      </c>
      <c r="F46" s="22">
        <v>467439.8783385909</v>
      </c>
      <c r="H46" s="11">
        <v>18</v>
      </c>
      <c r="I46" s="19">
        <v>45992</v>
      </c>
      <c r="J46" s="12">
        <v>2.9582078537656251E-2</v>
      </c>
      <c r="K46" s="21">
        <f t="shared" si="5"/>
        <v>2958.2078537656253</v>
      </c>
      <c r="L46" s="22">
        <f t="shared" si="6"/>
        <v>76798.905240038264</v>
      </c>
    </row>
    <row r="47" spans="2:16" x14ac:dyDescent="0.3">
      <c r="B47" s="11">
        <v>19</v>
      </c>
      <c r="C47" s="19">
        <v>45664</v>
      </c>
      <c r="D47" s="12">
        <v>1.0709154254573012E-2</v>
      </c>
      <c r="E47" s="21">
        <f t="shared" si="4"/>
        <v>6425.4925527438072</v>
      </c>
      <c r="F47" s="22">
        <v>472794.45546587743</v>
      </c>
      <c r="H47" s="11">
        <v>19</v>
      </c>
      <c r="I47" s="19">
        <v>45993</v>
      </c>
      <c r="J47" s="12">
        <v>3.1435962938833065E-2</v>
      </c>
      <c r="K47" s="21">
        <f t="shared" si="5"/>
        <v>3143.5962938833063</v>
      </c>
      <c r="L47" s="22">
        <f t="shared" si="6"/>
        <v>79942.501533921575</v>
      </c>
    </row>
    <row r="48" spans="2:16" x14ac:dyDescent="0.3">
      <c r="B48" s="11">
        <v>20</v>
      </c>
      <c r="C48" s="19">
        <v>45665</v>
      </c>
      <c r="D48" s="12">
        <v>4.7814779661294618E-2</v>
      </c>
      <c r="E48" s="21">
        <f t="shared" si="4"/>
        <v>28688.867796776773</v>
      </c>
      <c r="F48" s="22">
        <v>496701.84529652476</v>
      </c>
      <c r="H48" s="11">
        <v>20</v>
      </c>
      <c r="I48" s="19">
        <v>45994</v>
      </c>
      <c r="J48" s="12">
        <v>0.11440318457431925</v>
      </c>
      <c r="K48" s="21">
        <f t="shared" si="5"/>
        <v>11440.318457431926</v>
      </c>
      <c r="L48" s="22">
        <f t="shared" si="6"/>
        <v>91382.819991353506</v>
      </c>
    </row>
    <row r="49" spans="2:12" x14ac:dyDescent="0.3">
      <c r="B49" s="11">
        <v>21</v>
      </c>
      <c r="C49" s="19">
        <v>45666</v>
      </c>
      <c r="D49" s="12">
        <v>2.7141101695720972E-4</v>
      </c>
      <c r="E49" s="21">
        <f t="shared" si="4"/>
        <v>162.84661017432583</v>
      </c>
      <c r="F49" s="22">
        <v>496837.55080500338</v>
      </c>
      <c r="H49" s="11">
        <v>21</v>
      </c>
      <c r="I49" s="19">
        <v>45995</v>
      </c>
      <c r="J49" s="12">
        <v>4.4905315852115199E-2</v>
      </c>
      <c r="K49" s="21">
        <f t="shared" si="5"/>
        <v>4490.53158521152</v>
      </c>
      <c r="L49" s="22">
        <f t="shared" si="6"/>
        <v>95873.351576565023</v>
      </c>
    </row>
    <row r="50" spans="2:12" x14ac:dyDescent="0.3">
      <c r="B50" s="13">
        <v>22</v>
      </c>
      <c r="C50" s="43">
        <v>45669</v>
      </c>
      <c r="D50" s="45">
        <v>6.3248983899931522E-3</v>
      </c>
      <c r="E50" s="21">
        <f t="shared" si="4"/>
        <v>3794.9390339958914</v>
      </c>
      <c r="F50" s="27">
        <v>499999.99999999994</v>
      </c>
      <c r="H50" s="13">
        <v>22</v>
      </c>
      <c r="I50" s="43">
        <v>45996</v>
      </c>
      <c r="J50" s="45">
        <v>4.1266484234350115E-2</v>
      </c>
      <c r="K50" s="21">
        <f t="shared" si="5"/>
        <v>4126.6484234350119</v>
      </c>
      <c r="L50" s="27">
        <f t="shared" si="6"/>
        <v>100000.00000000003</v>
      </c>
    </row>
    <row r="51" spans="2:12" x14ac:dyDescent="0.3">
      <c r="B51" s="36"/>
      <c r="C51" s="36"/>
      <c r="D51" s="48"/>
      <c r="E51" s="51">
        <v>600000</v>
      </c>
      <c r="F51" s="21"/>
      <c r="H51" s="36"/>
      <c r="I51" s="36"/>
      <c r="J51" s="48"/>
      <c r="K51" s="51">
        <v>100000</v>
      </c>
      <c r="L51" s="21"/>
    </row>
    <row r="52" spans="2:12" x14ac:dyDescent="0.3">
      <c r="G52" s="47"/>
    </row>
  </sheetData>
  <mergeCells count="4">
    <mergeCell ref="B1:F1"/>
    <mergeCell ref="H1:L1"/>
    <mergeCell ref="B27:F27"/>
    <mergeCell ref="H27:L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5CDF-8C61-4ECA-9F56-2DC53CEAFA05}">
  <dimension ref="A1:U28"/>
  <sheetViews>
    <sheetView workbookViewId="0">
      <selection activeCell="A7" activeCellId="1" sqref="A1:B1 A3:G10"/>
    </sheetView>
  </sheetViews>
  <sheetFormatPr baseColWidth="10" defaultRowHeight="14.4" x14ac:dyDescent="0.3"/>
  <cols>
    <col min="1" max="1" width="13" style="5" bestFit="1" customWidth="1"/>
    <col min="2" max="2" width="9.5546875" style="5" bestFit="1" customWidth="1"/>
    <col min="3" max="3" width="11.44140625" style="57" bestFit="1" customWidth="1"/>
    <col min="4" max="4" width="4" style="5" bestFit="1" customWidth="1"/>
    <col min="5" max="5" width="11.44140625" style="57" bestFit="1" customWidth="1"/>
    <col min="6" max="6" width="4" style="5" bestFit="1" customWidth="1"/>
    <col min="7" max="7" width="9" style="57" bestFit="1" customWidth="1"/>
    <col min="8" max="8" width="7.109375" style="5" bestFit="1" customWidth="1"/>
    <col min="9" max="9" width="11.109375" style="57" bestFit="1" customWidth="1"/>
  </cols>
  <sheetData>
    <row r="1" spans="1:21" x14ac:dyDescent="0.3">
      <c r="A1" s="2" t="s">
        <v>0</v>
      </c>
      <c r="B1" t="s">
        <v>2314</v>
      </c>
    </row>
    <row r="3" spans="1:21" x14ac:dyDescent="0.3">
      <c r="B3" s="6" t="s">
        <v>1487</v>
      </c>
      <c r="E3" s="5"/>
      <c r="G3" s="5"/>
      <c r="I3" s="5"/>
    </row>
    <row r="4" spans="1:21" x14ac:dyDescent="0.3">
      <c r="B4" s="57" t="s">
        <v>2308</v>
      </c>
      <c r="D4" s="5" t="s">
        <v>2309</v>
      </c>
      <c r="E4" s="5"/>
      <c r="F4" s="5" t="s">
        <v>2310</v>
      </c>
      <c r="G4" s="5"/>
      <c r="H4" s="5" t="s">
        <v>2306</v>
      </c>
      <c r="I4" s="5" t="s">
        <v>1534</v>
      </c>
      <c r="K4" s="8" t="s">
        <v>1498</v>
      </c>
      <c r="L4" s="9" t="s">
        <v>1499</v>
      </c>
      <c r="M4" s="9" t="s">
        <v>703</v>
      </c>
      <c r="N4" s="9" t="s">
        <v>2312</v>
      </c>
      <c r="O4" s="10" t="s">
        <v>1500</v>
      </c>
    </row>
    <row r="5" spans="1:21" x14ac:dyDescent="0.3">
      <c r="A5" s="6" t="s">
        <v>2313</v>
      </c>
      <c r="B5" s="5" t="s">
        <v>2307</v>
      </c>
      <c r="C5" s="57" t="s">
        <v>1535</v>
      </c>
      <c r="D5" s="5" t="s">
        <v>2307</v>
      </c>
      <c r="E5" s="5" t="s">
        <v>1535</v>
      </c>
      <c r="F5" s="5" t="s">
        <v>2307</v>
      </c>
      <c r="G5" s="5" t="s">
        <v>1535</v>
      </c>
      <c r="I5" s="5"/>
      <c r="K5" s="11">
        <v>1</v>
      </c>
      <c r="L5" s="12">
        <f>C6/$C$28</f>
        <v>7.9723065825797038E-2</v>
      </c>
      <c r="M5" s="12">
        <f>E6/$E$28</f>
        <v>2.7593611640580077E-3</v>
      </c>
      <c r="N5" s="12">
        <f>G6/$G$28</f>
        <v>0</v>
      </c>
      <c r="O5" s="59">
        <f>I6/$I$28</f>
        <v>1.8265715178009172E-2</v>
      </c>
      <c r="Q5" s="16" t="s">
        <v>1486</v>
      </c>
      <c r="R5" s="17" t="s">
        <v>1501</v>
      </c>
      <c r="S5" s="17" t="s">
        <v>1502</v>
      </c>
      <c r="T5" s="17" t="s">
        <v>1503</v>
      </c>
      <c r="U5" s="18" t="s">
        <v>1504</v>
      </c>
    </row>
    <row r="6" spans="1:21" x14ac:dyDescent="0.3">
      <c r="A6" s="5">
        <v>1</v>
      </c>
      <c r="B6" s="7">
        <v>8</v>
      </c>
      <c r="C6" s="57">
        <v>1182.6000000000001</v>
      </c>
      <c r="D6" s="7">
        <v>1</v>
      </c>
      <c r="E6" s="57">
        <v>66.099999999999994</v>
      </c>
      <c r="F6" s="7"/>
      <c r="G6" s="7"/>
      <c r="H6" s="7">
        <v>9</v>
      </c>
      <c r="I6" s="7">
        <v>1248.7</v>
      </c>
      <c r="K6" s="11">
        <v>2</v>
      </c>
      <c r="L6" s="12">
        <f>C7/$C$28</f>
        <v>2.446768708056235E-2</v>
      </c>
      <c r="M6" s="12">
        <f>E7/$E$28</f>
        <v>0</v>
      </c>
      <c r="N6" s="12">
        <f>G7/$G$28</f>
        <v>0</v>
      </c>
      <c r="O6" s="59">
        <f>I7/$I$28</f>
        <v>5.3091545798497879E-3</v>
      </c>
      <c r="Q6" s="11">
        <v>1</v>
      </c>
      <c r="R6" s="19">
        <v>46003</v>
      </c>
      <c r="S6" s="20">
        <v>1.8265715178009172E-2</v>
      </c>
      <c r="T6" s="21">
        <f>S6*$T$28</f>
        <v>913.28575890045863</v>
      </c>
      <c r="U6" s="22">
        <f>+T6</f>
        <v>913.28575890045863</v>
      </c>
    </row>
    <row r="7" spans="1:21" x14ac:dyDescent="0.3">
      <c r="A7" s="5">
        <v>2</v>
      </c>
      <c r="B7" s="7">
        <v>4</v>
      </c>
      <c r="C7" s="57">
        <v>362.95000000000005</v>
      </c>
      <c r="D7" s="7"/>
      <c r="F7" s="7"/>
      <c r="G7" s="7"/>
      <c r="H7" s="7">
        <v>4</v>
      </c>
      <c r="I7" s="7">
        <v>362.95000000000005</v>
      </c>
      <c r="K7" s="11">
        <v>3</v>
      </c>
      <c r="L7" s="12">
        <f>C8/$C$28</f>
        <v>8.9120491308729635E-3</v>
      </c>
      <c r="M7" s="12">
        <f>E8/$E$28</f>
        <v>0</v>
      </c>
      <c r="N7" s="12">
        <f>G8/$G$28</f>
        <v>0</v>
      </c>
      <c r="O7" s="59">
        <f>I8/$I$28</f>
        <v>1.933793182135671E-3</v>
      </c>
      <c r="Q7" s="11">
        <v>2</v>
      </c>
      <c r="R7" s="19">
        <v>46006</v>
      </c>
      <c r="S7" s="20">
        <v>5.3091545798497879E-3</v>
      </c>
      <c r="T7" s="21">
        <f>S7*$T$28</f>
        <v>265.45772899248942</v>
      </c>
      <c r="U7" s="22">
        <f>T7+U6</f>
        <v>1178.743487892948</v>
      </c>
    </row>
    <row r="8" spans="1:21" x14ac:dyDescent="0.3">
      <c r="A8" s="5">
        <v>3</v>
      </c>
      <c r="B8" s="7">
        <v>2</v>
      </c>
      <c r="C8" s="57">
        <v>132.19999999999999</v>
      </c>
      <c r="D8" s="7"/>
      <c r="F8" s="7"/>
      <c r="G8" s="7"/>
      <c r="H8" s="7">
        <v>2</v>
      </c>
      <c r="I8" s="7">
        <v>132.19999999999999</v>
      </c>
      <c r="K8" s="11">
        <v>4</v>
      </c>
      <c r="L8" s="12">
        <f>C9/$C$28</f>
        <v>5.9890048773582012E-2</v>
      </c>
      <c r="M8" s="12">
        <f>E9/$E$28</f>
        <v>5.4002493026455677E-2</v>
      </c>
      <c r="N8" s="12">
        <f>G9/$G$28</f>
        <v>7.8494629473213007E-2</v>
      </c>
      <c r="O8" s="59">
        <f>I9/$I$28</f>
        <v>6.5875498533198851E-2</v>
      </c>
      <c r="Q8" s="11">
        <v>3</v>
      </c>
      <c r="R8" s="19">
        <v>46007</v>
      </c>
      <c r="S8" s="20">
        <v>1.933793182135671E-3</v>
      </c>
      <c r="T8" s="21">
        <f t="shared" ref="T8:T27" si="0">S8*$T$28</f>
        <v>96.689659106783552</v>
      </c>
      <c r="U8" s="22">
        <f t="shared" ref="U8:U27" si="1">T8+U7</f>
        <v>1275.4331469997314</v>
      </c>
    </row>
    <row r="9" spans="1:21" x14ac:dyDescent="0.3">
      <c r="A9" s="5">
        <v>4</v>
      </c>
      <c r="B9" s="7">
        <v>4</v>
      </c>
      <c r="C9" s="57">
        <v>888.40000000000009</v>
      </c>
      <c r="D9" s="7">
        <v>2</v>
      </c>
      <c r="E9" s="57">
        <v>1293.6199999999999</v>
      </c>
      <c r="F9" s="7">
        <v>8</v>
      </c>
      <c r="G9" s="7">
        <v>2321.4299999999998</v>
      </c>
      <c r="H9" s="7">
        <v>14</v>
      </c>
      <c r="I9" s="7">
        <v>4503.45</v>
      </c>
      <c r="K9" s="11">
        <v>5</v>
      </c>
      <c r="L9" s="12">
        <f>C10/$C$28</f>
        <v>1.0793556628926402E-2</v>
      </c>
      <c r="M9" s="12">
        <f>E10/$E$28</f>
        <v>0.17848307772715483</v>
      </c>
      <c r="N9" s="12">
        <f>G10/$G$28</f>
        <v>5.8153036513360581E-2</v>
      </c>
      <c r="O9" s="59">
        <f>I10/$I$28</f>
        <v>9.0041038250926533E-2</v>
      </c>
      <c r="Q9" s="11">
        <v>4</v>
      </c>
      <c r="R9" s="19">
        <v>46008</v>
      </c>
      <c r="S9" s="20">
        <v>6.5875498533198851E-2</v>
      </c>
      <c r="T9" s="21">
        <f t="shared" si="0"/>
        <v>3293.7749266599426</v>
      </c>
      <c r="U9" s="22">
        <f t="shared" si="1"/>
        <v>4569.2080736596745</v>
      </c>
    </row>
    <row r="10" spans="1:21" x14ac:dyDescent="0.3">
      <c r="A10" s="5">
        <v>5</v>
      </c>
      <c r="B10" s="7">
        <v>2</v>
      </c>
      <c r="C10" s="57">
        <v>160.11000000000001</v>
      </c>
      <c r="D10" s="7">
        <v>9</v>
      </c>
      <c r="E10" s="57">
        <v>4275.53</v>
      </c>
      <c r="F10" s="7">
        <v>15</v>
      </c>
      <c r="G10" s="7">
        <v>1719.84</v>
      </c>
      <c r="H10" s="7">
        <v>26</v>
      </c>
      <c r="I10" s="7">
        <v>6155.4800000000032</v>
      </c>
      <c r="K10" s="11">
        <v>6</v>
      </c>
      <c r="L10" s="12">
        <f>C11/$C$28</f>
        <v>7.9636776696541997E-2</v>
      </c>
      <c r="M10" s="12">
        <f>E11/$E$28</f>
        <v>8.5565243237060492E-3</v>
      </c>
      <c r="N10" s="12">
        <f>G11/$G$28</f>
        <v>5.2407184867442731E-2</v>
      </c>
      <c r="O10" s="60">
        <f>I11/$I$28</f>
        <v>4.2950102431064729E-2</v>
      </c>
      <c r="Q10" s="11">
        <v>5</v>
      </c>
      <c r="R10" s="19">
        <v>46009</v>
      </c>
      <c r="S10" s="20">
        <v>9.0041038250926533E-2</v>
      </c>
      <c r="T10" s="21">
        <f t="shared" si="0"/>
        <v>4502.051912546327</v>
      </c>
      <c r="U10" s="22">
        <f t="shared" si="1"/>
        <v>9071.2599862060015</v>
      </c>
    </row>
    <row r="11" spans="1:21" x14ac:dyDescent="0.3">
      <c r="A11" s="5">
        <v>6</v>
      </c>
      <c r="B11" s="7">
        <v>4</v>
      </c>
      <c r="C11" s="57">
        <v>1181.3200000000002</v>
      </c>
      <c r="D11" s="7">
        <v>3</v>
      </c>
      <c r="E11" s="57">
        <v>204.97</v>
      </c>
      <c r="F11" s="7">
        <v>10</v>
      </c>
      <c r="G11" s="7">
        <v>1549.91</v>
      </c>
      <c r="H11" s="7">
        <v>17</v>
      </c>
      <c r="I11" s="7">
        <v>2936.2</v>
      </c>
      <c r="K11" s="11">
        <v>7</v>
      </c>
      <c r="L11" s="12">
        <f>C12/$C$28</f>
        <v>3.7177806166302049E-2</v>
      </c>
      <c r="M11" s="12">
        <f>E12/$E$28</f>
        <v>6.2519359360663163E-2</v>
      </c>
      <c r="N11" s="12">
        <f>G12/$G$28</f>
        <v>0.12268321432266718</v>
      </c>
      <c r="O11" s="60">
        <f>I12/$I$28</f>
        <v>8.3047933057404558E-2</v>
      </c>
      <c r="Q11" s="11">
        <v>6</v>
      </c>
      <c r="R11" s="19">
        <v>46010</v>
      </c>
      <c r="S11" s="12">
        <v>4.2950102431064729E-2</v>
      </c>
      <c r="T11" s="21">
        <f t="shared" si="0"/>
        <v>2147.5051215532367</v>
      </c>
      <c r="U11" s="22">
        <f t="shared" si="1"/>
        <v>11218.765107759238</v>
      </c>
    </row>
    <row r="12" spans="1:21" x14ac:dyDescent="0.3">
      <c r="A12" s="5">
        <v>7</v>
      </c>
      <c r="B12" s="7">
        <v>4</v>
      </c>
      <c r="C12" s="57">
        <v>551.49</v>
      </c>
      <c r="D12" s="7">
        <v>5</v>
      </c>
      <c r="E12" s="57">
        <v>1497.6399999999999</v>
      </c>
      <c r="F12" s="7">
        <v>12</v>
      </c>
      <c r="G12" s="7">
        <v>3628.2799999999997</v>
      </c>
      <c r="H12" s="7">
        <v>21</v>
      </c>
      <c r="I12" s="7">
        <v>5677.4100000000008</v>
      </c>
      <c r="K12" s="11">
        <v>8</v>
      </c>
      <c r="L12" s="12">
        <f>C13/$C$28</f>
        <v>8.163760588114341E-3</v>
      </c>
      <c r="M12" s="12">
        <f>E13/$E$28</f>
        <v>0.13340446724291824</v>
      </c>
      <c r="N12" s="12">
        <f>G13/$G$28</f>
        <v>1.2317756111877923E-2</v>
      </c>
      <c r="O12" s="60">
        <f>I13/$I$28</f>
        <v>5.3845900672951245E-2</v>
      </c>
      <c r="Q12" s="11">
        <v>7</v>
      </c>
      <c r="R12" s="19">
        <v>46013</v>
      </c>
      <c r="S12" s="12">
        <v>8.3047933057404558E-2</v>
      </c>
      <c r="T12" s="21">
        <f t="shared" si="0"/>
        <v>4152.3966528702276</v>
      </c>
      <c r="U12" s="22">
        <f t="shared" si="1"/>
        <v>15371.161760629466</v>
      </c>
    </row>
    <row r="13" spans="1:21" x14ac:dyDescent="0.3">
      <c r="A13" s="5">
        <v>8</v>
      </c>
      <c r="B13" s="7">
        <v>2</v>
      </c>
      <c r="C13" s="57">
        <v>121.1</v>
      </c>
      <c r="D13" s="7">
        <v>12</v>
      </c>
      <c r="E13" s="57">
        <v>3195.6800000000003</v>
      </c>
      <c r="F13" s="7">
        <v>4</v>
      </c>
      <c r="G13" s="7">
        <v>364.28999999999996</v>
      </c>
      <c r="H13" s="7">
        <v>18</v>
      </c>
      <c r="I13" s="7">
        <v>3681.0699999999997</v>
      </c>
      <c r="K13" s="11">
        <v>9</v>
      </c>
      <c r="L13" s="12">
        <f>C14/$C$28</f>
        <v>4.703229438075749E-2</v>
      </c>
      <c r="M13" s="12">
        <f>E14/$E$28</f>
        <v>3.3231307937191784E-2</v>
      </c>
      <c r="N13" s="12">
        <f>G14/$G$28</f>
        <v>3.2832133759017113E-2</v>
      </c>
      <c r="O13" s="60">
        <f>I14/$I$28</f>
        <v>3.6053248063098398E-2</v>
      </c>
      <c r="Q13" s="11">
        <v>8</v>
      </c>
      <c r="R13" s="19">
        <v>46014</v>
      </c>
      <c r="S13" s="12">
        <v>5.3845900672951245E-2</v>
      </c>
      <c r="T13" s="21">
        <f t="shared" si="0"/>
        <v>2692.2950336475624</v>
      </c>
      <c r="U13" s="22">
        <f t="shared" si="1"/>
        <v>18063.45679427703</v>
      </c>
    </row>
    <row r="14" spans="1:21" x14ac:dyDescent="0.3">
      <c r="A14" s="5">
        <v>9</v>
      </c>
      <c r="B14" s="7">
        <v>5</v>
      </c>
      <c r="C14" s="57">
        <v>697.67</v>
      </c>
      <c r="D14" s="7">
        <v>10</v>
      </c>
      <c r="E14" s="57">
        <v>796.05</v>
      </c>
      <c r="F14" s="7">
        <v>8</v>
      </c>
      <c r="G14" s="7">
        <v>970.99</v>
      </c>
      <c r="H14" s="7">
        <v>23</v>
      </c>
      <c r="I14" s="7">
        <v>2464.7099999999991</v>
      </c>
      <c r="K14" s="11">
        <v>10</v>
      </c>
      <c r="L14" s="12">
        <f>C15/$C$28</f>
        <v>0.32096657307442078</v>
      </c>
      <c r="M14" s="12">
        <f>E15/$E$28</f>
        <v>7.2039781555444854E-2</v>
      </c>
      <c r="N14" s="12">
        <f>G15/$G$28</f>
        <v>1.4282632467696709E-2</v>
      </c>
      <c r="O14" s="60">
        <f>I15/$I$28</f>
        <v>0.10106731633535955</v>
      </c>
      <c r="Q14" s="11">
        <v>9</v>
      </c>
      <c r="R14" s="19">
        <v>46015</v>
      </c>
      <c r="S14" s="12">
        <v>3.6053248063098398E-2</v>
      </c>
      <c r="T14" s="21">
        <f t="shared" si="0"/>
        <v>1802.66240315492</v>
      </c>
      <c r="U14" s="22">
        <f t="shared" si="1"/>
        <v>19866.119197431952</v>
      </c>
    </row>
    <row r="15" spans="1:21" x14ac:dyDescent="0.3">
      <c r="A15" s="5">
        <v>10</v>
      </c>
      <c r="B15" s="7">
        <v>10</v>
      </c>
      <c r="C15" s="57">
        <v>4761.17</v>
      </c>
      <c r="D15" s="7">
        <v>10</v>
      </c>
      <c r="E15" s="57">
        <v>1725.7</v>
      </c>
      <c r="F15" s="7">
        <v>6</v>
      </c>
      <c r="G15" s="7">
        <v>422.4</v>
      </c>
      <c r="H15" s="7">
        <v>26</v>
      </c>
      <c r="I15" s="7">
        <v>6909.2700000000023</v>
      </c>
      <c r="K15" s="11">
        <v>11</v>
      </c>
      <c r="L15" s="12">
        <f>C16/$C$28</f>
        <v>7.9925980106310843E-2</v>
      </c>
      <c r="M15" s="12">
        <f>E16/$E$28</f>
        <v>6.7026176777784233E-2</v>
      </c>
      <c r="N15" s="12">
        <f>G16/$G$28</f>
        <v>6.0676166330452273E-2</v>
      </c>
      <c r="O15" s="60">
        <f>I16/$I$28</f>
        <v>6.7078195019092915E-2</v>
      </c>
      <c r="Q15" s="11">
        <v>10</v>
      </c>
      <c r="R15" s="19">
        <v>46016</v>
      </c>
      <c r="S15" s="12">
        <v>0.10106731633535955</v>
      </c>
      <c r="T15" s="21">
        <f t="shared" si="0"/>
        <v>5053.3658167679778</v>
      </c>
      <c r="U15" s="22">
        <f t="shared" si="1"/>
        <v>24919.48501419993</v>
      </c>
    </row>
    <row r="16" spans="1:21" x14ac:dyDescent="0.3">
      <c r="A16" s="5">
        <v>11</v>
      </c>
      <c r="B16" s="7">
        <v>6</v>
      </c>
      <c r="C16" s="57">
        <v>1185.6099999999999</v>
      </c>
      <c r="D16" s="7">
        <v>3</v>
      </c>
      <c r="E16" s="57">
        <v>1605.6</v>
      </c>
      <c r="F16" s="7">
        <v>8</v>
      </c>
      <c r="G16" s="7">
        <v>1794.46</v>
      </c>
      <c r="H16" s="7">
        <v>17</v>
      </c>
      <c r="I16" s="7">
        <v>4585.67</v>
      </c>
      <c r="K16" s="11">
        <v>12</v>
      </c>
      <c r="L16" s="12">
        <f>C17/$C$28</f>
        <v>1.1386120258732552E-2</v>
      </c>
      <c r="M16" s="12">
        <f>E17/$E$28</f>
        <v>9.3632095753589537E-2</v>
      </c>
      <c r="N16" s="12">
        <f>G17/$G$28</f>
        <v>0.39356328010933816</v>
      </c>
      <c r="O16" s="60">
        <f>I17/$I$28</f>
        <v>0.20553837197140853</v>
      </c>
      <c r="Q16" s="11">
        <v>11</v>
      </c>
      <c r="R16" s="19">
        <v>46017</v>
      </c>
      <c r="S16" s="12">
        <v>6.7078195019092915E-2</v>
      </c>
      <c r="T16" s="21">
        <f t="shared" si="0"/>
        <v>3353.9097509546459</v>
      </c>
      <c r="U16" s="22">
        <f t="shared" si="1"/>
        <v>28273.394765154575</v>
      </c>
    </row>
    <row r="17" spans="1:21" x14ac:dyDescent="0.3">
      <c r="A17" s="5">
        <v>12</v>
      </c>
      <c r="B17" s="7">
        <v>2</v>
      </c>
      <c r="C17" s="57">
        <v>168.89999999999998</v>
      </c>
      <c r="D17" s="7">
        <v>8</v>
      </c>
      <c r="E17" s="57">
        <v>2242.94</v>
      </c>
      <c r="F17" s="7">
        <v>13</v>
      </c>
      <c r="G17" s="7">
        <v>11639.390000000001</v>
      </c>
      <c r="H17" s="7">
        <v>23</v>
      </c>
      <c r="I17" s="7">
        <v>14051.230000000001</v>
      </c>
      <c r="K17" s="11">
        <v>13</v>
      </c>
      <c r="L17" s="12">
        <f>C18/$C$28</f>
        <v>2.954391476251949E-2</v>
      </c>
      <c r="M17" s="12">
        <f>E18/$E$28</f>
        <v>1.0725190170495965E-2</v>
      </c>
      <c r="N17" s="12">
        <f>G18/$G$28</f>
        <v>1.1417314581066455E-2</v>
      </c>
      <c r="O17" s="60">
        <f>I18/$I$28</f>
        <v>1.5108015221673109E-2</v>
      </c>
      <c r="Q17" s="11">
        <v>12</v>
      </c>
      <c r="R17" s="19">
        <v>46020</v>
      </c>
      <c r="S17" s="12">
        <v>0.20553837197140853</v>
      </c>
      <c r="T17" s="21">
        <f t="shared" si="0"/>
        <v>10276.918598570426</v>
      </c>
      <c r="U17" s="22">
        <f t="shared" si="1"/>
        <v>38550.313363724999</v>
      </c>
    </row>
    <row r="18" spans="1:21" x14ac:dyDescent="0.3">
      <c r="A18" s="5">
        <v>13</v>
      </c>
      <c r="B18" s="7">
        <v>4</v>
      </c>
      <c r="C18" s="57">
        <v>438.25</v>
      </c>
      <c r="D18" s="7">
        <v>3</v>
      </c>
      <c r="E18" s="57">
        <v>256.91999999999996</v>
      </c>
      <c r="F18" s="7">
        <v>4</v>
      </c>
      <c r="G18" s="7">
        <v>337.65999999999997</v>
      </c>
      <c r="H18" s="7">
        <v>11</v>
      </c>
      <c r="I18" s="7">
        <v>1032.83</v>
      </c>
      <c r="K18" s="11">
        <v>14</v>
      </c>
      <c r="L18" s="12">
        <f>C19/$C$28</f>
        <v>2.4595098372978005E-2</v>
      </c>
      <c r="M18" s="12">
        <f>E19/$E$28</f>
        <v>1.6845461581427048E-2</v>
      </c>
      <c r="N18" s="12">
        <f>G19/$G$28</f>
        <v>4.497101883454533E-2</v>
      </c>
      <c r="O18" s="60">
        <f>I19/$I$28</f>
        <v>3.0694359014116539E-2</v>
      </c>
      <c r="Q18" s="11">
        <v>13</v>
      </c>
      <c r="R18" s="19">
        <v>46021</v>
      </c>
      <c r="S18" s="12">
        <v>1.5108015221673109E-2</v>
      </c>
      <c r="T18" s="21">
        <f t="shared" si="0"/>
        <v>755.40076108365542</v>
      </c>
      <c r="U18" s="22">
        <f t="shared" si="1"/>
        <v>39305.714124808655</v>
      </c>
    </row>
    <row r="19" spans="1:21" x14ac:dyDescent="0.3">
      <c r="A19" s="5">
        <v>14</v>
      </c>
      <c r="B19" s="7">
        <v>3</v>
      </c>
      <c r="C19" s="57">
        <v>364.84000000000003</v>
      </c>
      <c r="D19" s="7">
        <v>3</v>
      </c>
      <c r="E19" s="57">
        <v>403.53</v>
      </c>
      <c r="F19" s="7">
        <v>13</v>
      </c>
      <c r="G19" s="7">
        <v>1329.99</v>
      </c>
      <c r="H19" s="7">
        <v>19</v>
      </c>
      <c r="I19" s="7">
        <v>2098.3599999999997</v>
      </c>
      <c r="K19" s="11">
        <v>15</v>
      </c>
      <c r="L19" s="12">
        <f>C20/$C$28</f>
        <v>5.8550544868661847E-2</v>
      </c>
      <c r="M19" s="12">
        <f>E20/$E$28</f>
        <v>1.9443686072364574E-2</v>
      </c>
      <c r="N19" s="12">
        <f>G20/$G$28</f>
        <v>1.940902903120878E-2</v>
      </c>
      <c r="O19" s="60">
        <f>I20/$I$28</f>
        <v>2.791434846748353E-2</v>
      </c>
      <c r="Q19" s="11">
        <v>14</v>
      </c>
      <c r="R19" s="19">
        <v>46022</v>
      </c>
      <c r="S19" s="12">
        <v>3.0694359014116539E-2</v>
      </c>
      <c r="T19" s="21">
        <f t="shared" si="0"/>
        <v>1534.717950705827</v>
      </c>
      <c r="U19" s="22">
        <f t="shared" si="1"/>
        <v>40840.43207551448</v>
      </c>
    </row>
    <row r="20" spans="1:21" x14ac:dyDescent="0.3">
      <c r="A20" s="5">
        <v>15</v>
      </c>
      <c r="B20" s="7">
        <v>9</v>
      </c>
      <c r="C20" s="57">
        <v>868.53000000000009</v>
      </c>
      <c r="D20" s="7">
        <v>5</v>
      </c>
      <c r="E20" s="57">
        <v>465.77</v>
      </c>
      <c r="F20" s="7">
        <v>5</v>
      </c>
      <c r="G20" s="7">
        <v>574.01</v>
      </c>
      <c r="H20" s="7">
        <v>19</v>
      </c>
      <c r="I20" s="7">
        <v>1908.31</v>
      </c>
      <c r="K20" s="11">
        <v>16</v>
      </c>
      <c r="L20" s="12">
        <f>C21/$C$28</f>
        <v>9.1291202216551934E-3</v>
      </c>
      <c r="M20" s="12">
        <f>E21/$E$28</f>
        <v>1.1326739253311032E-2</v>
      </c>
      <c r="N20" s="12">
        <f>G21/$G$28</f>
        <v>5.6437362338618794E-3</v>
      </c>
      <c r="O20" s="60">
        <f>I21/$I$28</f>
        <v>8.3913751653853959E-3</v>
      </c>
      <c r="Q20" s="11">
        <v>15</v>
      </c>
      <c r="R20" s="19">
        <v>46023</v>
      </c>
      <c r="S20" s="12">
        <v>2.791434846748353E-2</v>
      </c>
      <c r="T20" s="21">
        <f t="shared" si="0"/>
        <v>1395.7174233741764</v>
      </c>
      <c r="U20" s="22">
        <f t="shared" si="1"/>
        <v>42236.149498888655</v>
      </c>
    </row>
    <row r="21" spans="1:21" x14ac:dyDescent="0.3">
      <c r="A21" s="5">
        <v>16</v>
      </c>
      <c r="B21" s="7">
        <v>2</v>
      </c>
      <c r="C21" s="57">
        <v>135.41999999999999</v>
      </c>
      <c r="D21" s="7">
        <v>3</v>
      </c>
      <c r="E21" s="57">
        <v>271.33</v>
      </c>
      <c r="F21" s="7">
        <v>2</v>
      </c>
      <c r="G21" s="7">
        <v>166.91</v>
      </c>
      <c r="H21" s="7">
        <v>7</v>
      </c>
      <c r="I21" s="7">
        <v>573.66000000000008</v>
      </c>
      <c r="K21" s="11">
        <v>17</v>
      </c>
      <c r="L21" s="12">
        <f>C22/$C$28</f>
        <v>5.2394354803371984E-2</v>
      </c>
      <c r="M21" s="12">
        <f>E22/$E$28</f>
        <v>0.1188291124708932</v>
      </c>
      <c r="N21" s="12">
        <f>G22/$G$28</f>
        <v>2.532698910340641E-2</v>
      </c>
      <c r="O21" s="60">
        <f>I22/$I$28</f>
        <v>6.3963939584322227E-2</v>
      </c>
      <c r="Q21" s="11">
        <v>16</v>
      </c>
      <c r="R21" s="19">
        <v>46024</v>
      </c>
      <c r="S21" s="12">
        <v>8.3913751653853959E-3</v>
      </c>
      <c r="T21" s="21">
        <f t="shared" si="0"/>
        <v>419.56875826926978</v>
      </c>
      <c r="U21" s="22">
        <f t="shared" si="1"/>
        <v>42655.718257157925</v>
      </c>
    </row>
    <row r="22" spans="1:21" x14ac:dyDescent="0.3">
      <c r="A22" s="5">
        <v>17</v>
      </c>
      <c r="B22" s="7">
        <v>4</v>
      </c>
      <c r="C22" s="57">
        <v>777.21</v>
      </c>
      <c r="D22" s="7">
        <v>8</v>
      </c>
      <c r="E22" s="57">
        <v>2846.5299999999997</v>
      </c>
      <c r="F22" s="7">
        <v>7</v>
      </c>
      <c r="G22" s="7">
        <v>749.03</v>
      </c>
      <c r="H22" s="7">
        <v>19</v>
      </c>
      <c r="I22" s="7">
        <v>4372.7699999999995</v>
      </c>
      <c r="K22" s="11">
        <v>18</v>
      </c>
      <c r="L22" s="12">
        <f>C23/$C$28</f>
        <v>5.804292210046612E-3</v>
      </c>
      <c r="M22" s="12">
        <f>E23/$E$28</f>
        <v>3.3872932462026467E-2</v>
      </c>
      <c r="N22" s="12">
        <f>G23/$G$28</f>
        <v>1.5908025798004904E-2</v>
      </c>
      <c r="O22" s="60">
        <f>I23/$I$28</f>
        <v>2.0010663655293318E-2</v>
      </c>
      <c r="Q22" s="11">
        <v>17</v>
      </c>
      <c r="R22" s="19">
        <v>45662</v>
      </c>
      <c r="S22" s="12">
        <v>6.3963939584322227E-2</v>
      </c>
      <c r="T22" s="21">
        <f t="shared" si="0"/>
        <v>3198.1969792161112</v>
      </c>
      <c r="U22" s="22">
        <f t="shared" si="1"/>
        <v>45853.915236374036</v>
      </c>
    </row>
    <row r="23" spans="1:21" x14ac:dyDescent="0.3">
      <c r="A23" s="5">
        <v>18</v>
      </c>
      <c r="B23" s="7">
        <v>1</v>
      </c>
      <c r="C23" s="57">
        <v>86.1</v>
      </c>
      <c r="D23" s="7">
        <v>8</v>
      </c>
      <c r="E23" s="57">
        <v>811.42000000000019</v>
      </c>
      <c r="F23" s="7">
        <v>6</v>
      </c>
      <c r="G23" s="7">
        <v>470.46999999999997</v>
      </c>
      <c r="H23" s="7">
        <v>15</v>
      </c>
      <c r="I23" s="7">
        <v>1367.99</v>
      </c>
      <c r="K23" s="11">
        <v>19</v>
      </c>
      <c r="L23" s="12">
        <f>C24/$C$28</f>
        <v>0</v>
      </c>
      <c r="M23" s="12">
        <f>E24/$E$28</f>
        <v>2.3114346089847491E-2</v>
      </c>
      <c r="N23" s="12">
        <f>G24/$G$28</f>
        <v>1.1219846367024439E-2</v>
      </c>
      <c r="O23" s="60">
        <f>I24/$I$28</f>
        <v>1.2953196207600451E-2</v>
      </c>
      <c r="Q23" s="11">
        <v>18</v>
      </c>
      <c r="R23" s="19">
        <v>45663</v>
      </c>
      <c r="S23" s="12">
        <v>2.0010663655293318E-2</v>
      </c>
      <c r="T23" s="21">
        <f t="shared" si="0"/>
        <v>1000.5331827646659</v>
      </c>
      <c r="U23" s="22">
        <f t="shared" si="1"/>
        <v>46854.448419138702</v>
      </c>
    </row>
    <row r="24" spans="1:21" x14ac:dyDescent="0.3">
      <c r="A24" s="5">
        <v>19</v>
      </c>
      <c r="B24" s="7"/>
      <c r="D24" s="7">
        <v>5</v>
      </c>
      <c r="E24" s="57">
        <v>553.70000000000005</v>
      </c>
      <c r="F24" s="7">
        <v>3</v>
      </c>
      <c r="G24" s="7">
        <v>331.82000000000005</v>
      </c>
      <c r="H24" s="7">
        <v>8</v>
      </c>
      <c r="I24" s="7">
        <v>885.5200000000001</v>
      </c>
      <c r="K24" s="11">
        <v>20</v>
      </c>
      <c r="L24" s="12">
        <f>C25/$C$28</f>
        <v>5.1906956049845424E-2</v>
      </c>
      <c r="M24" s="12">
        <f>E25/$E$28</f>
        <v>2.4633873266424064E-2</v>
      </c>
      <c r="N24" s="12">
        <f>G25/$G$28</f>
        <v>3.3988878211479008E-2</v>
      </c>
      <c r="O24" s="60">
        <f>I25/$I$28</f>
        <v>3.4598807396685777E-2</v>
      </c>
      <c r="Q24" s="11">
        <v>19</v>
      </c>
      <c r="R24" s="19">
        <v>45664</v>
      </c>
      <c r="S24" s="12">
        <v>1.2953196207600451E-2</v>
      </c>
      <c r="T24" s="21">
        <f t="shared" si="0"/>
        <v>647.65981038002258</v>
      </c>
      <c r="U24" s="22">
        <f t="shared" si="1"/>
        <v>47502.108229518723</v>
      </c>
    </row>
    <row r="25" spans="1:21" x14ac:dyDescent="0.3">
      <c r="A25" s="5">
        <v>20</v>
      </c>
      <c r="B25" s="7">
        <v>7</v>
      </c>
      <c r="C25" s="57">
        <v>769.98</v>
      </c>
      <c r="D25" s="7">
        <v>5</v>
      </c>
      <c r="E25" s="57">
        <v>590.1</v>
      </c>
      <c r="F25" s="7">
        <v>7</v>
      </c>
      <c r="G25" s="7">
        <v>1005.2</v>
      </c>
      <c r="H25" s="7">
        <v>19</v>
      </c>
      <c r="I25" s="7">
        <v>2365.2799999999997</v>
      </c>
      <c r="K25" s="11">
        <v>21</v>
      </c>
      <c r="L25" s="12">
        <f>C26/$C$28</f>
        <v>0</v>
      </c>
      <c r="M25" s="12">
        <f>E26/$E$28</f>
        <v>7.9315978997128826E-3</v>
      </c>
      <c r="N25" s="12">
        <f>G26/$G$28</f>
        <v>2.2350426281125767E-3</v>
      </c>
      <c r="O25" s="60">
        <f>I26/$I$28</f>
        <v>3.7461757484489066E-3</v>
      </c>
      <c r="Q25" s="11">
        <v>20</v>
      </c>
      <c r="R25" s="19">
        <v>45665</v>
      </c>
      <c r="S25" s="12">
        <v>3.4598807396685777E-2</v>
      </c>
      <c r="T25" s="21">
        <f t="shared" si="0"/>
        <v>1729.9403698342887</v>
      </c>
      <c r="U25" s="22">
        <f t="shared" si="1"/>
        <v>49232.048599353009</v>
      </c>
    </row>
    <row r="26" spans="1:21" x14ac:dyDescent="0.3">
      <c r="A26" s="5">
        <v>21</v>
      </c>
      <c r="B26" s="7"/>
      <c r="D26" s="7">
        <v>1</v>
      </c>
      <c r="E26" s="57">
        <v>190</v>
      </c>
      <c r="F26" s="7">
        <v>1</v>
      </c>
      <c r="G26" s="7">
        <v>66.099999999999994</v>
      </c>
      <c r="H26" s="7">
        <v>2</v>
      </c>
      <c r="I26" s="7">
        <v>256.10000000000002</v>
      </c>
      <c r="K26" s="44">
        <v>22</v>
      </c>
      <c r="L26" s="12">
        <f>C27/$C$28</f>
        <v>0</v>
      </c>
      <c r="M26" s="12">
        <f>E27/$E$28</f>
        <v>2.7622415864531673E-2</v>
      </c>
      <c r="N26" s="12">
        <f>G27/$G$28</f>
        <v>4.4700852562251535E-3</v>
      </c>
      <c r="O26" s="60">
        <f>I27/$I$28</f>
        <v>1.1612852264490834E-2</v>
      </c>
      <c r="Q26" s="11">
        <v>21</v>
      </c>
      <c r="R26" s="19">
        <v>45666</v>
      </c>
      <c r="S26" s="12">
        <v>3.7461757484489066E-3</v>
      </c>
      <c r="T26" s="21">
        <f t="shared" si="0"/>
        <v>187.30878742244533</v>
      </c>
      <c r="U26" s="22">
        <f t="shared" si="1"/>
        <v>49419.357386775453</v>
      </c>
    </row>
    <row r="27" spans="1:21" x14ac:dyDescent="0.3">
      <c r="A27" s="5">
        <v>22</v>
      </c>
      <c r="B27" s="7"/>
      <c r="D27" s="7">
        <v>3</v>
      </c>
      <c r="E27" s="57">
        <v>661.69</v>
      </c>
      <c r="F27" s="7">
        <v>2</v>
      </c>
      <c r="G27" s="7">
        <v>132.19999999999999</v>
      </c>
      <c r="H27" s="7">
        <v>5</v>
      </c>
      <c r="I27" s="7">
        <v>793.8900000000001</v>
      </c>
      <c r="L27" s="14">
        <f>SUM(L5:L26)</f>
        <v>0.99999999999999933</v>
      </c>
      <c r="M27" s="14">
        <f>SUM(M5:M26)</f>
        <v>1.0000000000000009</v>
      </c>
      <c r="N27" s="14">
        <f>SUM(N5:N26)</f>
        <v>1.0000000000000004</v>
      </c>
      <c r="O27" s="14">
        <f>SUM(O5:O26)</f>
        <v>1.0000000000000002</v>
      </c>
      <c r="Q27" s="11">
        <v>22</v>
      </c>
      <c r="R27" s="19">
        <v>45669</v>
      </c>
      <c r="S27" s="12">
        <v>1.1612852264490834E-2</v>
      </c>
      <c r="T27" s="21">
        <f t="shared" si="0"/>
        <v>580.64261322454172</v>
      </c>
      <c r="U27" s="22">
        <f t="shared" si="1"/>
        <v>49999.999999999993</v>
      </c>
    </row>
    <row r="28" spans="1:21" x14ac:dyDescent="0.3">
      <c r="A28" s="5" t="s">
        <v>702</v>
      </c>
      <c r="B28" s="7">
        <v>83</v>
      </c>
      <c r="C28" s="57">
        <v>14833.850000000009</v>
      </c>
      <c r="D28" s="7">
        <v>107</v>
      </c>
      <c r="E28" s="57">
        <v>23954.819999999982</v>
      </c>
      <c r="F28" s="7">
        <v>134</v>
      </c>
      <c r="G28" s="7">
        <v>29574.379999999983</v>
      </c>
      <c r="H28" s="7">
        <v>324</v>
      </c>
      <c r="I28" s="7">
        <v>68363.05</v>
      </c>
      <c r="Q28" s="23"/>
      <c r="R28" s="24"/>
      <c r="S28" s="25"/>
      <c r="T28" s="21">
        <v>50000</v>
      </c>
      <c r="U28" s="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018BD-86ED-4171-9EDE-87CBD117C748}">
  <sheetPr filterMode="1"/>
  <dimension ref="A1:K379"/>
  <sheetViews>
    <sheetView workbookViewId="0">
      <selection activeCell="G379" sqref="G379"/>
    </sheetView>
  </sheetViews>
  <sheetFormatPr baseColWidth="10" defaultRowHeight="14.4" x14ac:dyDescent="0.3"/>
  <cols>
    <col min="3" max="3" width="12.33203125" bestFit="1" customWidth="1"/>
    <col min="5" max="5" width="11.5546875" style="1"/>
  </cols>
  <sheetData>
    <row r="1" spans="1:11" x14ac:dyDescent="0.3">
      <c r="A1" t="s">
        <v>0</v>
      </c>
      <c r="B1" t="s">
        <v>1370</v>
      </c>
      <c r="C1" t="s">
        <v>1</v>
      </c>
      <c r="D1" t="s">
        <v>1371</v>
      </c>
      <c r="E1" s="1" t="s">
        <v>1372</v>
      </c>
      <c r="F1" t="s">
        <v>1373</v>
      </c>
      <c r="G1" t="s">
        <v>0</v>
      </c>
      <c r="H1" t="s">
        <v>1493</v>
      </c>
      <c r="J1" t="s">
        <v>1529</v>
      </c>
      <c r="K1" t="s">
        <v>1530</v>
      </c>
    </row>
    <row r="2" spans="1:11" hidden="1" x14ac:dyDescent="0.3">
      <c r="A2" t="s">
        <v>92</v>
      </c>
      <c r="B2" t="s">
        <v>212</v>
      </c>
      <c r="C2">
        <v>20610957731</v>
      </c>
      <c r="D2" t="s">
        <v>1374</v>
      </c>
      <c r="E2" s="1">
        <v>45909</v>
      </c>
      <c r="F2">
        <v>66.099999999999994</v>
      </c>
      <c r="G2" t="s">
        <v>1436</v>
      </c>
      <c r="H2">
        <v>2</v>
      </c>
      <c r="J2" s="1">
        <v>45908</v>
      </c>
      <c r="K2">
        <v>1</v>
      </c>
    </row>
    <row r="3" spans="1:11" hidden="1" x14ac:dyDescent="0.3">
      <c r="A3" t="s">
        <v>92</v>
      </c>
      <c r="B3" t="s">
        <v>1375</v>
      </c>
      <c r="C3">
        <v>20612796182</v>
      </c>
      <c r="D3" t="s">
        <v>1374</v>
      </c>
      <c r="E3" s="1">
        <v>45909</v>
      </c>
      <c r="F3">
        <v>164.65</v>
      </c>
      <c r="G3" t="s">
        <v>1436</v>
      </c>
      <c r="H3">
        <v>2</v>
      </c>
      <c r="J3" s="1">
        <v>45909</v>
      </c>
      <c r="K3">
        <v>2</v>
      </c>
    </row>
    <row r="4" spans="1:11" hidden="1" x14ac:dyDescent="0.3">
      <c r="A4" t="s">
        <v>92</v>
      </c>
      <c r="B4" t="s">
        <v>1376</v>
      </c>
      <c r="C4">
        <v>20613085492</v>
      </c>
      <c r="D4" t="s">
        <v>1374</v>
      </c>
      <c r="E4" s="1">
        <v>45909</v>
      </c>
      <c r="F4">
        <v>66.099999999999994</v>
      </c>
      <c r="G4" t="s">
        <v>1436</v>
      </c>
      <c r="H4">
        <v>2</v>
      </c>
      <c r="J4" s="1">
        <v>45910</v>
      </c>
      <c r="K4">
        <v>3</v>
      </c>
    </row>
    <row r="5" spans="1:11" hidden="1" x14ac:dyDescent="0.3">
      <c r="A5" t="s">
        <v>92</v>
      </c>
      <c r="B5" t="s">
        <v>1377</v>
      </c>
      <c r="C5">
        <v>20605895159</v>
      </c>
      <c r="D5" t="s">
        <v>1374</v>
      </c>
      <c r="E5" s="1">
        <v>45910</v>
      </c>
      <c r="F5">
        <v>66.099999999999994</v>
      </c>
      <c r="G5" t="s">
        <v>1436</v>
      </c>
      <c r="H5">
        <v>3</v>
      </c>
      <c r="J5" s="1">
        <v>45911</v>
      </c>
      <c r="K5">
        <v>4</v>
      </c>
    </row>
    <row r="6" spans="1:11" hidden="1" x14ac:dyDescent="0.3">
      <c r="A6" t="s">
        <v>92</v>
      </c>
      <c r="B6" t="s">
        <v>1378</v>
      </c>
      <c r="C6">
        <v>20607772291</v>
      </c>
      <c r="D6" t="s">
        <v>1374</v>
      </c>
      <c r="E6" s="1">
        <v>45910</v>
      </c>
      <c r="F6">
        <v>66.099999999999994</v>
      </c>
      <c r="G6" t="s">
        <v>1436</v>
      </c>
      <c r="H6">
        <v>3</v>
      </c>
      <c r="J6" s="1">
        <v>45912</v>
      </c>
      <c r="K6">
        <v>5</v>
      </c>
    </row>
    <row r="7" spans="1:11" hidden="1" x14ac:dyDescent="0.3">
      <c r="A7" t="s">
        <v>92</v>
      </c>
      <c r="B7" t="s">
        <v>134</v>
      </c>
      <c r="C7">
        <v>20551404995</v>
      </c>
      <c r="D7" t="s">
        <v>1374</v>
      </c>
      <c r="E7" s="1">
        <v>45911</v>
      </c>
      <c r="F7">
        <v>66.099999999999994</v>
      </c>
      <c r="G7" t="s">
        <v>1436</v>
      </c>
      <c r="H7">
        <v>4</v>
      </c>
      <c r="J7" s="39">
        <v>45913</v>
      </c>
      <c r="K7">
        <v>5</v>
      </c>
    </row>
    <row r="8" spans="1:11" hidden="1" x14ac:dyDescent="0.3">
      <c r="A8" t="s">
        <v>92</v>
      </c>
      <c r="B8" t="s">
        <v>1379</v>
      </c>
      <c r="C8">
        <v>20603257058</v>
      </c>
      <c r="D8" t="s">
        <v>1374</v>
      </c>
      <c r="E8" s="1">
        <v>45911</v>
      </c>
      <c r="F8">
        <v>690.1</v>
      </c>
      <c r="G8" t="s">
        <v>1436</v>
      </c>
      <c r="H8">
        <v>4</v>
      </c>
      <c r="J8" s="39">
        <v>45914</v>
      </c>
      <c r="K8">
        <v>5</v>
      </c>
    </row>
    <row r="9" spans="1:11" hidden="1" x14ac:dyDescent="0.3">
      <c r="A9" t="s">
        <v>92</v>
      </c>
      <c r="B9" t="s">
        <v>293</v>
      </c>
      <c r="C9">
        <v>20607058831</v>
      </c>
      <c r="D9" t="s">
        <v>1374</v>
      </c>
      <c r="E9" s="1">
        <v>45911</v>
      </c>
      <c r="F9">
        <v>66.099999999999994</v>
      </c>
      <c r="G9" t="s">
        <v>1436</v>
      </c>
      <c r="H9">
        <v>4</v>
      </c>
      <c r="J9" s="1">
        <v>45915</v>
      </c>
      <c r="K9">
        <v>6</v>
      </c>
    </row>
    <row r="10" spans="1:11" hidden="1" x14ac:dyDescent="0.3">
      <c r="A10" t="s">
        <v>92</v>
      </c>
      <c r="B10" t="s">
        <v>1380</v>
      </c>
      <c r="C10">
        <v>20608491369</v>
      </c>
      <c r="D10" t="s">
        <v>1374</v>
      </c>
      <c r="E10" s="1">
        <v>45911</v>
      </c>
      <c r="F10">
        <v>66.099999999999994</v>
      </c>
      <c r="G10" t="s">
        <v>1436</v>
      </c>
      <c r="H10">
        <v>4</v>
      </c>
      <c r="J10" s="1">
        <v>45916</v>
      </c>
      <c r="K10">
        <v>7</v>
      </c>
    </row>
    <row r="11" spans="1:11" hidden="1" x14ac:dyDescent="0.3">
      <c r="A11" t="s">
        <v>92</v>
      </c>
      <c r="B11" t="s">
        <v>292</v>
      </c>
      <c r="C11">
        <v>20607031682</v>
      </c>
      <c r="D11" t="s">
        <v>1374</v>
      </c>
      <c r="E11" s="1">
        <v>45913</v>
      </c>
      <c r="F11">
        <v>68.23</v>
      </c>
      <c r="G11" t="s">
        <v>1436</v>
      </c>
      <c r="H11">
        <v>5</v>
      </c>
      <c r="J11" s="1">
        <v>45917</v>
      </c>
      <c r="K11">
        <v>8</v>
      </c>
    </row>
    <row r="12" spans="1:11" hidden="1" x14ac:dyDescent="0.3">
      <c r="A12" t="s">
        <v>92</v>
      </c>
      <c r="B12" t="s">
        <v>1381</v>
      </c>
      <c r="C12">
        <v>20609154676</v>
      </c>
      <c r="D12" t="s">
        <v>1374</v>
      </c>
      <c r="E12" s="1">
        <v>45913</v>
      </c>
      <c r="F12">
        <v>91.88</v>
      </c>
      <c r="G12" t="s">
        <v>1436</v>
      </c>
      <c r="H12">
        <v>5</v>
      </c>
      <c r="J12" s="1">
        <v>45918</v>
      </c>
      <c r="K12">
        <v>9</v>
      </c>
    </row>
    <row r="13" spans="1:11" hidden="1" x14ac:dyDescent="0.3">
      <c r="A13" t="s">
        <v>92</v>
      </c>
      <c r="B13" t="s">
        <v>637</v>
      </c>
      <c r="C13">
        <v>10095822245</v>
      </c>
      <c r="D13" t="s">
        <v>1374</v>
      </c>
      <c r="E13" s="1">
        <v>45915</v>
      </c>
      <c r="F13">
        <v>459.63</v>
      </c>
      <c r="G13" t="s">
        <v>1436</v>
      </c>
      <c r="H13">
        <v>6</v>
      </c>
      <c r="J13" s="1">
        <v>45919</v>
      </c>
      <c r="K13">
        <v>10</v>
      </c>
    </row>
    <row r="14" spans="1:11" hidden="1" x14ac:dyDescent="0.3">
      <c r="A14" t="s">
        <v>92</v>
      </c>
      <c r="B14" t="s">
        <v>1382</v>
      </c>
      <c r="C14">
        <v>20605320041</v>
      </c>
      <c r="D14" t="s">
        <v>1374</v>
      </c>
      <c r="E14" s="1">
        <v>45915</v>
      </c>
      <c r="F14">
        <v>229.82</v>
      </c>
      <c r="G14" t="s">
        <v>1436</v>
      </c>
      <c r="H14">
        <v>6</v>
      </c>
      <c r="J14" s="39">
        <v>45920</v>
      </c>
      <c r="K14">
        <v>10</v>
      </c>
    </row>
    <row r="15" spans="1:11" hidden="1" x14ac:dyDescent="0.3">
      <c r="A15" t="s">
        <v>92</v>
      </c>
      <c r="B15" t="s">
        <v>1383</v>
      </c>
      <c r="C15">
        <v>20609715007</v>
      </c>
      <c r="D15" t="s">
        <v>1374</v>
      </c>
      <c r="E15" s="1">
        <v>45915</v>
      </c>
      <c r="F15">
        <v>66.099999999999994</v>
      </c>
      <c r="G15" t="s">
        <v>1436</v>
      </c>
      <c r="H15">
        <v>6</v>
      </c>
      <c r="J15" s="39">
        <v>45921</v>
      </c>
      <c r="K15">
        <v>10</v>
      </c>
    </row>
    <row r="16" spans="1:11" hidden="1" x14ac:dyDescent="0.3">
      <c r="A16" t="s">
        <v>93</v>
      </c>
      <c r="B16" t="s">
        <v>1384</v>
      </c>
      <c r="C16">
        <v>20108432510</v>
      </c>
      <c r="D16" t="s">
        <v>1374</v>
      </c>
      <c r="E16" s="1">
        <v>45915</v>
      </c>
      <c r="F16">
        <v>425.77</v>
      </c>
      <c r="G16" t="s">
        <v>1436</v>
      </c>
      <c r="H16">
        <v>6</v>
      </c>
      <c r="J16" s="1">
        <v>45922</v>
      </c>
      <c r="K16">
        <v>11</v>
      </c>
    </row>
    <row r="17" spans="1:11" hidden="1" x14ac:dyDescent="0.3">
      <c r="A17" t="s">
        <v>93</v>
      </c>
      <c r="B17" t="s">
        <v>1385</v>
      </c>
      <c r="C17">
        <v>20111857467</v>
      </c>
      <c r="D17" t="s">
        <v>1374</v>
      </c>
      <c r="E17" s="1">
        <v>45916</v>
      </c>
      <c r="F17">
        <v>206.25</v>
      </c>
      <c r="G17" t="s">
        <v>1436</v>
      </c>
      <c r="H17">
        <v>7</v>
      </c>
      <c r="J17" s="1">
        <v>45923</v>
      </c>
      <c r="K17">
        <v>12</v>
      </c>
    </row>
    <row r="18" spans="1:11" hidden="1" x14ac:dyDescent="0.3">
      <c r="A18" t="s">
        <v>93</v>
      </c>
      <c r="B18" t="s">
        <v>1386</v>
      </c>
      <c r="C18">
        <v>20494179262</v>
      </c>
      <c r="D18" t="s">
        <v>1374</v>
      </c>
      <c r="E18" s="1">
        <v>45916</v>
      </c>
      <c r="F18">
        <v>66.099999999999994</v>
      </c>
      <c r="G18" t="s">
        <v>1436</v>
      </c>
      <c r="H18">
        <v>7</v>
      </c>
      <c r="J18" s="1">
        <v>45924</v>
      </c>
      <c r="K18">
        <v>13</v>
      </c>
    </row>
    <row r="19" spans="1:11" hidden="1" x14ac:dyDescent="0.3">
      <c r="A19" t="s">
        <v>93</v>
      </c>
      <c r="B19" t="s">
        <v>1387</v>
      </c>
      <c r="C19">
        <v>20510520212</v>
      </c>
      <c r="D19" t="s">
        <v>1374</v>
      </c>
      <c r="E19" s="1">
        <v>45916</v>
      </c>
      <c r="F19">
        <v>167.21</v>
      </c>
      <c r="G19" t="s">
        <v>1436</v>
      </c>
      <c r="H19">
        <v>7</v>
      </c>
      <c r="J19" s="1">
        <v>45925</v>
      </c>
      <c r="K19">
        <v>14</v>
      </c>
    </row>
    <row r="20" spans="1:11" hidden="1" x14ac:dyDescent="0.3">
      <c r="A20" t="s">
        <v>93</v>
      </c>
      <c r="B20" t="s">
        <v>1388</v>
      </c>
      <c r="C20">
        <v>20549487603</v>
      </c>
      <c r="D20" t="s">
        <v>1374</v>
      </c>
      <c r="E20" s="1">
        <v>45916</v>
      </c>
      <c r="F20">
        <v>111.93</v>
      </c>
      <c r="G20" t="s">
        <v>1436</v>
      </c>
      <c r="H20">
        <v>7</v>
      </c>
      <c r="J20" s="1">
        <v>45926</v>
      </c>
      <c r="K20">
        <v>15</v>
      </c>
    </row>
    <row r="21" spans="1:11" hidden="1" x14ac:dyDescent="0.3">
      <c r="A21" t="s">
        <v>92</v>
      </c>
      <c r="B21" t="s">
        <v>1389</v>
      </c>
      <c r="C21">
        <v>10026192400</v>
      </c>
      <c r="D21" t="s">
        <v>1374</v>
      </c>
      <c r="E21" s="1">
        <v>45917</v>
      </c>
      <c r="F21">
        <v>66.099999999999994</v>
      </c>
      <c r="G21" t="s">
        <v>1436</v>
      </c>
      <c r="H21">
        <v>8</v>
      </c>
      <c r="J21" s="39">
        <v>45927</v>
      </c>
      <c r="K21">
        <v>15</v>
      </c>
    </row>
    <row r="22" spans="1:11" hidden="1" x14ac:dyDescent="0.3">
      <c r="A22" t="s">
        <v>92</v>
      </c>
      <c r="B22" t="s">
        <v>199</v>
      </c>
      <c r="C22">
        <v>20605590021</v>
      </c>
      <c r="D22" t="s">
        <v>1374</v>
      </c>
      <c r="E22" s="1">
        <v>45917</v>
      </c>
      <c r="F22">
        <v>55</v>
      </c>
      <c r="G22" t="s">
        <v>1436</v>
      </c>
      <c r="H22">
        <v>8</v>
      </c>
      <c r="J22" s="39">
        <v>45928</v>
      </c>
      <c r="K22">
        <v>15</v>
      </c>
    </row>
    <row r="23" spans="1:11" hidden="1" x14ac:dyDescent="0.3">
      <c r="A23" t="s">
        <v>92</v>
      </c>
      <c r="B23" t="s">
        <v>1390</v>
      </c>
      <c r="C23">
        <v>20600054717</v>
      </c>
      <c r="D23" t="s">
        <v>1374</v>
      </c>
      <c r="E23" s="1">
        <v>45918</v>
      </c>
      <c r="F23">
        <v>300</v>
      </c>
      <c r="G23" t="s">
        <v>1436</v>
      </c>
      <c r="H23">
        <v>9</v>
      </c>
      <c r="J23" s="1">
        <v>45929</v>
      </c>
      <c r="K23">
        <v>16</v>
      </c>
    </row>
    <row r="24" spans="1:11" hidden="1" x14ac:dyDescent="0.3">
      <c r="A24" t="s">
        <v>92</v>
      </c>
      <c r="B24" t="s">
        <v>246</v>
      </c>
      <c r="C24">
        <v>20605402314</v>
      </c>
      <c r="D24" t="s">
        <v>1374</v>
      </c>
      <c r="E24" s="1">
        <v>45918</v>
      </c>
      <c r="F24">
        <v>130</v>
      </c>
      <c r="G24" t="s">
        <v>1436</v>
      </c>
      <c r="H24">
        <v>9</v>
      </c>
      <c r="J24" s="1">
        <v>45930</v>
      </c>
      <c r="K24">
        <v>17</v>
      </c>
    </row>
    <row r="25" spans="1:11" hidden="1" x14ac:dyDescent="0.3">
      <c r="A25" t="s">
        <v>92</v>
      </c>
      <c r="B25" t="s">
        <v>1391</v>
      </c>
      <c r="C25">
        <v>20608587820</v>
      </c>
      <c r="D25" t="s">
        <v>1374</v>
      </c>
      <c r="E25" s="1">
        <v>45918</v>
      </c>
      <c r="F25">
        <v>115.07</v>
      </c>
      <c r="G25" t="s">
        <v>1436</v>
      </c>
      <c r="H25">
        <v>9</v>
      </c>
      <c r="J25" s="1">
        <v>45931</v>
      </c>
      <c r="K25">
        <v>18</v>
      </c>
    </row>
    <row r="26" spans="1:11" hidden="1" x14ac:dyDescent="0.3">
      <c r="A26" t="s">
        <v>93</v>
      </c>
      <c r="B26" t="s">
        <v>1392</v>
      </c>
      <c r="C26">
        <v>20565209290</v>
      </c>
      <c r="D26" t="s">
        <v>1374</v>
      </c>
      <c r="E26" s="1">
        <v>45918</v>
      </c>
      <c r="F26">
        <v>82</v>
      </c>
      <c r="G26" t="s">
        <v>1436</v>
      </c>
      <c r="H26">
        <v>9</v>
      </c>
      <c r="J26" s="1">
        <v>45932</v>
      </c>
      <c r="K26">
        <v>19</v>
      </c>
    </row>
    <row r="27" spans="1:11" hidden="1" x14ac:dyDescent="0.3">
      <c r="A27" t="s">
        <v>93</v>
      </c>
      <c r="B27" t="s">
        <v>1393</v>
      </c>
      <c r="C27">
        <v>20611409355</v>
      </c>
      <c r="D27" t="s">
        <v>1374</v>
      </c>
      <c r="E27" s="1">
        <v>45918</v>
      </c>
      <c r="F27">
        <v>70.599999999999994</v>
      </c>
      <c r="G27" t="s">
        <v>1436</v>
      </c>
      <c r="H27">
        <v>9</v>
      </c>
      <c r="J27" s="1">
        <v>45933</v>
      </c>
      <c r="K27">
        <v>20</v>
      </c>
    </row>
    <row r="28" spans="1:11" hidden="1" x14ac:dyDescent="0.3">
      <c r="A28" t="s">
        <v>92</v>
      </c>
      <c r="B28" t="s">
        <v>1394</v>
      </c>
      <c r="C28">
        <v>10097470559</v>
      </c>
      <c r="D28" t="s">
        <v>1374</v>
      </c>
      <c r="E28" s="1">
        <v>45919</v>
      </c>
      <c r="F28">
        <v>230</v>
      </c>
      <c r="G28" t="s">
        <v>1436</v>
      </c>
      <c r="H28">
        <v>10</v>
      </c>
      <c r="J28" s="39">
        <v>45934</v>
      </c>
      <c r="K28">
        <v>20</v>
      </c>
    </row>
    <row r="29" spans="1:11" hidden="1" x14ac:dyDescent="0.3">
      <c r="A29" t="s">
        <v>92</v>
      </c>
      <c r="B29" t="s">
        <v>1395</v>
      </c>
      <c r="C29">
        <v>20498416986</v>
      </c>
      <c r="D29" t="s">
        <v>1374</v>
      </c>
      <c r="E29" s="1">
        <v>45919</v>
      </c>
      <c r="F29">
        <v>115.5</v>
      </c>
      <c r="G29" t="s">
        <v>1436</v>
      </c>
      <c r="H29">
        <v>10</v>
      </c>
      <c r="J29" s="39">
        <v>45935</v>
      </c>
      <c r="K29">
        <v>20</v>
      </c>
    </row>
    <row r="30" spans="1:11" hidden="1" x14ac:dyDescent="0.3">
      <c r="A30" t="s">
        <v>92</v>
      </c>
      <c r="B30" t="s">
        <v>619</v>
      </c>
      <c r="C30">
        <v>20602157327</v>
      </c>
      <c r="D30" t="s">
        <v>1374</v>
      </c>
      <c r="E30" s="1">
        <v>45919</v>
      </c>
      <c r="F30">
        <v>385.49</v>
      </c>
      <c r="G30" t="s">
        <v>1436</v>
      </c>
      <c r="H30">
        <v>10</v>
      </c>
      <c r="J30" s="1">
        <v>45936</v>
      </c>
      <c r="K30">
        <v>1</v>
      </c>
    </row>
    <row r="31" spans="1:11" hidden="1" x14ac:dyDescent="0.3">
      <c r="A31" t="s">
        <v>92</v>
      </c>
      <c r="B31" t="s">
        <v>1396</v>
      </c>
      <c r="C31">
        <v>20606224614</v>
      </c>
      <c r="D31" t="s">
        <v>1374</v>
      </c>
      <c r="E31" s="1">
        <v>45919</v>
      </c>
      <c r="F31">
        <v>212.1</v>
      </c>
      <c r="G31" t="s">
        <v>1436</v>
      </c>
      <c r="H31">
        <v>10</v>
      </c>
      <c r="J31" s="1">
        <v>45937</v>
      </c>
      <c r="K31">
        <v>2</v>
      </c>
    </row>
    <row r="32" spans="1:11" hidden="1" x14ac:dyDescent="0.3">
      <c r="A32" t="s">
        <v>92</v>
      </c>
      <c r="B32" t="s">
        <v>467</v>
      </c>
      <c r="C32">
        <v>20607151688</v>
      </c>
      <c r="D32" t="s">
        <v>1374</v>
      </c>
      <c r="E32" s="1">
        <v>45919</v>
      </c>
      <c r="F32">
        <v>138.09</v>
      </c>
      <c r="G32" t="s">
        <v>1436</v>
      </c>
      <c r="H32">
        <v>10</v>
      </c>
      <c r="J32" s="1">
        <v>45938</v>
      </c>
      <c r="K32">
        <v>3</v>
      </c>
    </row>
    <row r="33" spans="1:11" hidden="1" x14ac:dyDescent="0.3">
      <c r="A33" t="s">
        <v>92</v>
      </c>
      <c r="B33" t="s">
        <v>1397</v>
      </c>
      <c r="C33">
        <v>20607154423</v>
      </c>
      <c r="D33" t="s">
        <v>1374</v>
      </c>
      <c r="E33" s="1">
        <v>45919</v>
      </c>
      <c r="F33">
        <v>105.91</v>
      </c>
      <c r="G33" t="s">
        <v>1436</v>
      </c>
      <c r="H33">
        <v>10</v>
      </c>
      <c r="J33" s="1">
        <v>45939</v>
      </c>
      <c r="K33">
        <v>4</v>
      </c>
    </row>
    <row r="34" spans="1:11" hidden="1" x14ac:dyDescent="0.3">
      <c r="A34" t="s">
        <v>92</v>
      </c>
      <c r="B34" t="s">
        <v>1398</v>
      </c>
      <c r="C34">
        <v>20611118750</v>
      </c>
      <c r="D34" t="s">
        <v>1374</v>
      </c>
      <c r="E34" s="1">
        <v>45919</v>
      </c>
      <c r="F34">
        <v>91.88</v>
      </c>
      <c r="G34" t="s">
        <v>1436</v>
      </c>
      <c r="H34">
        <v>10</v>
      </c>
      <c r="J34" s="1">
        <v>45940</v>
      </c>
      <c r="K34">
        <v>5</v>
      </c>
    </row>
    <row r="35" spans="1:11" hidden="1" x14ac:dyDescent="0.3">
      <c r="A35" t="s">
        <v>92</v>
      </c>
      <c r="B35" t="s">
        <v>219</v>
      </c>
      <c r="C35">
        <v>20612889989</v>
      </c>
      <c r="D35" t="s">
        <v>1374</v>
      </c>
      <c r="E35" s="1">
        <v>45919</v>
      </c>
      <c r="F35">
        <v>66.099999999999994</v>
      </c>
      <c r="G35" t="s">
        <v>1436</v>
      </c>
      <c r="H35">
        <v>10</v>
      </c>
      <c r="J35" s="39">
        <v>45941</v>
      </c>
      <c r="K35">
        <v>5</v>
      </c>
    </row>
    <row r="36" spans="1:11" hidden="1" x14ac:dyDescent="0.3">
      <c r="A36" t="s">
        <v>93</v>
      </c>
      <c r="B36" t="s">
        <v>1399</v>
      </c>
      <c r="C36">
        <v>20101097286</v>
      </c>
      <c r="D36" t="s">
        <v>1374</v>
      </c>
      <c r="E36" s="1">
        <v>45919</v>
      </c>
      <c r="F36">
        <v>3350</v>
      </c>
      <c r="G36" t="s">
        <v>1436</v>
      </c>
      <c r="H36">
        <v>10</v>
      </c>
      <c r="J36" s="39">
        <v>45942</v>
      </c>
      <c r="K36">
        <v>5</v>
      </c>
    </row>
    <row r="37" spans="1:11" hidden="1" x14ac:dyDescent="0.3">
      <c r="A37" t="s">
        <v>93</v>
      </c>
      <c r="B37" t="s">
        <v>1400</v>
      </c>
      <c r="C37">
        <v>20563491974</v>
      </c>
      <c r="D37" t="s">
        <v>1374</v>
      </c>
      <c r="E37" s="1">
        <v>45919</v>
      </c>
      <c r="F37">
        <v>66.099999999999994</v>
      </c>
      <c r="G37" t="s">
        <v>1436</v>
      </c>
      <c r="H37">
        <v>10</v>
      </c>
      <c r="J37" s="1">
        <v>45943</v>
      </c>
      <c r="K37">
        <v>6</v>
      </c>
    </row>
    <row r="38" spans="1:11" hidden="1" x14ac:dyDescent="0.3">
      <c r="A38" t="s">
        <v>92</v>
      </c>
      <c r="B38" t="s">
        <v>1401</v>
      </c>
      <c r="C38">
        <v>10079521863</v>
      </c>
      <c r="D38" t="s">
        <v>1374</v>
      </c>
      <c r="E38" s="1">
        <v>45922</v>
      </c>
      <c r="F38">
        <v>66.099999999999994</v>
      </c>
      <c r="G38" t="s">
        <v>1436</v>
      </c>
      <c r="H38">
        <v>11</v>
      </c>
      <c r="J38" s="1">
        <v>45944</v>
      </c>
      <c r="K38">
        <v>7</v>
      </c>
    </row>
    <row r="39" spans="1:11" hidden="1" x14ac:dyDescent="0.3">
      <c r="A39" t="s">
        <v>92</v>
      </c>
      <c r="B39" t="s">
        <v>1402</v>
      </c>
      <c r="C39">
        <v>20556395820</v>
      </c>
      <c r="D39" t="s">
        <v>1374</v>
      </c>
      <c r="E39" s="1">
        <v>45922</v>
      </c>
      <c r="F39">
        <v>557.84</v>
      </c>
      <c r="G39" t="s">
        <v>1436</v>
      </c>
      <c r="H39">
        <v>11</v>
      </c>
      <c r="J39" s="1">
        <v>45945</v>
      </c>
      <c r="K39">
        <v>8</v>
      </c>
    </row>
    <row r="40" spans="1:11" hidden="1" x14ac:dyDescent="0.3">
      <c r="A40" t="s">
        <v>92</v>
      </c>
      <c r="B40" t="s">
        <v>285</v>
      </c>
      <c r="C40">
        <v>20602926703</v>
      </c>
      <c r="D40" t="s">
        <v>1374</v>
      </c>
      <c r="E40" s="1">
        <v>45922</v>
      </c>
      <c r="F40">
        <v>66.099999999999994</v>
      </c>
      <c r="G40" t="s">
        <v>1436</v>
      </c>
      <c r="H40">
        <v>11</v>
      </c>
      <c r="J40" s="1">
        <v>45946</v>
      </c>
      <c r="K40">
        <v>9</v>
      </c>
    </row>
    <row r="41" spans="1:11" hidden="1" x14ac:dyDescent="0.3">
      <c r="A41" t="s">
        <v>92</v>
      </c>
      <c r="B41" t="s">
        <v>1403</v>
      </c>
      <c r="C41">
        <v>20603283512</v>
      </c>
      <c r="D41" t="s">
        <v>1374</v>
      </c>
      <c r="E41" s="1">
        <v>45922</v>
      </c>
      <c r="F41">
        <v>363.37</v>
      </c>
      <c r="G41" t="s">
        <v>1436</v>
      </c>
      <c r="H41">
        <v>11</v>
      </c>
      <c r="J41" s="1">
        <v>45947</v>
      </c>
      <c r="K41">
        <v>10</v>
      </c>
    </row>
    <row r="42" spans="1:11" hidden="1" x14ac:dyDescent="0.3">
      <c r="A42" t="s">
        <v>93</v>
      </c>
      <c r="B42" t="s">
        <v>1404</v>
      </c>
      <c r="C42">
        <v>20138529445</v>
      </c>
      <c r="D42" t="s">
        <v>1374</v>
      </c>
      <c r="E42" s="1">
        <v>45922</v>
      </c>
      <c r="F42">
        <v>66.099999999999994</v>
      </c>
      <c r="G42" t="s">
        <v>1436</v>
      </c>
      <c r="H42">
        <v>11</v>
      </c>
      <c r="J42" s="39">
        <v>45948</v>
      </c>
      <c r="K42">
        <v>10</v>
      </c>
    </row>
    <row r="43" spans="1:11" hidden="1" x14ac:dyDescent="0.3">
      <c r="A43" t="s">
        <v>93</v>
      </c>
      <c r="B43" t="s">
        <v>1405</v>
      </c>
      <c r="C43">
        <v>20440355707</v>
      </c>
      <c r="D43" t="s">
        <v>1374</v>
      </c>
      <c r="E43" s="1">
        <v>45922</v>
      </c>
      <c r="F43">
        <v>66.099999999999994</v>
      </c>
      <c r="G43" t="s">
        <v>1436</v>
      </c>
      <c r="H43">
        <v>11</v>
      </c>
      <c r="J43" s="39">
        <v>45949</v>
      </c>
      <c r="K43">
        <v>10</v>
      </c>
    </row>
    <row r="44" spans="1:11" hidden="1" x14ac:dyDescent="0.3">
      <c r="A44" t="s">
        <v>92</v>
      </c>
      <c r="B44" t="s">
        <v>242</v>
      </c>
      <c r="C44">
        <v>20600907655</v>
      </c>
      <c r="D44" t="s">
        <v>1374</v>
      </c>
      <c r="E44" s="1">
        <v>45923</v>
      </c>
      <c r="F44">
        <v>66.099999999999994</v>
      </c>
      <c r="G44" t="s">
        <v>1436</v>
      </c>
      <c r="H44">
        <v>12</v>
      </c>
      <c r="J44" s="1">
        <v>45950</v>
      </c>
      <c r="K44">
        <v>11</v>
      </c>
    </row>
    <row r="45" spans="1:11" hidden="1" x14ac:dyDescent="0.3">
      <c r="A45" t="s">
        <v>93</v>
      </c>
      <c r="B45" t="s">
        <v>1406</v>
      </c>
      <c r="C45">
        <v>20349488958</v>
      </c>
      <c r="D45" t="s">
        <v>1374</v>
      </c>
      <c r="E45" s="1">
        <v>45923</v>
      </c>
      <c r="F45">
        <v>102.8</v>
      </c>
      <c r="G45" t="s">
        <v>1436</v>
      </c>
      <c r="H45">
        <v>12</v>
      </c>
      <c r="J45" s="1">
        <v>45951</v>
      </c>
      <c r="K45">
        <v>12</v>
      </c>
    </row>
    <row r="46" spans="1:11" hidden="1" x14ac:dyDescent="0.3">
      <c r="A46" t="s">
        <v>92</v>
      </c>
      <c r="B46" t="s">
        <v>1407</v>
      </c>
      <c r="C46">
        <v>20603895194</v>
      </c>
      <c r="D46" t="s">
        <v>1374</v>
      </c>
      <c r="E46" s="1">
        <v>45924</v>
      </c>
      <c r="F46">
        <v>184.48</v>
      </c>
      <c r="G46" t="s">
        <v>1436</v>
      </c>
      <c r="H46">
        <v>13</v>
      </c>
      <c r="J46" s="1">
        <v>45952</v>
      </c>
      <c r="K46">
        <v>13</v>
      </c>
    </row>
    <row r="47" spans="1:11" hidden="1" x14ac:dyDescent="0.3">
      <c r="A47" t="s">
        <v>92</v>
      </c>
      <c r="B47" t="s">
        <v>534</v>
      </c>
      <c r="C47">
        <v>20605412450</v>
      </c>
      <c r="D47" t="s">
        <v>1374</v>
      </c>
      <c r="E47" s="1">
        <v>45924</v>
      </c>
      <c r="F47">
        <v>126.57</v>
      </c>
      <c r="G47" t="s">
        <v>1436</v>
      </c>
      <c r="H47">
        <v>13</v>
      </c>
      <c r="J47" s="1">
        <v>45953</v>
      </c>
      <c r="K47">
        <v>14</v>
      </c>
    </row>
    <row r="48" spans="1:11" hidden="1" x14ac:dyDescent="0.3">
      <c r="A48" t="s">
        <v>92</v>
      </c>
      <c r="B48" t="s">
        <v>1408</v>
      </c>
      <c r="C48">
        <v>20606507870</v>
      </c>
      <c r="D48" t="s">
        <v>1374</v>
      </c>
      <c r="E48" s="1">
        <v>45924</v>
      </c>
      <c r="F48">
        <v>66.099999999999994</v>
      </c>
      <c r="G48" t="s">
        <v>1436</v>
      </c>
      <c r="H48">
        <v>13</v>
      </c>
      <c r="J48" s="1">
        <v>45954</v>
      </c>
      <c r="K48">
        <v>15</v>
      </c>
    </row>
    <row r="49" spans="1:11" x14ac:dyDescent="0.3">
      <c r="A49" t="s">
        <v>6</v>
      </c>
      <c r="B49" t="s">
        <v>1409</v>
      </c>
      <c r="C49">
        <v>20549673491</v>
      </c>
      <c r="D49" t="s">
        <v>1374</v>
      </c>
      <c r="E49" s="1">
        <v>45924</v>
      </c>
      <c r="F49">
        <v>61.1</v>
      </c>
      <c r="G49" t="s">
        <v>1436</v>
      </c>
      <c r="H49">
        <v>13</v>
      </c>
      <c r="J49" s="39">
        <v>45955</v>
      </c>
      <c r="K49">
        <v>15</v>
      </c>
    </row>
    <row r="50" spans="1:11" hidden="1" x14ac:dyDescent="0.3">
      <c r="A50" t="s">
        <v>92</v>
      </c>
      <c r="B50" t="s">
        <v>1410</v>
      </c>
      <c r="C50">
        <v>20554217657</v>
      </c>
      <c r="D50" t="s">
        <v>1374</v>
      </c>
      <c r="E50" s="1">
        <v>45925</v>
      </c>
      <c r="F50">
        <v>232.64</v>
      </c>
      <c r="G50" t="s">
        <v>1436</v>
      </c>
      <c r="H50">
        <v>14</v>
      </c>
      <c r="J50" s="39">
        <v>45956</v>
      </c>
      <c r="K50">
        <v>15</v>
      </c>
    </row>
    <row r="51" spans="1:11" hidden="1" x14ac:dyDescent="0.3">
      <c r="A51" t="s">
        <v>92</v>
      </c>
      <c r="B51" t="s">
        <v>1411</v>
      </c>
      <c r="C51">
        <v>20604194271</v>
      </c>
      <c r="D51" t="s">
        <v>1374</v>
      </c>
      <c r="E51" s="1">
        <v>45925</v>
      </c>
      <c r="F51">
        <v>66.099999999999994</v>
      </c>
      <c r="G51" t="s">
        <v>1436</v>
      </c>
      <c r="H51">
        <v>14</v>
      </c>
      <c r="J51" s="1">
        <v>45957</v>
      </c>
      <c r="K51">
        <v>16</v>
      </c>
    </row>
    <row r="52" spans="1:11" x14ac:dyDescent="0.3">
      <c r="A52" t="s">
        <v>6</v>
      </c>
      <c r="B52" t="s">
        <v>10</v>
      </c>
      <c r="C52">
        <v>20563578824</v>
      </c>
      <c r="D52" t="s">
        <v>1374</v>
      </c>
      <c r="E52" s="1">
        <v>45925</v>
      </c>
      <c r="F52">
        <v>66.099999999999994</v>
      </c>
      <c r="G52" t="s">
        <v>1436</v>
      </c>
      <c r="H52">
        <v>14</v>
      </c>
      <c r="J52" s="1">
        <v>45958</v>
      </c>
      <c r="K52">
        <v>17</v>
      </c>
    </row>
    <row r="53" spans="1:11" hidden="1" x14ac:dyDescent="0.3">
      <c r="A53" t="s">
        <v>92</v>
      </c>
      <c r="B53" t="s">
        <v>324</v>
      </c>
      <c r="C53">
        <v>10218025451</v>
      </c>
      <c r="D53" t="s">
        <v>1374</v>
      </c>
      <c r="E53" s="1">
        <v>45926</v>
      </c>
      <c r="F53">
        <v>66.099999999999994</v>
      </c>
      <c r="G53" t="s">
        <v>1436</v>
      </c>
      <c r="H53">
        <v>15</v>
      </c>
      <c r="J53" s="1">
        <v>45959</v>
      </c>
      <c r="K53">
        <v>18</v>
      </c>
    </row>
    <row r="54" spans="1:11" hidden="1" x14ac:dyDescent="0.3">
      <c r="A54" t="s">
        <v>92</v>
      </c>
      <c r="B54" t="s">
        <v>1412</v>
      </c>
      <c r="C54">
        <v>10305645945</v>
      </c>
      <c r="D54" t="s">
        <v>1374</v>
      </c>
      <c r="E54" s="1">
        <v>45926</v>
      </c>
      <c r="F54">
        <v>50</v>
      </c>
      <c r="G54" t="s">
        <v>1436</v>
      </c>
      <c r="H54">
        <v>15</v>
      </c>
      <c r="J54" s="1">
        <v>45960</v>
      </c>
      <c r="K54">
        <v>19</v>
      </c>
    </row>
    <row r="55" spans="1:11" hidden="1" x14ac:dyDescent="0.3">
      <c r="A55" t="s">
        <v>92</v>
      </c>
      <c r="B55" t="s">
        <v>1413</v>
      </c>
      <c r="C55">
        <v>10452440208</v>
      </c>
      <c r="D55" t="s">
        <v>1374</v>
      </c>
      <c r="E55" s="1">
        <v>45926</v>
      </c>
      <c r="F55">
        <v>204.84</v>
      </c>
      <c r="G55" t="s">
        <v>1436</v>
      </c>
      <c r="H55">
        <v>15</v>
      </c>
      <c r="J55" s="1">
        <v>45961</v>
      </c>
      <c r="K55">
        <v>20</v>
      </c>
    </row>
    <row r="56" spans="1:11" hidden="1" x14ac:dyDescent="0.3">
      <c r="A56" t="s">
        <v>92</v>
      </c>
      <c r="B56" t="s">
        <v>1414</v>
      </c>
      <c r="C56">
        <v>20550636728</v>
      </c>
      <c r="D56" t="s">
        <v>1374</v>
      </c>
      <c r="E56" s="1">
        <v>45926</v>
      </c>
      <c r="F56">
        <v>87.34</v>
      </c>
      <c r="G56" t="s">
        <v>1436</v>
      </c>
      <c r="H56">
        <v>15</v>
      </c>
      <c r="J56" s="39">
        <v>45962</v>
      </c>
      <c r="K56">
        <v>20</v>
      </c>
    </row>
    <row r="57" spans="1:11" hidden="1" x14ac:dyDescent="0.3">
      <c r="A57" t="s">
        <v>92</v>
      </c>
      <c r="B57" t="s">
        <v>1415</v>
      </c>
      <c r="C57">
        <v>20558317184</v>
      </c>
      <c r="D57" t="s">
        <v>1374</v>
      </c>
      <c r="E57" s="1">
        <v>45926</v>
      </c>
      <c r="F57">
        <v>66.099999999999994</v>
      </c>
      <c r="G57" t="s">
        <v>1436</v>
      </c>
      <c r="H57">
        <v>15</v>
      </c>
      <c r="J57" s="39">
        <v>45963</v>
      </c>
      <c r="K57">
        <v>20</v>
      </c>
    </row>
    <row r="58" spans="1:11" hidden="1" x14ac:dyDescent="0.3">
      <c r="A58" t="s">
        <v>93</v>
      </c>
      <c r="B58" t="s">
        <v>1416</v>
      </c>
      <c r="C58">
        <v>20291847049</v>
      </c>
      <c r="D58" t="s">
        <v>1374</v>
      </c>
      <c r="E58" s="1">
        <v>45926</v>
      </c>
      <c r="F58">
        <v>66.099999999999994</v>
      </c>
      <c r="G58" t="s">
        <v>1436</v>
      </c>
      <c r="H58">
        <v>15</v>
      </c>
      <c r="J58" s="1">
        <v>45964</v>
      </c>
      <c r="K58">
        <v>21</v>
      </c>
    </row>
    <row r="59" spans="1:11" hidden="1" x14ac:dyDescent="0.3">
      <c r="A59" t="s">
        <v>93</v>
      </c>
      <c r="B59" t="s">
        <v>1417</v>
      </c>
      <c r="C59">
        <v>20329560687</v>
      </c>
      <c r="D59" t="s">
        <v>1374</v>
      </c>
      <c r="E59" s="1">
        <v>45926</v>
      </c>
      <c r="F59">
        <v>66.099999999999994</v>
      </c>
      <c r="G59" t="s">
        <v>1436</v>
      </c>
      <c r="H59">
        <v>15</v>
      </c>
      <c r="J59" s="1">
        <v>45965</v>
      </c>
      <c r="K59">
        <v>22</v>
      </c>
    </row>
    <row r="60" spans="1:11" hidden="1" x14ac:dyDescent="0.3">
      <c r="A60" t="s">
        <v>93</v>
      </c>
      <c r="B60" t="s">
        <v>1418</v>
      </c>
      <c r="C60">
        <v>20609932776</v>
      </c>
      <c r="D60" t="s">
        <v>1374</v>
      </c>
      <c r="E60" s="1">
        <v>45926</v>
      </c>
      <c r="F60">
        <v>195.85</v>
      </c>
      <c r="G60" t="s">
        <v>1436</v>
      </c>
      <c r="H60">
        <v>15</v>
      </c>
      <c r="J60" s="1">
        <v>45966</v>
      </c>
      <c r="K60">
        <v>23</v>
      </c>
    </row>
    <row r="61" spans="1:11" x14ac:dyDescent="0.3">
      <c r="A61" t="s">
        <v>6</v>
      </c>
      <c r="B61" t="s">
        <v>1419</v>
      </c>
      <c r="C61">
        <v>20571604974</v>
      </c>
      <c r="D61" t="s">
        <v>1374</v>
      </c>
      <c r="E61" s="1">
        <v>45926</v>
      </c>
      <c r="F61">
        <v>66.099999999999994</v>
      </c>
      <c r="G61" t="s">
        <v>1436</v>
      </c>
      <c r="H61">
        <v>15</v>
      </c>
      <c r="J61" s="1">
        <v>45967</v>
      </c>
      <c r="K61">
        <v>1</v>
      </c>
    </row>
    <row r="62" spans="1:11" hidden="1" x14ac:dyDescent="0.3">
      <c r="A62" t="s">
        <v>92</v>
      </c>
      <c r="B62" t="s">
        <v>433</v>
      </c>
      <c r="C62">
        <v>20610185640</v>
      </c>
      <c r="D62" t="s">
        <v>1374</v>
      </c>
      <c r="E62" s="1">
        <v>45929</v>
      </c>
      <c r="F62">
        <v>69.319999999999993</v>
      </c>
      <c r="G62" t="s">
        <v>1436</v>
      </c>
      <c r="H62">
        <v>16</v>
      </c>
      <c r="J62" s="1">
        <v>45968</v>
      </c>
      <c r="K62">
        <v>2</v>
      </c>
    </row>
    <row r="63" spans="1:11" hidden="1" x14ac:dyDescent="0.3">
      <c r="A63" t="s">
        <v>93</v>
      </c>
      <c r="B63" t="s">
        <v>1420</v>
      </c>
      <c r="C63">
        <v>20425853431</v>
      </c>
      <c r="D63" t="s">
        <v>1374</v>
      </c>
      <c r="E63" s="1">
        <v>45929</v>
      </c>
      <c r="F63">
        <v>66.099999999999994</v>
      </c>
      <c r="G63" t="s">
        <v>1436</v>
      </c>
      <c r="H63">
        <v>16</v>
      </c>
      <c r="J63" s="39">
        <v>45969</v>
      </c>
      <c r="K63">
        <v>2</v>
      </c>
    </row>
    <row r="64" spans="1:11" hidden="1" x14ac:dyDescent="0.3">
      <c r="A64" t="s">
        <v>92</v>
      </c>
      <c r="B64" t="s">
        <v>281</v>
      </c>
      <c r="C64">
        <v>20495669999</v>
      </c>
      <c r="D64" t="s">
        <v>1374</v>
      </c>
      <c r="E64" s="1">
        <v>45930</v>
      </c>
      <c r="F64">
        <v>69.319999999999993</v>
      </c>
      <c r="G64" t="s">
        <v>1436</v>
      </c>
      <c r="H64">
        <v>17</v>
      </c>
      <c r="J64" s="39">
        <v>45970</v>
      </c>
      <c r="K64">
        <v>2</v>
      </c>
    </row>
    <row r="65" spans="1:11" hidden="1" x14ac:dyDescent="0.3">
      <c r="A65" t="s">
        <v>92</v>
      </c>
      <c r="B65" t="s">
        <v>1421</v>
      </c>
      <c r="C65">
        <v>20553517835</v>
      </c>
      <c r="D65" t="s">
        <v>1374</v>
      </c>
      <c r="E65" s="1">
        <v>45930</v>
      </c>
      <c r="F65">
        <v>575.69000000000005</v>
      </c>
      <c r="G65" t="s">
        <v>1436</v>
      </c>
      <c r="H65">
        <v>17</v>
      </c>
      <c r="J65" s="1">
        <v>45971</v>
      </c>
      <c r="K65">
        <v>3</v>
      </c>
    </row>
    <row r="66" spans="1:11" hidden="1" x14ac:dyDescent="0.3">
      <c r="A66" t="s">
        <v>92</v>
      </c>
      <c r="B66" t="s">
        <v>1422</v>
      </c>
      <c r="C66">
        <v>20602820271</v>
      </c>
      <c r="D66" t="s">
        <v>1374</v>
      </c>
      <c r="E66" s="1">
        <v>45930</v>
      </c>
      <c r="F66">
        <v>66.099999999999994</v>
      </c>
      <c r="G66" t="s">
        <v>1436</v>
      </c>
      <c r="H66">
        <v>17</v>
      </c>
      <c r="J66" s="1">
        <v>45972</v>
      </c>
      <c r="K66">
        <v>4</v>
      </c>
    </row>
    <row r="67" spans="1:11" hidden="1" x14ac:dyDescent="0.3">
      <c r="A67" t="s">
        <v>93</v>
      </c>
      <c r="B67" t="s">
        <v>1423</v>
      </c>
      <c r="C67">
        <v>20551703712</v>
      </c>
      <c r="D67" t="s">
        <v>1374</v>
      </c>
      <c r="E67" s="1">
        <v>45930</v>
      </c>
      <c r="F67">
        <v>66.099999999999994</v>
      </c>
      <c r="G67" t="s">
        <v>1436</v>
      </c>
      <c r="H67">
        <v>17</v>
      </c>
      <c r="J67" s="1">
        <v>45973</v>
      </c>
      <c r="K67">
        <v>5</v>
      </c>
    </row>
    <row r="68" spans="1:11" hidden="1" x14ac:dyDescent="0.3">
      <c r="A68" t="s">
        <v>92</v>
      </c>
      <c r="B68" t="s">
        <v>170</v>
      </c>
      <c r="C68">
        <v>20610010645</v>
      </c>
      <c r="D68" t="s">
        <v>1374</v>
      </c>
      <c r="E68" s="1">
        <v>45931</v>
      </c>
      <c r="F68">
        <v>86.1</v>
      </c>
      <c r="G68" t="s">
        <v>1436</v>
      </c>
      <c r="H68">
        <v>18</v>
      </c>
      <c r="J68" s="1">
        <v>45974</v>
      </c>
      <c r="K68">
        <v>6</v>
      </c>
    </row>
    <row r="69" spans="1:11" hidden="1" x14ac:dyDescent="0.3">
      <c r="A69" t="s">
        <v>92</v>
      </c>
      <c r="B69" t="s">
        <v>1424</v>
      </c>
      <c r="C69">
        <v>10011467852</v>
      </c>
      <c r="D69" t="s">
        <v>1374</v>
      </c>
      <c r="E69" s="1">
        <v>45933</v>
      </c>
      <c r="F69">
        <v>66.099999999999994</v>
      </c>
      <c r="G69" t="s">
        <v>1436</v>
      </c>
      <c r="H69">
        <v>20</v>
      </c>
      <c r="J69" s="1">
        <v>45975</v>
      </c>
      <c r="K69">
        <v>7</v>
      </c>
    </row>
    <row r="70" spans="1:11" hidden="1" x14ac:dyDescent="0.3">
      <c r="A70" t="s">
        <v>92</v>
      </c>
      <c r="B70" t="s">
        <v>1425</v>
      </c>
      <c r="C70">
        <v>20512827013</v>
      </c>
      <c r="D70" t="s">
        <v>1374</v>
      </c>
      <c r="E70" s="1">
        <v>45933</v>
      </c>
      <c r="F70">
        <v>66.099999999999994</v>
      </c>
      <c r="G70" t="s">
        <v>1436</v>
      </c>
      <c r="H70">
        <v>20</v>
      </c>
      <c r="J70" s="39">
        <v>45976</v>
      </c>
      <c r="K70">
        <v>7</v>
      </c>
    </row>
    <row r="71" spans="1:11" hidden="1" x14ac:dyDescent="0.3">
      <c r="A71" t="s">
        <v>92</v>
      </c>
      <c r="B71" t="s">
        <v>560</v>
      </c>
      <c r="C71">
        <v>20602727816</v>
      </c>
      <c r="D71" t="s">
        <v>1374</v>
      </c>
      <c r="E71" s="1">
        <v>45933</v>
      </c>
      <c r="F71">
        <v>66.099999999999994</v>
      </c>
      <c r="G71" t="s">
        <v>1436</v>
      </c>
      <c r="H71">
        <v>20</v>
      </c>
      <c r="J71" s="39">
        <v>45977</v>
      </c>
      <c r="K71">
        <v>7</v>
      </c>
    </row>
    <row r="72" spans="1:11" hidden="1" x14ac:dyDescent="0.3">
      <c r="A72" t="s">
        <v>92</v>
      </c>
      <c r="B72" t="s">
        <v>1403</v>
      </c>
      <c r="C72">
        <v>20603283512</v>
      </c>
      <c r="D72" t="s">
        <v>1374</v>
      </c>
      <c r="E72" s="1">
        <v>45933</v>
      </c>
      <c r="F72">
        <v>373.38</v>
      </c>
      <c r="G72" t="s">
        <v>1436</v>
      </c>
      <c r="H72">
        <v>20</v>
      </c>
      <c r="J72" s="1">
        <v>45978</v>
      </c>
      <c r="K72">
        <v>8</v>
      </c>
    </row>
    <row r="73" spans="1:11" hidden="1" x14ac:dyDescent="0.3">
      <c r="A73" t="s">
        <v>92</v>
      </c>
      <c r="B73" t="s">
        <v>1426</v>
      </c>
      <c r="C73">
        <v>20603720131</v>
      </c>
      <c r="D73" t="s">
        <v>1374</v>
      </c>
      <c r="E73" s="1">
        <v>45933</v>
      </c>
      <c r="F73">
        <v>66.099999999999994</v>
      </c>
      <c r="G73" t="s">
        <v>1436</v>
      </c>
      <c r="H73">
        <v>20</v>
      </c>
      <c r="J73" s="1">
        <v>45979</v>
      </c>
      <c r="K73">
        <v>9</v>
      </c>
    </row>
    <row r="74" spans="1:11" hidden="1" x14ac:dyDescent="0.3">
      <c r="A74" t="s">
        <v>93</v>
      </c>
      <c r="B74" t="s">
        <v>1427</v>
      </c>
      <c r="C74">
        <v>20255139755</v>
      </c>
      <c r="D74" t="s">
        <v>1374</v>
      </c>
      <c r="E74" s="1">
        <v>45933</v>
      </c>
      <c r="F74">
        <v>66.099999999999994</v>
      </c>
      <c r="G74" t="s">
        <v>1436</v>
      </c>
      <c r="H74">
        <v>20</v>
      </c>
      <c r="J74" s="1">
        <v>45980</v>
      </c>
      <c r="K74">
        <v>10</v>
      </c>
    </row>
    <row r="75" spans="1:11" hidden="1" x14ac:dyDescent="0.3">
      <c r="A75" t="s">
        <v>93</v>
      </c>
      <c r="B75" t="s">
        <v>1428</v>
      </c>
      <c r="C75">
        <v>20602546391</v>
      </c>
      <c r="D75" t="s">
        <v>1374</v>
      </c>
      <c r="E75" s="1">
        <v>45933</v>
      </c>
      <c r="F75">
        <v>66.099999999999994</v>
      </c>
      <c r="G75" t="s">
        <v>1436</v>
      </c>
      <c r="H75">
        <v>20</v>
      </c>
      <c r="J75" s="1">
        <v>45981</v>
      </c>
      <c r="K75">
        <v>11</v>
      </c>
    </row>
    <row r="76" spans="1:11" hidden="1" x14ac:dyDescent="0.3">
      <c r="A76" t="s">
        <v>92</v>
      </c>
      <c r="B76" t="s">
        <v>377</v>
      </c>
      <c r="C76">
        <v>10471707851</v>
      </c>
      <c r="D76" t="s">
        <v>1374</v>
      </c>
      <c r="E76" s="1">
        <v>45936</v>
      </c>
      <c r="F76">
        <v>140.36000000000001</v>
      </c>
      <c r="G76" t="s">
        <v>1436</v>
      </c>
      <c r="H76">
        <v>1</v>
      </c>
      <c r="J76" s="1">
        <v>45982</v>
      </c>
      <c r="K76">
        <v>12</v>
      </c>
    </row>
    <row r="77" spans="1:11" hidden="1" x14ac:dyDescent="0.3">
      <c r="A77" t="s">
        <v>92</v>
      </c>
      <c r="B77" t="s">
        <v>1429</v>
      </c>
      <c r="C77">
        <v>20555713097</v>
      </c>
      <c r="D77" t="s">
        <v>1374</v>
      </c>
      <c r="E77" s="1">
        <v>45936</v>
      </c>
      <c r="F77">
        <v>66.099999999999994</v>
      </c>
      <c r="G77" t="s">
        <v>1436</v>
      </c>
      <c r="H77">
        <v>1</v>
      </c>
      <c r="J77" s="39">
        <v>45983</v>
      </c>
      <c r="K77">
        <v>12</v>
      </c>
    </row>
    <row r="78" spans="1:11" hidden="1" x14ac:dyDescent="0.3">
      <c r="A78" t="s">
        <v>92</v>
      </c>
      <c r="B78" t="s">
        <v>1430</v>
      </c>
      <c r="C78">
        <v>20609537486</v>
      </c>
      <c r="D78" t="s">
        <v>1374</v>
      </c>
      <c r="E78" s="1">
        <v>45936</v>
      </c>
      <c r="F78">
        <v>70</v>
      </c>
      <c r="G78" t="s">
        <v>1436</v>
      </c>
      <c r="H78">
        <v>1</v>
      </c>
      <c r="J78" s="39">
        <v>45984</v>
      </c>
      <c r="K78">
        <v>12</v>
      </c>
    </row>
    <row r="79" spans="1:11" hidden="1" x14ac:dyDescent="0.3">
      <c r="A79" t="s">
        <v>875</v>
      </c>
      <c r="B79" t="s">
        <v>1431</v>
      </c>
      <c r="C79">
        <v>20482477179</v>
      </c>
      <c r="D79" t="s">
        <v>1374</v>
      </c>
      <c r="E79" s="1">
        <v>45936</v>
      </c>
      <c r="F79">
        <v>66.099999999999994</v>
      </c>
      <c r="G79" t="s">
        <v>1436</v>
      </c>
      <c r="H79">
        <v>1</v>
      </c>
      <c r="J79" s="1">
        <v>45985</v>
      </c>
      <c r="K79">
        <v>13</v>
      </c>
    </row>
    <row r="80" spans="1:11" hidden="1" x14ac:dyDescent="0.3">
      <c r="A80" t="s">
        <v>93</v>
      </c>
      <c r="B80" t="s">
        <v>94</v>
      </c>
      <c r="C80">
        <v>20421292168</v>
      </c>
      <c r="D80" t="s">
        <v>1374</v>
      </c>
      <c r="E80" s="1">
        <v>45936</v>
      </c>
      <c r="F80">
        <v>66.099999999999994</v>
      </c>
      <c r="G80" t="s">
        <v>1436</v>
      </c>
      <c r="H80">
        <v>1</v>
      </c>
      <c r="J80" s="1">
        <v>45986</v>
      </c>
      <c r="K80">
        <v>14</v>
      </c>
    </row>
    <row r="81" spans="1:11" hidden="1" x14ac:dyDescent="0.3">
      <c r="A81" t="s">
        <v>93</v>
      </c>
      <c r="B81" t="s">
        <v>1432</v>
      </c>
      <c r="C81">
        <v>20527749345</v>
      </c>
      <c r="D81" t="s">
        <v>1374</v>
      </c>
      <c r="E81" s="1">
        <v>45936</v>
      </c>
      <c r="F81">
        <v>66.099999999999994</v>
      </c>
      <c r="G81" t="s">
        <v>1436</v>
      </c>
      <c r="H81">
        <v>1</v>
      </c>
      <c r="J81" s="1">
        <v>45987</v>
      </c>
      <c r="K81">
        <v>15</v>
      </c>
    </row>
    <row r="82" spans="1:11" hidden="1" x14ac:dyDescent="0.3">
      <c r="A82" t="s">
        <v>93</v>
      </c>
      <c r="B82" t="s">
        <v>1433</v>
      </c>
      <c r="C82">
        <v>20604411409</v>
      </c>
      <c r="D82" t="s">
        <v>1374</v>
      </c>
      <c r="E82" s="1">
        <v>45936</v>
      </c>
      <c r="F82">
        <v>425.78</v>
      </c>
      <c r="G82" t="s">
        <v>1436</v>
      </c>
      <c r="H82">
        <v>1</v>
      </c>
      <c r="J82" s="1">
        <v>45988</v>
      </c>
      <c r="K82">
        <v>16</v>
      </c>
    </row>
    <row r="83" spans="1:11" x14ac:dyDescent="0.3">
      <c r="A83" t="s">
        <v>6</v>
      </c>
      <c r="B83" t="s">
        <v>1434</v>
      </c>
      <c r="C83">
        <v>20613019295</v>
      </c>
      <c r="D83" t="s">
        <v>1374</v>
      </c>
      <c r="E83" s="1">
        <v>45936</v>
      </c>
      <c r="F83">
        <v>282.06</v>
      </c>
      <c r="G83" t="s">
        <v>1436</v>
      </c>
      <c r="H83">
        <v>1</v>
      </c>
      <c r="J83" s="1">
        <v>45989</v>
      </c>
      <c r="K83">
        <v>17</v>
      </c>
    </row>
    <row r="84" spans="1:11" hidden="1" x14ac:dyDescent="0.3">
      <c r="A84" t="s">
        <v>875</v>
      </c>
      <c r="B84" t="s">
        <v>1431</v>
      </c>
      <c r="C84">
        <v>20482477179</v>
      </c>
      <c r="D84" t="s">
        <v>1374</v>
      </c>
      <c r="E84" s="1">
        <v>45936</v>
      </c>
      <c r="F84">
        <v>66.099999999999994</v>
      </c>
      <c r="G84" t="s">
        <v>1437</v>
      </c>
      <c r="H84">
        <v>1</v>
      </c>
      <c r="J84" s="39">
        <v>45990</v>
      </c>
      <c r="K84">
        <v>17</v>
      </c>
    </row>
    <row r="85" spans="1:11" hidden="1" x14ac:dyDescent="0.3">
      <c r="A85" t="s">
        <v>93</v>
      </c>
      <c r="B85" t="s">
        <v>1435</v>
      </c>
      <c r="C85">
        <v>20506946400</v>
      </c>
      <c r="D85" t="s">
        <v>1374</v>
      </c>
      <c r="E85" s="1">
        <v>45937</v>
      </c>
      <c r="F85">
        <v>66.099999999999994</v>
      </c>
      <c r="G85" t="s">
        <v>1436</v>
      </c>
      <c r="H85">
        <v>2</v>
      </c>
      <c r="J85" s="39">
        <v>45991</v>
      </c>
      <c r="K85">
        <v>17</v>
      </c>
    </row>
    <row r="86" spans="1:11" hidden="1" x14ac:dyDescent="0.3">
      <c r="A86" t="s">
        <v>92</v>
      </c>
      <c r="B86" t="s">
        <v>818</v>
      </c>
      <c r="C86">
        <v>20613896288</v>
      </c>
      <c r="D86" t="s">
        <v>1374</v>
      </c>
      <c r="E86" s="1">
        <v>45939</v>
      </c>
      <c r="F86">
        <v>66.099999999999994</v>
      </c>
      <c r="G86" t="s">
        <v>1437</v>
      </c>
      <c r="H86">
        <v>4</v>
      </c>
      <c r="J86" s="1">
        <v>45992</v>
      </c>
      <c r="K86">
        <v>18</v>
      </c>
    </row>
    <row r="87" spans="1:11" hidden="1" x14ac:dyDescent="0.3">
      <c r="A87" t="s">
        <v>875</v>
      </c>
      <c r="B87" t="s">
        <v>882</v>
      </c>
      <c r="C87">
        <v>20514740152</v>
      </c>
      <c r="D87" t="s">
        <v>1374</v>
      </c>
      <c r="E87" s="1">
        <v>45939</v>
      </c>
      <c r="F87">
        <v>1227.52</v>
      </c>
      <c r="G87" t="s">
        <v>1437</v>
      </c>
      <c r="H87">
        <v>4</v>
      </c>
      <c r="J87" s="1">
        <v>45993</v>
      </c>
      <c r="K87">
        <v>19</v>
      </c>
    </row>
    <row r="88" spans="1:11" hidden="1" x14ac:dyDescent="0.3">
      <c r="A88" t="s">
        <v>92</v>
      </c>
      <c r="B88" t="s">
        <v>832</v>
      </c>
      <c r="C88">
        <v>10401937094</v>
      </c>
      <c r="D88" t="s">
        <v>1374</v>
      </c>
      <c r="E88" s="1">
        <v>45940</v>
      </c>
      <c r="F88">
        <v>313.77999999999997</v>
      </c>
      <c r="G88" t="s">
        <v>1437</v>
      </c>
      <c r="H88">
        <v>5</v>
      </c>
      <c r="J88" s="1">
        <v>45994</v>
      </c>
      <c r="K88">
        <v>20</v>
      </c>
    </row>
    <row r="89" spans="1:11" hidden="1" x14ac:dyDescent="0.3">
      <c r="A89" t="s">
        <v>875</v>
      </c>
      <c r="B89" t="s">
        <v>880</v>
      </c>
      <c r="C89">
        <v>20503986419</v>
      </c>
      <c r="D89" t="s">
        <v>1374</v>
      </c>
      <c r="E89" s="1">
        <v>45940</v>
      </c>
      <c r="F89">
        <v>1438.42</v>
      </c>
      <c r="G89" t="s">
        <v>1437</v>
      </c>
      <c r="H89">
        <v>5</v>
      </c>
      <c r="J89" s="1">
        <v>45995</v>
      </c>
      <c r="K89">
        <v>21</v>
      </c>
    </row>
    <row r="90" spans="1:11" hidden="1" x14ac:dyDescent="0.3">
      <c r="A90" t="s">
        <v>875</v>
      </c>
      <c r="B90" t="s">
        <v>1438</v>
      </c>
      <c r="C90">
        <v>20505144555</v>
      </c>
      <c r="D90" t="s">
        <v>1374</v>
      </c>
      <c r="E90" s="1">
        <v>45940</v>
      </c>
      <c r="F90">
        <v>1137.33</v>
      </c>
      <c r="G90" t="s">
        <v>1437</v>
      </c>
      <c r="H90">
        <v>5</v>
      </c>
      <c r="J90" s="1">
        <v>45996</v>
      </c>
      <c r="K90">
        <v>22</v>
      </c>
    </row>
    <row r="91" spans="1:11" hidden="1" x14ac:dyDescent="0.3">
      <c r="A91" t="s">
        <v>875</v>
      </c>
      <c r="B91" t="s">
        <v>878</v>
      </c>
      <c r="C91">
        <v>20565246144</v>
      </c>
      <c r="D91" t="s">
        <v>1374</v>
      </c>
      <c r="E91" s="1">
        <v>45940</v>
      </c>
      <c r="F91">
        <v>139.41</v>
      </c>
      <c r="G91" t="s">
        <v>1437</v>
      </c>
      <c r="H91">
        <v>5</v>
      </c>
      <c r="J91" s="39">
        <v>45997</v>
      </c>
      <c r="K91">
        <v>1</v>
      </c>
    </row>
    <row r="92" spans="1:11" hidden="1" x14ac:dyDescent="0.3">
      <c r="A92" t="s">
        <v>92</v>
      </c>
      <c r="B92" t="s">
        <v>1439</v>
      </c>
      <c r="C92">
        <v>20568877099</v>
      </c>
      <c r="D92" t="s">
        <v>1374</v>
      </c>
      <c r="E92" s="1">
        <v>45941</v>
      </c>
      <c r="F92">
        <v>66.099999999999994</v>
      </c>
      <c r="G92" t="s">
        <v>1437</v>
      </c>
      <c r="H92">
        <v>5</v>
      </c>
      <c r="J92" s="39">
        <v>45998</v>
      </c>
      <c r="K92">
        <v>1</v>
      </c>
    </row>
    <row r="93" spans="1:11" hidden="1" x14ac:dyDescent="0.3">
      <c r="A93" t="s">
        <v>92</v>
      </c>
      <c r="B93" t="s">
        <v>892</v>
      </c>
      <c r="C93">
        <v>20601372933</v>
      </c>
      <c r="D93" t="s">
        <v>1374</v>
      </c>
      <c r="E93" s="1">
        <v>45941</v>
      </c>
      <c r="F93">
        <v>100.73</v>
      </c>
      <c r="G93" t="s">
        <v>1437</v>
      </c>
      <c r="H93">
        <v>5</v>
      </c>
      <c r="J93" s="1">
        <v>45999</v>
      </c>
      <c r="K93">
        <v>1</v>
      </c>
    </row>
    <row r="94" spans="1:11" hidden="1" x14ac:dyDescent="0.3">
      <c r="A94" t="s">
        <v>875</v>
      </c>
      <c r="B94" t="s">
        <v>1440</v>
      </c>
      <c r="C94">
        <v>20519499780</v>
      </c>
      <c r="D94" t="s">
        <v>1374</v>
      </c>
      <c r="E94" s="1">
        <v>45941</v>
      </c>
      <c r="F94">
        <v>225</v>
      </c>
      <c r="G94" t="s">
        <v>1437</v>
      </c>
      <c r="H94">
        <v>5</v>
      </c>
      <c r="J94" s="1">
        <v>46000</v>
      </c>
      <c r="K94">
        <v>1</v>
      </c>
    </row>
    <row r="95" spans="1:11" hidden="1" x14ac:dyDescent="0.3">
      <c r="A95" t="s">
        <v>875</v>
      </c>
      <c r="B95" t="s">
        <v>964</v>
      </c>
      <c r="C95">
        <v>20527601356</v>
      </c>
      <c r="D95" t="s">
        <v>1374</v>
      </c>
      <c r="E95" s="1">
        <v>45941</v>
      </c>
      <c r="F95">
        <v>788.66</v>
      </c>
      <c r="G95" t="s">
        <v>1437</v>
      </c>
      <c r="H95">
        <v>5</v>
      </c>
      <c r="J95" s="1">
        <v>46001</v>
      </c>
      <c r="K95">
        <v>1</v>
      </c>
    </row>
    <row r="96" spans="1:11" hidden="1" x14ac:dyDescent="0.3">
      <c r="A96" t="s">
        <v>93</v>
      </c>
      <c r="B96" t="s">
        <v>1441</v>
      </c>
      <c r="C96">
        <v>10211417779</v>
      </c>
      <c r="D96" t="s">
        <v>1374</v>
      </c>
      <c r="E96" s="1">
        <v>45941</v>
      </c>
      <c r="F96">
        <v>66.099999999999994</v>
      </c>
      <c r="G96" t="s">
        <v>1437</v>
      </c>
      <c r="H96">
        <v>5</v>
      </c>
      <c r="J96" s="1">
        <v>46002</v>
      </c>
      <c r="K96">
        <v>1</v>
      </c>
    </row>
    <row r="97" spans="1:11" hidden="1" x14ac:dyDescent="0.3">
      <c r="A97" t="s">
        <v>92</v>
      </c>
      <c r="B97" t="s">
        <v>1442</v>
      </c>
      <c r="C97">
        <v>20547326513</v>
      </c>
      <c r="D97" t="s">
        <v>1374</v>
      </c>
      <c r="E97" s="1">
        <v>45943</v>
      </c>
      <c r="F97">
        <v>66.099999999999994</v>
      </c>
      <c r="G97" t="s">
        <v>1437</v>
      </c>
      <c r="H97">
        <v>6</v>
      </c>
      <c r="J97" s="1">
        <v>46003</v>
      </c>
      <c r="K97">
        <v>1</v>
      </c>
    </row>
    <row r="98" spans="1:11" hidden="1" x14ac:dyDescent="0.3">
      <c r="A98" t="s">
        <v>92</v>
      </c>
      <c r="B98" t="s">
        <v>843</v>
      </c>
      <c r="C98">
        <v>20556106496</v>
      </c>
      <c r="D98" t="s">
        <v>1374</v>
      </c>
      <c r="E98" s="1">
        <v>45943</v>
      </c>
      <c r="F98">
        <v>72.77</v>
      </c>
      <c r="G98" t="s">
        <v>1437</v>
      </c>
      <c r="H98">
        <v>6</v>
      </c>
      <c r="J98" s="39">
        <v>46004</v>
      </c>
      <c r="K98">
        <v>1</v>
      </c>
    </row>
    <row r="99" spans="1:11" hidden="1" x14ac:dyDescent="0.3">
      <c r="A99" t="s">
        <v>92</v>
      </c>
      <c r="B99" t="s">
        <v>1443</v>
      </c>
      <c r="C99">
        <v>20605464689</v>
      </c>
      <c r="D99" t="s">
        <v>1374</v>
      </c>
      <c r="E99" s="1">
        <v>45943</v>
      </c>
      <c r="F99">
        <v>66.099999999999994</v>
      </c>
      <c r="G99" t="s">
        <v>1437</v>
      </c>
      <c r="H99">
        <v>6</v>
      </c>
      <c r="J99" s="39">
        <v>46005</v>
      </c>
      <c r="K99">
        <v>1</v>
      </c>
    </row>
    <row r="100" spans="1:11" hidden="1" x14ac:dyDescent="0.3">
      <c r="A100" t="s">
        <v>92</v>
      </c>
      <c r="B100" t="s">
        <v>885</v>
      </c>
      <c r="C100">
        <v>10105351173</v>
      </c>
      <c r="D100" t="s">
        <v>1374</v>
      </c>
      <c r="E100" s="1">
        <v>45944</v>
      </c>
      <c r="F100">
        <v>76.510000000000005</v>
      </c>
      <c r="G100" t="s">
        <v>1437</v>
      </c>
      <c r="H100">
        <v>7</v>
      </c>
      <c r="J100" s="1">
        <v>46006</v>
      </c>
      <c r="K100">
        <v>2</v>
      </c>
    </row>
    <row r="101" spans="1:11" hidden="1" x14ac:dyDescent="0.3">
      <c r="A101" t="s">
        <v>92</v>
      </c>
      <c r="B101" t="s">
        <v>1444</v>
      </c>
      <c r="C101">
        <v>20538565351</v>
      </c>
      <c r="D101" t="s">
        <v>1374</v>
      </c>
      <c r="E101" s="1">
        <v>45944</v>
      </c>
      <c r="F101">
        <v>66.099999999999994</v>
      </c>
      <c r="G101" t="s">
        <v>1437</v>
      </c>
      <c r="H101">
        <v>7</v>
      </c>
      <c r="J101" s="1">
        <v>46007</v>
      </c>
      <c r="K101">
        <v>3</v>
      </c>
    </row>
    <row r="102" spans="1:11" hidden="1" x14ac:dyDescent="0.3">
      <c r="A102" t="s">
        <v>92</v>
      </c>
      <c r="B102" t="s">
        <v>716</v>
      </c>
      <c r="C102">
        <v>20601459630</v>
      </c>
      <c r="D102" t="s">
        <v>1374</v>
      </c>
      <c r="E102" s="1">
        <v>45944</v>
      </c>
      <c r="F102">
        <v>244.15</v>
      </c>
      <c r="G102" t="s">
        <v>1437</v>
      </c>
      <c r="H102">
        <v>7</v>
      </c>
      <c r="J102" s="1">
        <v>46008</v>
      </c>
      <c r="K102">
        <v>4</v>
      </c>
    </row>
    <row r="103" spans="1:11" hidden="1" x14ac:dyDescent="0.3">
      <c r="A103" t="s">
        <v>875</v>
      </c>
      <c r="B103" t="s">
        <v>1124</v>
      </c>
      <c r="C103">
        <v>20494424089</v>
      </c>
      <c r="D103" t="s">
        <v>1374</v>
      </c>
      <c r="E103" s="1">
        <v>45944</v>
      </c>
      <c r="F103">
        <v>363</v>
      </c>
      <c r="G103" t="s">
        <v>1437</v>
      </c>
      <c r="H103">
        <v>7</v>
      </c>
      <c r="J103" s="1">
        <v>46009</v>
      </c>
      <c r="K103">
        <v>5</v>
      </c>
    </row>
    <row r="104" spans="1:11" hidden="1" x14ac:dyDescent="0.3">
      <c r="A104" t="s">
        <v>875</v>
      </c>
      <c r="B104" t="s">
        <v>962</v>
      </c>
      <c r="C104">
        <v>20555887672</v>
      </c>
      <c r="D104" t="s">
        <v>1374</v>
      </c>
      <c r="E104" s="1">
        <v>45944</v>
      </c>
      <c r="F104">
        <v>747.88</v>
      </c>
      <c r="G104" t="s">
        <v>1437</v>
      </c>
      <c r="H104">
        <v>7</v>
      </c>
      <c r="J104" s="1">
        <v>46010</v>
      </c>
      <c r="K104">
        <v>6</v>
      </c>
    </row>
    <row r="105" spans="1:11" hidden="1" x14ac:dyDescent="0.3">
      <c r="A105" t="s">
        <v>92</v>
      </c>
      <c r="B105" t="s">
        <v>781</v>
      </c>
      <c r="C105">
        <v>10752224434</v>
      </c>
      <c r="D105" t="s">
        <v>1374</v>
      </c>
      <c r="E105" s="1">
        <v>45945</v>
      </c>
      <c r="F105">
        <v>93</v>
      </c>
      <c r="G105" t="s">
        <v>1437</v>
      </c>
      <c r="H105">
        <v>8</v>
      </c>
      <c r="J105" s="39">
        <v>46011</v>
      </c>
      <c r="K105">
        <v>6</v>
      </c>
    </row>
    <row r="106" spans="1:11" hidden="1" x14ac:dyDescent="0.3">
      <c r="A106" t="s">
        <v>92</v>
      </c>
      <c r="B106" t="s">
        <v>845</v>
      </c>
      <c r="C106">
        <v>20558353814</v>
      </c>
      <c r="D106" t="s">
        <v>1374</v>
      </c>
      <c r="E106" s="1">
        <v>45945</v>
      </c>
      <c r="F106">
        <v>66.099999999999994</v>
      </c>
      <c r="G106" t="s">
        <v>1437</v>
      </c>
      <c r="H106">
        <v>8</v>
      </c>
      <c r="J106" s="39">
        <v>46012</v>
      </c>
      <c r="K106">
        <v>6</v>
      </c>
    </row>
    <row r="107" spans="1:11" hidden="1" x14ac:dyDescent="0.3">
      <c r="A107" t="s">
        <v>92</v>
      </c>
      <c r="B107" t="s">
        <v>917</v>
      </c>
      <c r="C107">
        <v>20601232660</v>
      </c>
      <c r="D107" t="s">
        <v>1374</v>
      </c>
      <c r="E107" s="1">
        <v>45945</v>
      </c>
      <c r="F107">
        <v>66.099999999999994</v>
      </c>
      <c r="G107" t="s">
        <v>1437</v>
      </c>
      <c r="H107">
        <v>8</v>
      </c>
      <c r="J107" s="1">
        <v>46013</v>
      </c>
      <c r="K107">
        <v>7</v>
      </c>
    </row>
    <row r="108" spans="1:11" hidden="1" x14ac:dyDescent="0.3">
      <c r="A108" t="s">
        <v>92</v>
      </c>
      <c r="B108" t="s">
        <v>1445</v>
      </c>
      <c r="C108">
        <v>20602433138</v>
      </c>
      <c r="D108" t="s">
        <v>1374</v>
      </c>
      <c r="E108" s="1">
        <v>45945</v>
      </c>
      <c r="F108">
        <v>196</v>
      </c>
      <c r="G108" t="s">
        <v>1437</v>
      </c>
      <c r="H108">
        <v>8</v>
      </c>
      <c r="J108" s="1">
        <v>46014</v>
      </c>
      <c r="K108">
        <v>8</v>
      </c>
    </row>
    <row r="109" spans="1:11" hidden="1" x14ac:dyDescent="0.3">
      <c r="A109" t="s">
        <v>92</v>
      </c>
      <c r="B109" t="s">
        <v>1446</v>
      </c>
      <c r="C109">
        <v>20604512442</v>
      </c>
      <c r="D109" t="s">
        <v>1374</v>
      </c>
      <c r="E109" s="1">
        <v>45945</v>
      </c>
      <c r="F109">
        <v>66.099999999999994</v>
      </c>
      <c r="G109" t="s">
        <v>1437</v>
      </c>
      <c r="H109">
        <v>8</v>
      </c>
      <c r="J109" s="1">
        <v>46015</v>
      </c>
      <c r="K109">
        <v>9</v>
      </c>
    </row>
    <row r="110" spans="1:11" hidden="1" x14ac:dyDescent="0.3">
      <c r="A110" t="s">
        <v>92</v>
      </c>
      <c r="B110" t="s">
        <v>1447</v>
      </c>
      <c r="C110">
        <v>20607855294</v>
      </c>
      <c r="D110" t="s">
        <v>1374</v>
      </c>
      <c r="E110" s="1">
        <v>45945</v>
      </c>
      <c r="F110">
        <v>69.099999999999994</v>
      </c>
      <c r="G110" t="s">
        <v>1437</v>
      </c>
      <c r="H110">
        <v>8</v>
      </c>
      <c r="J110" s="1">
        <v>46016</v>
      </c>
      <c r="K110">
        <v>10</v>
      </c>
    </row>
    <row r="111" spans="1:11" hidden="1" x14ac:dyDescent="0.3">
      <c r="A111" t="s">
        <v>92</v>
      </c>
      <c r="B111" t="s">
        <v>895</v>
      </c>
      <c r="C111">
        <v>20608422022</v>
      </c>
      <c r="D111" t="s">
        <v>1374</v>
      </c>
      <c r="E111" s="1">
        <v>45945</v>
      </c>
      <c r="F111">
        <v>66.099999999999994</v>
      </c>
      <c r="G111" t="s">
        <v>1437</v>
      </c>
      <c r="H111">
        <v>8</v>
      </c>
      <c r="J111" s="1">
        <v>46017</v>
      </c>
      <c r="K111">
        <v>11</v>
      </c>
    </row>
    <row r="112" spans="1:11" hidden="1" x14ac:dyDescent="0.3">
      <c r="A112" t="s">
        <v>92</v>
      </c>
      <c r="B112" t="s">
        <v>896</v>
      </c>
      <c r="C112">
        <v>20610437916</v>
      </c>
      <c r="D112" t="s">
        <v>1374</v>
      </c>
      <c r="E112" s="1">
        <v>45945</v>
      </c>
      <c r="F112">
        <v>101.75</v>
      </c>
      <c r="G112" t="s">
        <v>1437</v>
      </c>
      <c r="H112">
        <v>8</v>
      </c>
      <c r="J112" s="39">
        <v>46018</v>
      </c>
      <c r="K112">
        <v>11</v>
      </c>
    </row>
    <row r="113" spans="1:11" hidden="1" x14ac:dyDescent="0.3">
      <c r="A113" t="s">
        <v>92</v>
      </c>
      <c r="B113" t="s">
        <v>986</v>
      </c>
      <c r="C113">
        <v>20613086430</v>
      </c>
      <c r="D113" t="s">
        <v>1374</v>
      </c>
      <c r="E113" s="1">
        <v>45945</v>
      </c>
      <c r="F113">
        <v>66.099999999999994</v>
      </c>
      <c r="G113" t="s">
        <v>1437</v>
      </c>
      <c r="H113">
        <v>8</v>
      </c>
      <c r="J113" s="39">
        <v>46019</v>
      </c>
      <c r="K113">
        <v>11</v>
      </c>
    </row>
    <row r="114" spans="1:11" hidden="1" x14ac:dyDescent="0.3">
      <c r="A114" t="s">
        <v>92</v>
      </c>
      <c r="B114" t="s">
        <v>817</v>
      </c>
      <c r="C114">
        <v>20613624032</v>
      </c>
      <c r="D114" t="s">
        <v>1374</v>
      </c>
      <c r="E114" s="1">
        <v>45945</v>
      </c>
      <c r="F114">
        <v>192.31</v>
      </c>
      <c r="G114" t="s">
        <v>1437</v>
      </c>
      <c r="H114">
        <v>8</v>
      </c>
      <c r="J114" s="1">
        <v>46020</v>
      </c>
      <c r="K114">
        <v>12</v>
      </c>
    </row>
    <row r="115" spans="1:11" hidden="1" x14ac:dyDescent="0.3">
      <c r="A115" t="s">
        <v>875</v>
      </c>
      <c r="B115" t="s">
        <v>1448</v>
      </c>
      <c r="C115">
        <v>20393039737</v>
      </c>
      <c r="D115" t="s">
        <v>1374</v>
      </c>
      <c r="E115" s="1">
        <v>45945</v>
      </c>
      <c r="F115">
        <v>390</v>
      </c>
      <c r="G115" t="s">
        <v>1437</v>
      </c>
      <c r="H115">
        <v>8</v>
      </c>
      <c r="J115" s="1">
        <v>46021</v>
      </c>
      <c r="K115">
        <v>13</v>
      </c>
    </row>
    <row r="116" spans="1:11" hidden="1" x14ac:dyDescent="0.3">
      <c r="A116" t="s">
        <v>875</v>
      </c>
      <c r="B116" t="s">
        <v>1449</v>
      </c>
      <c r="C116">
        <v>20477349243</v>
      </c>
      <c r="D116" t="s">
        <v>1374</v>
      </c>
      <c r="E116" s="1">
        <v>45945</v>
      </c>
      <c r="F116">
        <v>1823.02</v>
      </c>
      <c r="G116" t="s">
        <v>1437</v>
      </c>
      <c r="H116">
        <v>8</v>
      </c>
      <c r="J116" s="1">
        <v>46022</v>
      </c>
      <c r="K116">
        <v>14</v>
      </c>
    </row>
    <row r="117" spans="1:11" hidden="1" x14ac:dyDescent="0.3">
      <c r="A117" t="s">
        <v>92</v>
      </c>
      <c r="B117" t="s">
        <v>1015</v>
      </c>
      <c r="C117">
        <v>10107087881</v>
      </c>
      <c r="D117" t="s">
        <v>1374</v>
      </c>
      <c r="E117" s="1">
        <v>45946</v>
      </c>
      <c r="F117">
        <v>66.099999999999994</v>
      </c>
      <c r="G117" t="s">
        <v>1437</v>
      </c>
      <c r="H117">
        <v>9</v>
      </c>
      <c r="J117" s="1">
        <v>46023</v>
      </c>
      <c r="K117">
        <v>15</v>
      </c>
    </row>
    <row r="118" spans="1:11" hidden="1" x14ac:dyDescent="0.3">
      <c r="A118" t="s">
        <v>92</v>
      </c>
      <c r="B118" t="s">
        <v>1450</v>
      </c>
      <c r="C118">
        <v>10295907024</v>
      </c>
      <c r="D118" t="s">
        <v>1374</v>
      </c>
      <c r="E118" s="1">
        <v>45946</v>
      </c>
      <c r="F118">
        <v>50</v>
      </c>
      <c r="G118" t="s">
        <v>1437</v>
      </c>
      <c r="H118">
        <v>9</v>
      </c>
      <c r="J118" s="1">
        <v>46024</v>
      </c>
      <c r="K118">
        <v>16</v>
      </c>
    </row>
    <row r="119" spans="1:11" hidden="1" x14ac:dyDescent="0.3">
      <c r="A119" t="s">
        <v>92</v>
      </c>
      <c r="B119" t="s">
        <v>970</v>
      </c>
      <c r="C119">
        <v>20518875061</v>
      </c>
      <c r="D119" t="s">
        <v>1374</v>
      </c>
      <c r="E119" s="1">
        <v>45946</v>
      </c>
      <c r="F119">
        <v>66.099999999999994</v>
      </c>
      <c r="G119" t="s">
        <v>1437</v>
      </c>
      <c r="H119">
        <v>9</v>
      </c>
      <c r="J119" s="39">
        <v>46025</v>
      </c>
      <c r="K119">
        <v>16</v>
      </c>
    </row>
    <row r="120" spans="1:11" hidden="1" x14ac:dyDescent="0.3">
      <c r="A120" t="s">
        <v>92</v>
      </c>
      <c r="B120" t="s">
        <v>753</v>
      </c>
      <c r="C120">
        <v>20547907168</v>
      </c>
      <c r="D120" t="s">
        <v>1374</v>
      </c>
      <c r="E120" s="1">
        <v>45946</v>
      </c>
      <c r="F120">
        <v>150</v>
      </c>
      <c r="G120" t="s">
        <v>1437</v>
      </c>
      <c r="H120">
        <v>9</v>
      </c>
      <c r="J120" s="39">
        <v>46026</v>
      </c>
      <c r="K120">
        <v>16</v>
      </c>
    </row>
    <row r="121" spans="1:11" hidden="1" x14ac:dyDescent="0.3">
      <c r="A121" t="s">
        <v>92</v>
      </c>
      <c r="B121" t="s">
        <v>756</v>
      </c>
      <c r="C121">
        <v>20600316851</v>
      </c>
      <c r="D121" t="s">
        <v>1374</v>
      </c>
      <c r="E121" s="1">
        <v>45946</v>
      </c>
      <c r="F121">
        <v>66.099999999999994</v>
      </c>
      <c r="G121" t="s">
        <v>1437</v>
      </c>
      <c r="H121">
        <v>9</v>
      </c>
      <c r="J121" s="1">
        <v>45662</v>
      </c>
      <c r="K121">
        <v>17</v>
      </c>
    </row>
    <row r="122" spans="1:11" hidden="1" x14ac:dyDescent="0.3">
      <c r="A122" t="s">
        <v>92</v>
      </c>
      <c r="B122" t="s">
        <v>1451</v>
      </c>
      <c r="C122">
        <v>20609541203</v>
      </c>
      <c r="D122" t="s">
        <v>1374</v>
      </c>
      <c r="E122" s="1">
        <v>45946</v>
      </c>
      <c r="F122">
        <v>119.88</v>
      </c>
      <c r="G122" t="s">
        <v>1437</v>
      </c>
      <c r="H122">
        <v>9</v>
      </c>
      <c r="J122" s="1">
        <v>45663</v>
      </c>
      <c r="K122">
        <v>18</v>
      </c>
    </row>
    <row r="123" spans="1:11" hidden="1" x14ac:dyDescent="0.3">
      <c r="A123" t="s">
        <v>92</v>
      </c>
      <c r="B123" t="s">
        <v>1032</v>
      </c>
      <c r="C123">
        <v>20614396173</v>
      </c>
      <c r="D123" t="s">
        <v>1374</v>
      </c>
      <c r="E123" s="1">
        <v>45946</v>
      </c>
      <c r="F123">
        <v>66.099999999999994</v>
      </c>
      <c r="G123" t="s">
        <v>1437</v>
      </c>
      <c r="H123">
        <v>9</v>
      </c>
      <c r="J123" s="1">
        <v>45664</v>
      </c>
      <c r="K123">
        <v>19</v>
      </c>
    </row>
    <row r="124" spans="1:11" hidden="1" x14ac:dyDescent="0.3">
      <c r="A124" t="s">
        <v>875</v>
      </c>
      <c r="B124" t="s">
        <v>876</v>
      </c>
      <c r="C124">
        <v>20456334971</v>
      </c>
      <c r="D124" t="s">
        <v>1374</v>
      </c>
      <c r="E124" s="1">
        <v>45946</v>
      </c>
      <c r="F124">
        <v>79.569999999999993</v>
      </c>
      <c r="G124" t="s">
        <v>1437</v>
      </c>
      <c r="H124">
        <v>9</v>
      </c>
      <c r="J124" s="1">
        <v>45665</v>
      </c>
      <c r="K124">
        <v>20</v>
      </c>
    </row>
    <row r="125" spans="1:11" hidden="1" x14ac:dyDescent="0.3">
      <c r="A125" t="s">
        <v>93</v>
      </c>
      <c r="B125" t="s">
        <v>1452</v>
      </c>
      <c r="C125">
        <v>20493824563</v>
      </c>
      <c r="D125" t="s">
        <v>1374</v>
      </c>
      <c r="E125" s="1">
        <v>45946</v>
      </c>
      <c r="F125">
        <v>66.099999999999994</v>
      </c>
      <c r="G125" t="s">
        <v>1437</v>
      </c>
      <c r="H125">
        <v>9</v>
      </c>
      <c r="J125" s="1">
        <v>45666</v>
      </c>
      <c r="K125">
        <v>21</v>
      </c>
    </row>
    <row r="126" spans="1:11" hidden="1" x14ac:dyDescent="0.3">
      <c r="A126" t="s">
        <v>93</v>
      </c>
      <c r="B126" t="s">
        <v>1453</v>
      </c>
      <c r="C126">
        <v>20523401794</v>
      </c>
      <c r="D126" t="s">
        <v>1374</v>
      </c>
      <c r="E126" s="1">
        <v>45946</v>
      </c>
      <c r="F126">
        <v>66.099999999999994</v>
      </c>
      <c r="G126" t="s">
        <v>1437</v>
      </c>
      <c r="H126">
        <v>9</v>
      </c>
      <c r="J126" s="39">
        <v>45667</v>
      </c>
      <c r="K126">
        <v>21</v>
      </c>
    </row>
    <row r="127" spans="1:11" hidden="1" x14ac:dyDescent="0.3">
      <c r="A127" t="s">
        <v>92</v>
      </c>
      <c r="B127" t="s">
        <v>1454</v>
      </c>
      <c r="C127">
        <v>20482298916</v>
      </c>
      <c r="D127" t="s">
        <v>1374</v>
      </c>
      <c r="E127" s="1">
        <v>45947</v>
      </c>
      <c r="F127">
        <v>157.19999999999999</v>
      </c>
      <c r="G127" t="s">
        <v>1437</v>
      </c>
      <c r="H127">
        <v>10</v>
      </c>
      <c r="J127" s="39">
        <v>45668</v>
      </c>
      <c r="K127">
        <v>21</v>
      </c>
    </row>
    <row r="128" spans="1:11" hidden="1" x14ac:dyDescent="0.3">
      <c r="A128" t="s">
        <v>92</v>
      </c>
      <c r="B128" t="s">
        <v>1455</v>
      </c>
      <c r="C128">
        <v>20509113069</v>
      </c>
      <c r="D128" t="s">
        <v>1374</v>
      </c>
      <c r="E128" s="1">
        <v>45947</v>
      </c>
      <c r="F128">
        <v>66.099999999999994</v>
      </c>
      <c r="G128" t="s">
        <v>1437</v>
      </c>
      <c r="H128">
        <v>10</v>
      </c>
      <c r="J128" s="58">
        <v>45669</v>
      </c>
      <c r="K128">
        <v>22</v>
      </c>
    </row>
    <row r="129" spans="1:8" hidden="1" x14ac:dyDescent="0.3">
      <c r="A129" t="s">
        <v>92</v>
      </c>
      <c r="B129" t="s">
        <v>808</v>
      </c>
      <c r="C129">
        <v>20604243263</v>
      </c>
      <c r="D129" t="s">
        <v>1374</v>
      </c>
      <c r="E129" s="1">
        <v>45947</v>
      </c>
      <c r="F129">
        <v>66.099999999999994</v>
      </c>
      <c r="G129" t="s">
        <v>1437</v>
      </c>
      <c r="H129">
        <v>10</v>
      </c>
    </row>
    <row r="130" spans="1:8" hidden="1" x14ac:dyDescent="0.3">
      <c r="A130" t="s">
        <v>92</v>
      </c>
      <c r="B130" t="s">
        <v>809</v>
      </c>
      <c r="C130">
        <v>20607390909</v>
      </c>
      <c r="D130" t="s">
        <v>1374</v>
      </c>
      <c r="E130" s="1">
        <v>45947</v>
      </c>
      <c r="F130">
        <v>66.099999999999994</v>
      </c>
      <c r="G130" t="s">
        <v>1437</v>
      </c>
      <c r="H130">
        <v>10</v>
      </c>
    </row>
    <row r="131" spans="1:8" hidden="1" x14ac:dyDescent="0.3">
      <c r="A131" t="s">
        <v>92</v>
      </c>
      <c r="B131" t="s">
        <v>1456</v>
      </c>
      <c r="C131">
        <v>20611513489</v>
      </c>
      <c r="D131" t="s">
        <v>1374</v>
      </c>
      <c r="E131" s="1">
        <v>45947</v>
      </c>
      <c r="F131">
        <v>132.12</v>
      </c>
      <c r="G131" t="s">
        <v>1437</v>
      </c>
      <c r="H131">
        <v>10</v>
      </c>
    </row>
    <row r="132" spans="1:8" hidden="1" x14ac:dyDescent="0.3">
      <c r="A132" t="s">
        <v>92</v>
      </c>
      <c r="B132" t="s">
        <v>1457</v>
      </c>
      <c r="C132">
        <v>20612047708</v>
      </c>
      <c r="D132" t="s">
        <v>1374</v>
      </c>
      <c r="E132" s="1">
        <v>45947</v>
      </c>
      <c r="F132">
        <v>79.819999999999993</v>
      </c>
      <c r="G132" t="s">
        <v>1437</v>
      </c>
      <c r="H132">
        <v>10</v>
      </c>
    </row>
    <row r="133" spans="1:8" hidden="1" x14ac:dyDescent="0.3">
      <c r="A133" t="s">
        <v>92</v>
      </c>
      <c r="B133" t="s">
        <v>1458</v>
      </c>
      <c r="C133">
        <v>20612470562</v>
      </c>
      <c r="D133" t="s">
        <v>1374</v>
      </c>
      <c r="E133" s="1">
        <v>45947</v>
      </c>
      <c r="F133">
        <v>96.67</v>
      </c>
      <c r="G133" t="s">
        <v>1437</v>
      </c>
      <c r="H133">
        <v>10</v>
      </c>
    </row>
    <row r="134" spans="1:8" hidden="1" x14ac:dyDescent="0.3">
      <c r="A134" t="s">
        <v>875</v>
      </c>
      <c r="B134" t="s">
        <v>1440</v>
      </c>
      <c r="C134">
        <v>20519499780</v>
      </c>
      <c r="D134" t="s">
        <v>1374</v>
      </c>
      <c r="E134" s="1">
        <v>45947</v>
      </c>
      <c r="F134">
        <v>514.07000000000005</v>
      </c>
      <c r="G134" t="s">
        <v>1437</v>
      </c>
      <c r="H134">
        <v>10</v>
      </c>
    </row>
    <row r="135" spans="1:8" hidden="1" x14ac:dyDescent="0.3">
      <c r="A135" t="s">
        <v>875</v>
      </c>
      <c r="B135" t="s">
        <v>960</v>
      </c>
      <c r="C135">
        <v>20544273443</v>
      </c>
      <c r="D135" t="s">
        <v>1374</v>
      </c>
      <c r="E135" s="1">
        <v>45947</v>
      </c>
      <c r="F135">
        <v>478.42</v>
      </c>
      <c r="G135" t="s">
        <v>1437</v>
      </c>
      <c r="H135">
        <v>10</v>
      </c>
    </row>
    <row r="136" spans="1:8" hidden="1" x14ac:dyDescent="0.3">
      <c r="A136" t="s">
        <v>92</v>
      </c>
      <c r="B136" t="s">
        <v>1459</v>
      </c>
      <c r="C136">
        <v>20613337955</v>
      </c>
      <c r="D136" t="s">
        <v>1374</v>
      </c>
      <c r="E136" s="1">
        <v>45948</v>
      </c>
      <c r="F136">
        <v>69.099999999999994</v>
      </c>
      <c r="G136" t="s">
        <v>1437</v>
      </c>
      <c r="H136">
        <v>10</v>
      </c>
    </row>
    <row r="137" spans="1:8" hidden="1" x14ac:dyDescent="0.3">
      <c r="A137" t="s">
        <v>92</v>
      </c>
      <c r="B137" t="s">
        <v>1460</v>
      </c>
      <c r="C137">
        <v>10413861468</v>
      </c>
      <c r="D137" t="s">
        <v>1374</v>
      </c>
      <c r="E137" s="1">
        <v>45950</v>
      </c>
      <c r="F137">
        <v>66.099999999999994</v>
      </c>
      <c r="G137" t="s">
        <v>1437</v>
      </c>
      <c r="H137">
        <v>11</v>
      </c>
    </row>
    <row r="138" spans="1:8" hidden="1" x14ac:dyDescent="0.3">
      <c r="A138" t="s">
        <v>875</v>
      </c>
      <c r="B138" t="s">
        <v>1124</v>
      </c>
      <c r="C138">
        <v>20494424089</v>
      </c>
      <c r="D138" t="s">
        <v>1374</v>
      </c>
      <c r="E138" s="1">
        <v>45950</v>
      </c>
      <c r="F138">
        <v>317.5</v>
      </c>
      <c r="G138" t="s">
        <v>1437</v>
      </c>
      <c r="H138">
        <v>11</v>
      </c>
    </row>
    <row r="139" spans="1:8" hidden="1" x14ac:dyDescent="0.3">
      <c r="A139" t="s">
        <v>875</v>
      </c>
      <c r="B139" t="s">
        <v>1079</v>
      </c>
      <c r="C139">
        <v>20509470848</v>
      </c>
      <c r="D139" t="s">
        <v>1374</v>
      </c>
      <c r="E139" s="1">
        <v>45950</v>
      </c>
      <c r="F139">
        <v>1222</v>
      </c>
      <c r="G139" t="s">
        <v>1437</v>
      </c>
      <c r="H139">
        <v>11</v>
      </c>
    </row>
    <row r="140" spans="1:8" hidden="1" x14ac:dyDescent="0.3">
      <c r="A140" t="s">
        <v>92</v>
      </c>
      <c r="B140" t="s">
        <v>799</v>
      </c>
      <c r="C140">
        <v>20506731209</v>
      </c>
      <c r="D140" t="s">
        <v>1374</v>
      </c>
      <c r="E140" s="1">
        <v>45951</v>
      </c>
      <c r="F140">
        <v>66.099999999999994</v>
      </c>
      <c r="G140" t="s">
        <v>1437</v>
      </c>
      <c r="H140">
        <v>12</v>
      </c>
    </row>
    <row r="141" spans="1:8" hidden="1" x14ac:dyDescent="0.3">
      <c r="A141" t="s">
        <v>92</v>
      </c>
      <c r="B141" t="s">
        <v>1461</v>
      </c>
      <c r="C141">
        <v>20536670158</v>
      </c>
      <c r="D141" t="s">
        <v>1374</v>
      </c>
      <c r="E141" s="1">
        <v>45951</v>
      </c>
      <c r="F141">
        <v>85.73</v>
      </c>
      <c r="G141" t="s">
        <v>1437</v>
      </c>
      <c r="H141">
        <v>12</v>
      </c>
    </row>
    <row r="142" spans="1:8" hidden="1" x14ac:dyDescent="0.3">
      <c r="A142" t="s">
        <v>92</v>
      </c>
      <c r="B142" t="s">
        <v>1462</v>
      </c>
      <c r="C142">
        <v>20602218652</v>
      </c>
      <c r="D142" t="s">
        <v>1374</v>
      </c>
      <c r="E142" s="1">
        <v>45951</v>
      </c>
      <c r="F142">
        <v>66.099999999999994</v>
      </c>
      <c r="G142" t="s">
        <v>1437</v>
      </c>
      <c r="H142">
        <v>12</v>
      </c>
    </row>
    <row r="143" spans="1:8" hidden="1" x14ac:dyDescent="0.3">
      <c r="A143" t="s">
        <v>92</v>
      </c>
      <c r="B143" t="s">
        <v>1463</v>
      </c>
      <c r="C143">
        <v>20603361904</v>
      </c>
      <c r="D143" t="s">
        <v>1374</v>
      </c>
      <c r="E143" s="1">
        <v>45951</v>
      </c>
      <c r="F143">
        <v>81.38</v>
      </c>
      <c r="G143" t="s">
        <v>1437</v>
      </c>
      <c r="H143">
        <v>12</v>
      </c>
    </row>
    <row r="144" spans="1:8" hidden="1" x14ac:dyDescent="0.3">
      <c r="A144" t="s">
        <v>92</v>
      </c>
      <c r="B144" t="s">
        <v>1464</v>
      </c>
      <c r="C144">
        <v>20606092050</v>
      </c>
      <c r="D144" t="s">
        <v>1374</v>
      </c>
      <c r="E144" s="1">
        <v>45951</v>
      </c>
      <c r="F144">
        <v>66.099999999999994</v>
      </c>
      <c r="G144" t="s">
        <v>1437</v>
      </c>
      <c r="H144">
        <v>12</v>
      </c>
    </row>
    <row r="145" spans="1:8" hidden="1" x14ac:dyDescent="0.3">
      <c r="A145" t="s">
        <v>92</v>
      </c>
      <c r="B145" t="s">
        <v>898</v>
      </c>
      <c r="C145">
        <v>20612237183</v>
      </c>
      <c r="D145" t="s">
        <v>1374</v>
      </c>
      <c r="E145" s="1">
        <v>45951</v>
      </c>
      <c r="F145">
        <v>66.099999999999994</v>
      </c>
      <c r="G145" t="s">
        <v>1437</v>
      </c>
      <c r="H145">
        <v>12</v>
      </c>
    </row>
    <row r="146" spans="1:8" hidden="1" x14ac:dyDescent="0.3">
      <c r="A146" t="s">
        <v>875</v>
      </c>
      <c r="B146" t="s">
        <v>1150</v>
      </c>
      <c r="C146">
        <v>20509793779</v>
      </c>
      <c r="D146" t="s">
        <v>1374</v>
      </c>
      <c r="E146" s="1">
        <v>45951</v>
      </c>
      <c r="F146">
        <v>543.42999999999995</v>
      </c>
      <c r="G146" t="s">
        <v>1437</v>
      </c>
      <c r="H146">
        <v>12</v>
      </c>
    </row>
    <row r="147" spans="1:8" hidden="1" x14ac:dyDescent="0.3">
      <c r="A147" t="s">
        <v>875</v>
      </c>
      <c r="B147" t="s">
        <v>882</v>
      </c>
      <c r="C147">
        <v>20514740152</v>
      </c>
      <c r="D147" t="s">
        <v>1374</v>
      </c>
      <c r="E147" s="1">
        <v>45951</v>
      </c>
      <c r="F147">
        <v>1268</v>
      </c>
      <c r="G147" t="s">
        <v>1437</v>
      </c>
      <c r="H147">
        <v>12</v>
      </c>
    </row>
    <row r="148" spans="1:8" hidden="1" x14ac:dyDescent="0.3">
      <c r="A148" t="s">
        <v>92</v>
      </c>
      <c r="B148" t="s">
        <v>1465</v>
      </c>
      <c r="C148">
        <v>20607453757</v>
      </c>
      <c r="D148" t="s">
        <v>1374</v>
      </c>
      <c r="E148" s="1">
        <v>45952</v>
      </c>
      <c r="F148">
        <v>80.819999999999993</v>
      </c>
      <c r="G148" t="s">
        <v>1437</v>
      </c>
      <c r="H148">
        <v>13</v>
      </c>
    </row>
    <row r="149" spans="1:8" hidden="1" x14ac:dyDescent="0.3">
      <c r="A149" t="s">
        <v>92</v>
      </c>
      <c r="B149" t="s">
        <v>905</v>
      </c>
      <c r="C149">
        <v>20607713368</v>
      </c>
      <c r="D149" t="s">
        <v>1374</v>
      </c>
      <c r="E149" s="1">
        <v>45952</v>
      </c>
      <c r="F149">
        <v>110</v>
      </c>
      <c r="G149" t="s">
        <v>1437</v>
      </c>
      <c r="H149">
        <v>13</v>
      </c>
    </row>
    <row r="150" spans="1:8" hidden="1" x14ac:dyDescent="0.3">
      <c r="A150" t="s">
        <v>93</v>
      </c>
      <c r="B150" t="s">
        <v>1466</v>
      </c>
      <c r="C150">
        <v>20523203721</v>
      </c>
      <c r="D150" t="s">
        <v>1374</v>
      </c>
      <c r="E150" s="1">
        <v>45952</v>
      </c>
      <c r="F150">
        <v>66.099999999999994</v>
      </c>
      <c r="G150" t="s">
        <v>1437</v>
      </c>
      <c r="H150">
        <v>13</v>
      </c>
    </row>
    <row r="151" spans="1:8" hidden="1" x14ac:dyDescent="0.3">
      <c r="A151" t="s">
        <v>92</v>
      </c>
      <c r="B151" t="s">
        <v>1179</v>
      </c>
      <c r="C151">
        <v>20192099464</v>
      </c>
      <c r="D151" t="s">
        <v>1374</v>
      </c>
      <c r="E151" s="1">
        <v>45953</v>
      </c>
      <c r="F151">
        <v>66.099999999999994</v>
      </c>
      <c r="G151" t="s">
        <v>1437</v>
      </c>
      <c r="H151">
        <v>14</v>
      </c>
    </row>
    <row r="152" spans="1:8" hidden="1" x14ac:dyDescent="0.3">
      <c r="A152" t="s">
        <v>875</v>
      </c>
      <c r="B152" t="s">
        <v>1013</v>
      </c>
      <c r="C152">
        <v>20534144602</v>
      </c>
      <c r="D152" t="s">
        <v>1374</v>
      </c>
      <c r="E152" s="1">
        <v>45953</v>
      </c>
      <c r="F152">
        <v>271.33</v>
      </c>
      <c r="G152" t="s">
        <v>1437</v>
      </c>
      <c r="H152">
        <v>14</v>
      </c>
    </row>
    <row r="153" spans="1:8" hidden="1" x14ac:dyDescent="0.3">
      <c r="A153" t="s">
        <v>93</v>
      </c>
      <c r="B153" t="s">
        <v>1265</v>
      </c>
      <c r="C153">
        <v>20518314468</v>
      </c>
      <c r="D153" t="s">
        <v>1374</v>
      </c>
      <c r="E153" s="1">
        <v>45953</v>
      </c>
      <c r="F153">
        <v>66.099999999999994</v>
      </c>
      <c r="G153" t="s">
        <v>1437</v>
      </c>
      <c r="H153">
        <v>14</v>
      </c>
    </row>
    <row r="154" spans="1:8" hidden="1" x14ac:dyDescent="0.3">
      <c r="A154" t="s">
        <v>92</v>
      </c>
      <c r="B154" t="s">
        <v>947</v>
      </c>
      <c r="C154">
        <v>20609346907</v>
      </c>
      <c r="D154" t="s">
        <v>1374</v>
      </c>
      <c r="E154" s="1">
        <v>45954</v>
      </c>
      <c r="F154">
        <v>69.099999999999994</v>
      </c>
      <c r="G154" t="s">
        <v>1437</v>
      </c>
      <c r="H154">
        <v>15</v>
      </c>
    </row>
    <row r="155" spans="1:8" hidden="1" x14ac:dyDescent="0.3">
      <c r="A155" t="s">
        <v>92</v>
      </c>
      <c r="B155" t="s">
        <v>921</v>
      </c>
      <c r="C155">
        <v>20610289887</v>
      </c>
      <c r="D155" t="s">
        <v>1374</v>
      </c>
      <c r="E155" s="1">
        <v>45954</v>
      </c>
      <c r="F155">
        <v>71.27</v>
      </c>
      <c r="G155" t="s">
        <v>1437</v>
      </c>
      <c r="H155">
        <v>15</v>
      </c>
    </row>
    <row r="156" spans="1:8" hidden="1" x14ac:dyDescent="0.3">
      <c r="A156" t="s">
        <v>92</v>
      </c>
      <c r="B156" t="s">
        <v>738</v>
      </c>
      <c r="C156">
        <v>20613811835</v>
      </c>
      <c r="D156" t="s">
        <v>1374</v>
      </c>
      <c r="E156" s="1">
        <v>45954</v>
      </c>
      <c r="F156">
        <v>66.099999999999994</v>
      </c>
      <c r="G156" t="s">
        <v>1437</v>
      </c>
      <c r="H156">
        <v>15</v>
      </c>
    </row>
    <row r="157" spans="1:8" hidden="1" x14ac:dyDescent="0.3">
      <c r="A157" t="s">
        <v>875</v>
      </c>
      <c r="B157" t="s">
        <v>1467</v>
      </c>
      <c r="C157">
        <v>20508114843</v>
      </c>
      <c r="D157" t="s">
        <v>1374</v>
      </c>
      <c r="E157" s="1">
        <v>45954</v>
      </c>
      <c r="F157">
        <v>193.2</v>
      </c>
      <c r="G157" t="s">
        <v>1437</v>
      </c>
      <c r="H157">
        <v>15</v>
      </c>
    </row>
    <row r="158" spans="1:8" hidden="1" x14ac:dyDescent="0.3">
      <c r="A158" t="s">
        <v>93</v>
      </c>
      <c r="B158" t="s">
        <v>1468</v>
      </c>
      <c r="C158">
        <v>20504874746</v>
      </c>
      <c r="D158" t="s">
        <v>1374</v>
      </c>
      <c r="E158" s="1">
        <v>45954</v>
      </c>
      <c r="F158">
        <v>66.099999999999994</v>
      </c>
      <c r="G158" t="s">
        <v>1437</v>
      </c>
      <c r="H158">
        <v>15</v>
      </c>
    </row>
    <row r="159" spans="1:8" hidden="1" x14ac:dyDescent="0.3">
      <c r="A159" t="s">
        <v>92</v>
      </c>
      <c r="B159" t="s">
        <v>1089</v>
      </c>
      <c r="C159">
        <v>20614128365</v>
      </c>
      <c r="D159" t="s">
        <v>1374</v>
      </c>
      <c r="E159" s="1">
        <v>45957</v>
      </c>
      <c r="F159">
        <v>85</v>
      </c>
      <c r="G159" t="s">
        <v>1437</v>
      </c>
      <c r="H159">
        <v>16</v>
      </c>
    </row>
    <row r="160" spans="1:8" hidden="1" x14ac:dyDescent="0.3">
      <c r="A160" t="s">
        <v>93</v>
      </c>
      <c r="B160" t="s">
        <v>1234</v>
      </c>
      <c r="C160">
        <v>20512709088</v>
      </c>
      <c r="D160" t="s">
        <v>1374</v>
      </c>
      <c r="E160" s="1">
        <v>45957</v>
      </c>
      <c r="F160">
        <v>66.099999999999994</v>
      </c>
      <c r="G160" t="s">
        <v>1437</v>
      </c>
      <c r="H160">
        <v>16</v>
      </c>
    </row>
    <row r="161" spans="1:8" hidden="1" x14ac:dyDescent="0.3">
      <c r="A161" t="s">
        <v>93</v>
      </c>
      <c r="B161" t="s">
        <v>1392</v>
      </c>
      <c r="C161">
        <v>20565209290</v>
      </c>
      <c r="D161" t="s">
        <v>1374</v>
      </c>
      <c r="E161" s="1">
        <v>45957</v>
      </c>
      <c r="F161">
        <v>120.23</v>
      </c>
      <c r="G161" t="s">
        <v>1437</v>
      </c>
      <c r="H161">
        <v>16</v>
      </c>
    </row>
    <row r="162" spans="1:8" hidden="1" x14ac:dyDescent="0.3">
      <c r="A162" t="s">
        <v>92</v>
      </c>
      <c r="B162" t="s">
        <v>1469</v>
      </c>
      <c r="C162">
        <v>20602229115</v>
      </c>
      <c r="D162" t="s">
        <v>1374</v>
      </c>
      <c r="E162" s="1">
        <v>45958</v>
      </c>
      <c r="F162">
        <v>66.099999999999994</v>
      </c>
      <c r="G162" t="s">
        <v>1437</v>
      </c>
      <c r="H162">
        <v>17</v>
      </c>
    </row>
    <row r="163" spans="1:8" hidden="1" x14ac:dyDescent="0.3">
      <c r="A163" t="s">
        <v>92</v>
      </c>
      <c r="B163" t="s">
        <v>1470</v>
      </c>
      <c r="C163">
        <v>20605282726</v>
      </c>
      <c r="D163" t="s">
        <v>1374</v>
      </c>
      <c r="E163" s="1">
        <v>45958</v>
      </c>
      <c r="F163">
        <v>147.69999999999999</v>
      </c>
      <c r="G163" t="s">
        <v>1437</v>
      </c>
      <c r="H163">
        <v>17</v>
      </c>
    </row>
    <row r="164" spans="1:8" hidden="1" x14ac:dyDescent="0.3">
      <c r="A164" t="s">
        <v>92</v>
      </c>
      <c r="B164" t="s">
        <v>1471</v>
      </c>
      <c r="C164">
        <v>20610173358</v>
      </c>
      <c r="D164" t="s">
        <v>1374</v>
      </c>
      <c r="E164" s="1">
        <v>45958</v>
      </c>
      <c r="F164">
        <v>75.709999999999994</v>
      </c>
      <c r="G164" t="s">
        <v>1437</v>
      </c>
      <c r="H164">
        <v>17</v>
      </c>
    </row>
    <row r="165" spans="1:8" hidden="1" x14ac:dyDescent="0.3">
      <c r="A165" t="s">
        <v>875</v>
      </c>
      <c r="B165" t="s">
        <v>1440</v>
      </c>
      <c r="C165">
        <v>20519499780</v>
      </c>
      <c r="D165" t="s">
        <v>1374</v>
      </c>
      <c r="E165" s="1">
        <v>45958</v>
      </c>
      <c r="F165">
        <v>495.95</v>
      </c>
      <c r="G165" t="s">
        <v>1437</v>
      </c>
      <c r="H165">
        <v>17</v>
      </c>
    </row>
    <row r="166" spans="1:8" hidden="1" x14ac:dyDescent="0.3">
      <c r="A166" t="s">
        <v>93</v>
      </c>
      <c r="B166" t="s">
        <v>873</v>
      </c>
      <c r="C166">
        <v>10079417616</v>
      </c>
      <c r="D166" t="s">
        <v>1374</v>
      </c>
      <c r="E166" s="1">
        <v>45958</v>
      </c>
      <c r="F166">
        <v>66.099999999999994</v>
      </c>
      <c r="G166" t="s">
        <v>1437</v>
      </c>
      <c r="H166">
        <v>17</v>
      </c>
    </row>
    <row r="167" spans="1:8" hidden="1" x14ac:dyDescent="0.3">
      <c r="A167" t="s">
        <v>93</v>
      </c>
      <c r="B167" t="s">
        <v>1399</v>
      </c>
      <c r="C167">
        <v>20101097286</v>
      </c>
      <c r="D167" t="s">
        <v>1374</v>
      </c>
      <c r="E167" s="1">
        <v>45958</v>
      </c>
      <c r="F167">
        <v>1878.87</v>
      </c>
      <c r="G167" t="s">
        <v>1437</v>
      </c>
      <c r="H167">
        <v>17</v>
      </c>
    </row>
    <row r="168" spans="1:8" hidden="1" x14ac:dyDescent="0.3">
      <c r="A168" t="s">
        <v>93</v>
      </c>
      <c r="B168" t="s">
        <v>1472</v>
      </c>
      <c r="C168">
        <v>20392983504</v>
      </c>
      <c r="D168" t="s">
        <v>1374</v>
      </c>
      <c r="E168" s="1">
        <v>45958</v>
      </c>
      <c r="F168">
        <v>66.099999999999994</v>
      </c>
      <c r="G168" t="s">
        <v>1437</v>
      </c>
      <c r="H168">
        <v>17</v>
      </c>
    </row>
    <row r="169" spans="1:8" hidden="1" x14ac:dyDescent="0.3">
      <c r="A169" t="s">
        <v>93</v>
      </c>
      <c r="B169" t="s">
        <v>1283</v>
      </c>
      <c r="C169">
        <v>20610846999</v>
      </c>
      <c r="D169" t="s">
        <v>1374</v>
      </c>
      <c r="E169" s="1">
        <v>45958</v>
      </c>
      <c r="F169">
        <v>50</v>
      </c>
      <c r="G169" t="s">
        <v>1437</v>
      </c>
      <c r="H169">
        <v>17</v>
      </c>
    </row>
    <row r="170" spans="1:8" hidden="1" x14ac:dyDescent="0.3">
      <c r="A170" t="s">
        <v>92</v>
      </c>
      <c r="B170" t="s">
        <v>1473</v>
      </c>
      <c r="C170">
        <v>20527831432</v>
      </c>
      <c r="D170" t="s">
        <v>1374</v>
      </c>
      <c r="E170" s="1">
        <v>45959</v>
      </c>
      <c r="F170">
        <v>66.099999999999994</v>
      </c>
      <c r="G170" t="s">
        <v>1437</v>
      </c>
      <c r="H170">
        <v>18</v>
      </c>
    </row>
    <row r="171" spans="1:8" hidden="1" x14ac:dyDescent="0.3">
      <c r="A171" t="s">
        <v>92</v>
      </c>
      <c r="B171" t="s">
        <v>1474</v>
      </c>
      <c r="C171">
        <v>20601820049</v>
      </c>
      <c r="D171" t="s">
        <v>1374</v>
      </c>
      <c r="E171" s="1">
        <v>45959</v>
      </c>
      <c r="F171">
        <v>250</v>
      </c>
      <c r="G171" t="s">
        <v>1437</v>
      </c>
      <c r="H171">
        <v>18</v>
      </c>
    </row>
    <row r="172" spans="1:8" hidden="1" x14ac:dyDescent="0.3">
      <c r="A172" t="s">
        <v>92</v>
      </c>
      <c r="B172" t="s">
        <v>1250</v>
      </c>
      <c r="C172">
        <v>20604173575</v>
      </c>
      <c r="D172" t="s">
        <v>1374</v>
      </c>
      <c r="E172" s="1">
        <v>45959</v>
      </c>
      <c r="F172">
        <v>133.1</v>
      </c>
      <c r="G172" t="s">
        <v>1437</v>
      </c>
      <c r="H172">
        <v>18</v>
      </c>
    </row>
    <row r="173" spans="1:8" hidden="1" x14ac:dyDescent="0.3">
      <c r="A173" t="s">
        <v>92</v>
      </c>
      <c r="B173" t="s">
        <v>1112</v>
      </c>
      <c r="C173">
        <v>20611376538</v>
      </c>
      <c r="D173" t="s">
        <v>1374</v>
      </c>
      <c r="E173" s="1">
        <v>45959</v>
      </c>
      <c r="F173">
        <v>66.099999999999994</v>
      </c>
      <c r="G173" t="s">
        <v>1437</v>
      </c>
      <c r="H173">
        <v>18</v>
      </c>
    </row>
    <row r="174" spans="1:8" hidden="1" x14ac:dyDescent="0.3">
      <c r="A174" t="s">
        <v>92</v>
      </c>
      <c r="B174" t="s">
        <v>1475</v>
      </c>
      <c r="C174">
        <v>20612093521</v>
      </c>
      <c r="D174" t="s">
        <v>1374</v>
      </c>
      <c r="E174" s="1">
        <v>45959</v>
      </c>
      <c r="F174">
        <v>66.099999999999994</v>
      </c>
      <c r="G174" t="s">
        <v>1437</v>
      </c>
      <c r="H174">
        <v>18</v>
      </c>
    </row>
    <row r="175" spans="1:8" hidden="1" x14ac:dyDescent="0.3">
      <c r="A175" t="s">
        <v>92</v>
      </c>
      <c r="B175" t="s">
        <v>1476</v>
      </c>
      <c r="C175">
        <v>20612451754</v>
      </c>
      <c r="D175" t="s">
        <v>1374</v>
      </c>
      <c r="E175" s="1">
        <v>45959</v>
      </c>
      <c r="F175">
        <v>66.099999999999994</v>
      </c>
      <c r="G175" t="s">
        <v>1437</v>
      </c>
      <c r="H175">
        <v>18</v>
      </c>
    </row>
    <row r="176" spans="1:8" hidden="1" x14ac:dyDescent="0.3">
      <c r="A176" t="s">
        <v>92</v>
      </c>
      <c r="B176" t="s">
        <v>1477</v>
      </c>
      <c r="C176">
        <v>20613988492</v>
      </c>
      <c r="D176" t="s">
        <v>1374</v>
      </c>
      <c r="E176" s="1">
        <v>45959</v>
      </c>
      <c r="F176">
        <v>97.82</v>
      </c>
      <c r="G176" t="s">
        <v>1437</v>
      </c>
      <c r="H176">
        <v>18</v>
      </c>
    </row>
    <row r="177" spans="1:8" hidden="1" x14ac:dyDescent="0.3">
      <c r="A177" t="s">
        <v>93</v>
      </c>
      <c r="B177" t="s">
        <v>1478</v>
      </c>
      <c r="C177">
        <v>20526903235</v>
      </c>
      <c r="D177" t="s">
        <v>1374</v>
      </c>
      <c r="E177" s="1">
        <v>45959</v>
      </c>
      <c r="F177">
        <v>66.099999999999994</v>
      </c>
      <c r="G177" t="s">
        <v>1437</v>
      </c>
      <c r="H177">
        <v>18</v>
      </c>
    </row>
    <row r="178" spans="1:8" hidden="1" x14ac:dyDescent="0.3">
      <c r="A178" t="s">
        <v>92</v>
      </c>
      <c r="B178" t="s">
        <v>1479</v>
      </c>
      <c r="C178">
        <v>10306754535</v>
      </c>
      <c r="D178" t="s">
        <v>1374</v>
      </c>
      <c r="E178" s="1">
        <v>45960</v>
      </c>
      <c r="F178">
        <v>93</v>
      </c>
      <c r="G178" t="s">
        <v>1437</v>
      </c>
      <c r="H178">
        <v>19</v>
      </c>
    </row>
    <row r="179" spans="1:8" hidden="1" x14ac:dyDescent="0.3">
      <c r="A179" t="s">
        <v>92</v>
      </c>
      <c r="B179" t="s">
        <v>1312</v>
      </c>
      <c r="C179">
        <v>20515307720</v>
      </c>
      <c r="D179" t="s">
        <v>1374</v>
      </c>
      <c r="E179" s="1">
        <v>45960</v>
      </c>
      <c r="F179">
        <v>66.099999999999994</v>
      </c>
      <c r="G179" t="s">
        <v>1437</v>
      </c>
      <c r="H179">
        <v>19</v>
      </c>
    </row>
    <row r="180" spans="1:8" hidden="1" x14ac:dyDescent="0.3">
      <c r="A180" t="s">
        <v>92</v>
      </c>
      <c r="B180" t="s">
        <v>1480</v>
      </c>
      <c r="C180">
        <v>20600493150</v>
      </c>
      <c r="D180" t="s">
        <v>1374</v>
      </c>
      <c r="E180" s="1">
        <v>45960</v>
      </c>
      <c r="F180">
        <v>66.099999999999994</v>
      </c>
      <c r="G180" t="s">
        <v>1437</v>
      </c>
      <c r="H180">
        <v>19</v>
      </c>
    </row>
    <row r="181" spans="1:8" hidden="1" x14ac:dyDescent="0.3">
      <c r="A181" t="s">
        <v>92</v>
      </c>
      <c r="B181" t="s">
        <v>774</v>
      </c>
      <c r="C181">
        <v>20614000610</v>
      </c>
      <c r="D181" t="s">
        <v>1374</v>
      </c>
      <c r="E181" s="1">
        <v>45960</v>
      </c>
      <c r="F181">
        <v>81.790000000000006</v>
      </c>
      <c r="G181" t="s">
        <v>1437</v>
      </c>
      <c r="H181">
        <v>19</v>
      </c>
    </row>
    <row r="182" spans="1:8" hidden="1" x14ac:dyDescent="0.3">
      <c r="A182" t="s">
        <v>93</v>
      </c>
      <c r="B182" t="s">
        <v>1481</v>
      </c>
      <c r="C182">
        <v>20267366412</v>
      </c>
      <c r="D182" t="s">
        <v>1374</v>
      </c>
      <c r="E182" s="1">
        <v>45960</v>
      </c>
      <c r="F182">
        <v>246.71</v>
      </c>
      <c r="G182" t="s">
        <v>1437</v>
      </c>
      <c r="H182">
        <v>19</v>
      </c>
    </row>
    <row r="183" spans="1:8" hidden="1" x14ac:dyDescent="0.3">
      <c r="A183" t="s">
        <v>92</v>
      </c>
      <c r="B183" t="s">
        <v>637</v>
      </c>
      <c r="C183">
        <v>10095822245</v>
      </c>
      <c r="D183" t="s">
        <v>1374</v>
      </c>
      <c r="E183" s="1">
        <v>45961</v>
      </c>
      <c r="F183">
        <v>185</v>
      </c>
      <c r="G183" t="s">
        <v>1437</v>
      </c>
      <c r="H183">
        <v>20</v>
      </c>
    </row>
    <row r="184" spans="1:8" hidden="1" x14ac:dyDescent="0.3">
      <c r="A184" t="s">
        <v>92</v>
      </c>
      <c r="B184" t="s">
        <v>637</v>
      </c>
      <c r="C184">
        <v>10095822245</v>
      </c>
      <c r="D184" t="s">
        <v>1374</v>
      </c>
      <c r="E184" s="1">
        <v>45961</v>
      </c>
      <c r="F184">
        <v>185</v>
      </c>
      <c r="G184" t="s">
        <v>1437</v>
      </c>
      <c r="H184">
        <v>20</v>
      </c>
    </row>
    <row r="185" spans="1:8" hidden="1" x14ac:dyDescent="0.3">
      <c r="A185" t="s">
        <v>92</v>
      </c>
      <c r="B185" t="s">
        <v>927</v>
      </c>
      <c r="C185">
        <v>20612208892</v>
      </c>
      <c r="D185" t="s">
        <v>1374</v>
      </c>
      <c r="E185" s="1">
        <v>45961</v>
      </c>
      <c r="F185">
        <v>83</v>
      </c>
      <c r="G185" t="s">
        <v>1437</v>
      </c>
      <c r="H185">
        <v>20</v>
      </c>
    </row>
    <row r="186" spans="1:8" hidden="1" x14ac:dyDescent="0.3">
      <c r="A186" t="s">
        <v>93</v>
      </c>
      <c r="B186" t="s">
        <v>1482</v>
      </c>
      <c r="C186">
        <v>10155948006</v>
      </c>
      <c r="D186" t="s">
        <v>1374</v>
      </c>
      <c r="E186" s="1">
        <v>45961</v>
      </c>
      <c r="F186">
        <v>66.099999999999994</v>
      </c>
      <c r="G186" t="s">
        <v>1437</v>
      </c>
      <c r="H186">
        <v>20</v>
      </c>
    </row>
    <row r="187" spans="1:8" hidden="1" x14ac:dyDescent="0.3">
      <c r="A187" t="s">
        <v>92</v>
      </c>
      <c r="B187" t="s">
        <v>1483</v>
      </c>
      <c r="C187">
        <v>20526548311</v>
      </c>
      <c r="D187" t="s">
        <v>1374</v>
      </c>
      <c r="E187" s="1">
        <v>45963</v>
      </c>
      <c r="F187">
        <v>71</v>
      </c>
      <c r="G187" t="s">
        <v>1437</v>
      </c>
      <c r="H187">
        <v>20</v>
      </c>
    </row>
    <row r="188" spans="1:8" hidden="1" x14ac:dyDescent="0.3">
      <c r="A188" t="s">
        <v>92</v>
      </c>
      <c r="B188" t="s">
        <v>1139</v>
      </c>
      <c r="C188">
        <v>20612976571</v>
      </c>
      <c r="D188" t="s">
        <v>1374</v>
      </c>
      <c r="E188" s="1">
        <v>45964</v>
      </c>
      <c r="F188">
        <v>190</v>
      </c>
      <c r="G188" t="s">
        <v>1437</v>
      </c>
      <c r="H188">
        <v>21</v>
      </c>
    </row>
    <row r="189" spans="1:8" hidden="1" x14ac:dyDescent="0.3">
      <c r="A189" t="s">
        <v>92</v>
      </c>
      <c r="B189" t="s">
        <v>1332</v>
      </c>
      <c r="C189">
        <v>20607706213</v>
      </c>
      <c r="D189" t="s">
        <v>1374</v>
      </c>
      <c r="E189" s="1">
        <v>45965</v>
      </c>
      <c r="F189">
        <v>70</v>
      </c>
      <c r="G189" t="s">
        <v>1437</v>
      </c>
      <c r="H189">
        <v>22</v>
      </c>
    </row>
    <row r="190" spans="1:8" hidden="1" x14ac:dyDescent="0.3">
      <c r="A190" t="s">
        <v>92</v>
      </c>
      <c r="B190" t="s">
        <v>865</v>
      </c>
      <c r="C190">
        <v>20610764691</v>
      </c>
      <c r="D190" t="s">
        <v>1374</v>
      </c>
      <c r="E190" s="1">
        <v>45965</v>
      </c>
      <c r="F190">
        <v>91.69</v>
      </c>
      <c r="G190" t="s">
        <v>1437</v>
      </c>
      <c r="H190">
        <v>22</v>
      </c>
    </row>
    <row r="191" spans="1:8" hidden="1" x14ac:dyDescent="0.3">
      <c r="A191" t="s">
        <v>875</v>
      </c>
      <c r="B191" t="s">
        <v>1484</v>
      </c>
      <c r="C191">
        <v>20551433073</v>
      </c>
      <c r="D191" t="s">
        <v>1374</v>
      </c>
      <c r="E191" s="1">
        <v>45965</v>
      </c>
      <c r="F191">
        <v>500</v>
      </c>
      <c r="G191" t="s">
        <v>1437</v>
      </c>
      <c r="H191">
        <v>22</v>
      </c>
    </row>
    <row r="192" spans="1:8" hidden="1" x14ac:dyDescent="0.3">
      <c r="A192" t="s">
        <v>92</v>
      </c>
      <c r="B192" t="s">
        <v>1612</v>
      </c>
      <c r="C192" t="s">
        <v>2100</v>
      </c>
      <c r="D192" t="s">
        <v>1374</v>
      </c>
      <c r="E192" s="1">
        <v>45972</v>
      </c>
      <c r="F192">
        <v>50</v>
      </c>
      <c r="G192" t="s">
        <v>2099</v>
      </c>
      <c r="H192">
        <v>4</v>
      </c>
    </row>
    <row r="193" spans="1:8" hidden="1" x14ac:dyDescent="0.3">
      <c r="A193" t="s">
        <v>92</v>
      </c>
      <c r="B193" t="s">
        <v>1658</v>
      </c>
      <c r="C193" t="s">
        <v>2108</v>
      </c>
      <c r="D193" t="s">
        <v>1374</v>
      </c>
      <c r="E193" s="1">
        <v>45972</v>
      </c>
      <c r="F193">
        <v>66.099999999999994</v>
      </c>
      <c r="G193" t="s">
        <v>2099</v>
      </c>
      <c r="H193">
        <v>4</v>
      </c>
    </row>
    <row r="194" spans="1:8" hidden="1" x14ac:dyDescent="0.3">
      <c r="A194" t="s">
        <v>92</v>
      </c>
      <c r="B194" t="s">
        <v>2112</v>
      </c>
      <c r="C194" t="s">
        <v>2113</v>
      </c>
      <c r="D194" t="s">
        <v>1374</v>
      </c>
      <c r="E194" s="1">
        <v>45972</v>
      </c>
      <c r="F194">
        <v>68.95</v>
      </c>
      <c r="G194" t="s">
        <v>2099</v>
      </c>
      <c r="H194">
        <v>4</v>
      </c>
    </row>
    <row r="195" spans="1:8" hidden="1" x14ac:dyDescent="0.3">
      <c r="A195" t="s">
        <v>92</v>
      </c>
      <c r="B195" t="s">
        <v>1681</v>
      </c>
      <c r="C195" t="s">
        <v>2188</v>
      </c>
      <c r="D195" t="s">
        <v>1374</v>
      </c>
      <c r="E195" s="1">
        <v>45972</v>
      </c>
      <c r="F195">
        <v>103.1</v>
      </c>
      <c r="G195" t="s">
        <v>2099</v>
      </c>
      <c r="H195">
        <v>4</v>
      </c>
    </row>
    <row r="196" spans="1:8" hidden="1" x14ac:dyDescent="0.3">
      <c r="A196" t="s">
        <v>92</v>
      </c>
      <c r="B196" t="s">
        <v>2219</v>
      </c>
      <c r="C196" t="s">
        <v>2220</v>
      </c>
      <c r="D196" t="s">
        <v>1374</v>
      </c>
      <c r="E196" s="1">
        <v>45972</v>
      </c>
      <c r="F196">
        <v>117</v>
      </c>
      <c r="G196" t="s">
        <v>2099</v>
      </c>
      <c r="H196">
        <v>4</v>
      </c>
    </row>
    <row r="197" spans="1:8" hidden="1" x14ac:dyDescent="0.3">
      <c r="A197" t="s">
        <v>92</v>
      </c>
      <c r="B197" t="s">
        <v>2258</v>
      </c>
      <c r="C197" t="s">
        <v>2259</v>
      </c>
      <c r="D197" t="s">
        <v>1374</v>
      </c>
      <c r="E197" s="1">
        <v>45972</v>
      </c>
      <c r="F197">
        <v>66.099999999999994</v>
      </c>
      <c r="G197" t="s">
        <v>2099</v>
      </c>
      <c r="H197">
        <v>4</v>
      </c>
    </row>
    <row r="198" spans="1:8" hidden="1" x14ac:dyDescent="0.3">
      <c r="A198" t="s">
        <v>875</v>
      </c>
      <c r="B198" t="s">
        <v>2281</v>
      </c>
      <c r="C198" t="s">
        <v>2282</v>
      </c>
      <c r="D198" t="s">
        <v>1374</v>
      </c>
      <c r="E198" s="1">
        <v>45972</v>
      </c>
      <c r="F198">
        <v>173.57</v>
      </c>
      <c r="G198" t="s">
        <v>2099</v>
      </c>
      <c r="H198">
        <v>4</v>
      </c>
    </row>
    <row r="199" spans="1:8" hidden="1" x14ac:dyDescent="0.3">
      <c r="A199" t="s">
        <v>875</v>
      </c>
      <c r="B199" t="s">
        <v>882</v>
      </c>
      <c r="C199" t="s">
        <v>2289</v>
      </c>
      <c r="D199" t="s">
        <v>1374</v>
      </c>
      <c r="E199" s="1">
        <v>45972</v>
      </c>
      <c r="F199">
        <v>1676.61</v>
      </c>
      <c r="G199" t="s">
        <v>2099</v>
      </c>
      <c r="H199">
        <v>4</v>
      </c>
    </row>
    <row r="200" spans="1:8" hidden="1" x14ac:dyDescent="0.3">
      <c r="A200" t="s">
        <v>92</v>
      </c>
      <c r="B200" t="s">
        <v>1745</v>
      </c>
      <c r="C200" t="s">
        <v>2102</v>
      </c>
      <c r="D200" t="s">
        <v>1374</v>
      </c>
      <c r="E200" s="1">
        <v>45973</v>
      </c>
      <c r="F200">
        <v>66.099999999999994</v>
      </c>
      <c r="G200" t="s">
        <v>2099</v>
      </c>
      <c r="H200">
        <v>5</v>
      </c>
    </row>
    <row r="201" spans="1:8" hidden="1" x14ac:dyDescent="0.3">
      <c r="A201" t="s">
        <v>92</v>
      </c>
      <c r="B201" t="s">
        <v>1894</v>
      </c>
      <c r="C201" t="s">
        <v>2103</v>
      </c>
      <c r="D201" t="s">
        <v>1374</v>
      </c>
      <c r="E201" s="1">
        <v>45973</v>
      </c>
      <c r="F201">
        <v>50</v>
      </c>
      <c r="G201" t="s">
        <v>2099</v>
      </c>
      <c r="H201">
        <v>5</v>
      </c>
    </row>
    <row r="202" spans="1:8" hidden="1" x14ac:dyDescent="0.3">
      <c r="A202" t="s">
        <v>92</v>
      </c>
      <c r="B202" t="s">
        <v>2148</v>
      </c>
      <c r="C202" t="s">
        <v>2149</v>
      </c>
      <c r="D202" t="s">
        <v>1374</v>
      </c>
      <c r="E202" s="1">
        <v>45973</v>
      </c>
      <c r="F202">
        <v>66.099999999999994</v>
      </c>
      <c r="G202" t="s">
        <v>2099</v>
      </c>
      <c r="H202">
        <v>5</v>
      </c>
    </row>
    <row r="203" spans="1:8" hidden="1" x14ac:dyDescent="0.3">
      <c r="A203" t="s">
        <v>92</v>
      </c>
      <c r="B203" t="s">
        <v>2155</v>
      </c>
      <c r="C203" t="s">
        <v>2156</v>
      </c>
      <c r="D203" t="s">
        <v>1374</v>
      </c>
      <c r="E203" s="1">
        <v>45973</v>
      </c>
      <c r="F203">
        <v>92</v>
      </c>
      <c r="G203" t="s">
        <v>2099</v>
      </c>
      <c r="H203">
        <v>5</v>
      </c>
    </row>
    <row r="204" spans="1:8" hidden="1" x14ac:dyDescent="0.3">
      <c r="A204" t="s">
        <v>92</v>
      </c>
      <c r="B204" t="s">
        <v>2175</v>
      </c>
      <c r="C204" t="s">
        <v>2176</v>
      </c>
      <c r="D204" t="s">
        <v>1374</v>
      </c>
      <c r="E204" s="1">
        <v>45973</v>
      </c>
      <c r="F204">
        <v>92</v>
      </c>
      <c r="G204" t="s">
        <v>2099</v>
      </c>
      <c r="H204">
        <v>5</v>
      </c>
    </row>
    <row r="205" spans="1:8" hidden="1" x14ac:dyDescent="0.3">
      <c r="A205" t="s">
        <v>92</v>
      </c>
      <c r="B205" t="s">
        <v>1759</v>
      </c>
      <c r="C205" t="s">
        <v>2183</v>
      </c>
      <c r="D205" t="s">
        <v>1374</v>
      </c>
      <c r="E205" s="1">
        <v>45973</v>
      </c>
      <c r="F205">
        <v>80.31</v>
      </c>
      <c r="G205" t="s">
        <v>2099</v>
      </c>
      <c r="H205">
        <v>5</v>
      </c>
    </row>
    <row r="206" spans="1:8" hidden="1" x14ac:dyDescent="0.3">
      <c r="A206" t="s">
        <v>92</v>
      </c>
      <c r="B206" t="s">
        <v>1630</v>
      </c>
      <c r="C206" t="s">
        <v>2185</v>
      </c>
      <c r="D206" t="s">
        <v>1374</v>
      </c>
      <c r="E206" s="1">
        <v>45973</v>
      </c>
      <c r="F206">
        <v>66.099999999999994</v>
      </c>
      <c r="G206" t="s">
        <v>2099</v>
      </c>
      <c r="H206">
        <v>5</v>
      </c>
    </row>
    <row r="207" spans="1:8" hidden="1" x14ac:dyDescent="0.3">
      <c r="A207" t="s">
        <v>92</v>
      </c>
      <c r="B207" t="s">
        <v>1598</v>
      </c>
      <c r="C207" t="s">
        <v>2204</v>
      </c>
      <c r="D207" t="s">
        <v>1374</v>
      </c>
      <c r="E207" s="1">
        <v>45973</v>
      </c>
      <c r="F207">
        <v>76.39</v>
      </c>
      <c r="G207" t="s">
        <v>2099</v>
      </c>
      <c r="H207">
        <v>5</v>
      </c>
    </row>
    <row r="208" spans="1:8" hidden="1" x14ac:dyDescent="0.3">
      <c r="A208" t="s">
        <v>92</v>
      </c>
      <c r="B208" t="s">
        <v>2222</v>
      </c>
      <c r="C208" t="s">
        <v>2223</v>
      </c>
      <c r="D208" t="s">
        <v>1374</v>
      </c>
      <c r="E208" s="1">
        <v>45973</v>
      </c>
      <c r="F208">
        <v>66.099999999999994</v>
      </c>
      <c r="G208" t="s">
        <v>2099</v>
      </c>
      <c r="H208">
        <v>5</v>
      </c>
    </row>
    <row r="209" spans="1:8" hidden="1" x14ac:dyDescent="0.3">
      <c r="A209" t="s">
        <v>92</v>
      </c>
      <c r="B209" t="s">
        <v>1966</v>
      </c>
      <c r="C209" t="s">
        <v>2226</v>
      </c>
      <c r="D209" t="s">
        <v>1374</v>
      </c>
      <c r="E209" s="1">
        <v>45973</v>
      </c>
      <c r="F209">
        <v>91.22</v>
      </c>
      <c r="G209" t="s">
        <v>2099</v>
      </c>
      <c r="H209">
        <v>5</v>
      </c>
    </row>
    <row r="210" spans="1:8" hidden="1" x14ac:dyDescent="0.3">
      <c r="A210" t="s">
        <v>92</v>
      </c>
      <c r="B210" t="s">
        <v>1574</v>
      </c>
      <c r="C210" t="s">
        <v>2237</v>
      </c>
      <c r="D210" t="s">
        <v>1374</v>
      </c>
      <c r="E210" s="1">
        <v>45973</v>
      </c>
      <c r="F210">
        <v>66.099999999999994</v>
      </c>
      <c r="G210" t="s">
        <v>2099</v>
      </c>
      <c r="H210">
        <v>5</v>
      </c>
    </row>
    <row r="211" spans="1:8" hidden="1" x14ac:dyDescent="0.3">
      <c r="A211" t="s">
        <v>92</v>
      </c>
      <c r="B211" t="s">
        <v>1738</v>
      </c>
      <c r="C211" t="s">
        <v>2250</v>
      </c>
      <c r="D211" t="s">
        <v>1374</v>
      </c>
      <c r="E211" s="1">
        <v>45973</v>
      </c>
      <c r="F211">
        <v>66.099999999999994</v>
      </c>
      <c r="G211" t="s">
        <v>2099</v>
      </c>
      <c r="H211">
        <v>5</v>
      </c>
    </row>
    <row r="212" spans="1:8" hidden="1" x14ac:dyDescent="0.3">
      <c r="A212" t="s">
        <v>92</v>
      </c>
      <c r="B212" t="s">
        <v>1781</v>
      </c>
      <c r="C212" t="s">
        <v>2256</v>
      </c>
      <c r="D212" t="s">
        <v>1374</v>
      </c>
      <c r="E212" s="1">
        <v>45973</v>
      </c>
      <c r="F212">
        <v>225</v>
      </c>
      <c r="G212" t="s">
        <v>2099</v>
      </c>
      <c r="H212">
        <v>5</v>
      </c>
    </row>
    <row r="213" spans="1:8" hidden="1" x14ac:dyDescent="0.3">
      <c r="A213" t="s">
        <v>92</v>
      </c>
      <c r="B213" t="s">
        <v>2268</v>
      </c>
      <c r="C213" t="s">
        <v>2269</v>
      </c>
      <c r="D213" t="s">
        <v>1374</v>
      </c>
      <c r="E213" s="1">
        <v>45973</v>
      </c>
      <c r="F213">
        <v>131</v>
      </c>
      <c r="G213" t="s">
        <v>2099</v>
      </c>
      <c r="H213">
        <v>5</v>
      </c>
    </row>
    <row r="214" spans="1:8" hidden="1" x14ac:dyDescent="0.3">
      <c r="A214" t="s">
        <v>875</v>
      </c>
      <c r="B214" t="s">
        <v>1440</v>
      </c>
      <c r="C214" t="s">
        <v>2290</v>
      </c>
      <c r="D214" t="s">
        <v>1374</v>
      </c>
      <c r="E214" s="1">
        <v>45973</v>
      </c>
      <c r="F214">
        <v>485.32</v>
      </c>
      <c r="G214" t="s">
        <v>2099</v>
      </c>
      <c r="H214">
        <v>5</v>
      </c>
    </row>
    <row r="215" spans="1:8" hidden="1" x14ac:dyDescent="0.3">
      <c r="A215" t="s">
        <v>92</v>
      </c>
      <c r="B215" t="s">
        <v>2140</v>
      </c>
      <c r="C215" t="s">
        <v>2141</v>
      </c>
      <c r="D215" t="s">
        <v>1374</v>
      </c>
      <c r="E215" s="1">
        <v>45974</v>
      </c>
      <c r="F215">
        <v>72.64</v>
      </c>
      <c r="G215" t="s">
        <v>2099</v>
      </c>
      <c r="H215">
        <v>6</v>
      </c>
    </row>
    <row r="216" spans="1:8" hidden="1" x14ac:dyDescent="0.3">
      <c r="A216" t="s">
        <v>92</v>
      </c>
      <c r="B216" t="s">
        <v>2153</v>
      </c>
      <c r="C216" t="s">
        <v>2154</v>
      </c>
      <c r="D216" t="s">
        <v>1374</v>
      </c>
      <c r="E216" s="1">
        <v>45974</v>
      </c>
      <c r="F216">
        <v>114.96</v>
      </c>
      <c r="G216" t="s">
        <v>2099</v>
      </c>
      <c r="H216">
        <v>6</v>
      </c>
    </row>
    <row r="217" spans="1:8" hidden="1" x14ac:dyDescent="0.3">
      <c r="A217" t="s">
        <v>92</v>
      </c>
      <c r="B217" t="s">
        <v>2165</v>
      </c>
      <c r="C217" t="s">
        <v>2166</v>
      </c>
      <c r="D217" t="s">
        <v>1374</v>
      </c>
      <c r="E217" s="1">
        <v>45974</v>
      </c>
      <c r="F217">
        <v>693.32</v>
      </c>
      <c r="G217" t="s">
        <v>2099</v>
      </c>
      <c r="H217">
        <v>6</v>
      </c>
    </row>
    <row r="218" spans="1:8" hidden="1" x14ac:dyDescent="0.3">
      <c r="A218" t="s">
        <v>92</v>
      </c>
      <c r="B218" t="s">
        <v>2193</v>
      </c>
      <c r="C218" t="s">
        <v>2194</v>
      </c>
      <c r="D218" t="s">
        <v>1374</v>
      </c>
      <c r="E218" s="1">
        <v>45974</v>
      </c>
      <c r="F218">
        <v>66.099999999999994</v>
      </c>
      <c r="G218" t="s">
        <v>2099</v>
      </c>
      <c r="H218">
        <v>6</v>
      </c>
    </row>
    <row r="219" spans="1:8" hidden="1" x14ac:dyDescent="0.3">
      <c r="A219" t="s">
        <v>92</v>
      </c>
      <c r="B219" t="s">
        <v>2205</v>
      </c>
      <c r="C219" t="s">
        <v>2206</v>
      </c>
      <c r="D219" t="s">
        <v>1374</v>
      </c>
      <c r="E219" s="1">
        <v>45974</v>
      </c>
      <c r="F219">
        <v>81.59</v>
      </c>
      <c r="G219" t="s">
        <v>2099</v>
      </c>
      <c r="H219">
        <v>6</v>
      </c>
    </row>
    <row r="220" spans="1:8" hidden="1" x14ac:dyDescent="0.3">
      <c r="A220" t="s">
        <v>92</v>
      </c>
      <c r="B220" t="s">
        <v>1768</v>
      </c>
      <c r="C220" t="s">
        <v>2211</v>
      </c>
      <c r="D220" t="s">
        <v>1374</v>
      </c>
      <c r="E220" s="1">
        <v>45974</v>
      </c>
      <c r="F220">
        <v>66.099999999999994</v>
      </c>
      <c r="G220" t="s">
        <v>2099</v>
      </c>
      <c r="H220">
        <v>6</v>
      </c>
    </row>
    <row r="221" spans="1:8" hidden="1" x14ac:dyDescent="0.3">
      <c r="A221" t="s">
        <v>92</v>
      </c>
      <c r="B221" t="s">
        <v>1769</v>
      </c>
      <c r="C221" t="s">
        <v>2214</v>
      </c>
      <c r="D221" t="s">
        <v>1374</v>
      </c>
      <c r="E221" s="1">
        <v>45974</v>
      </c>
      <c r="F221">
        <v>203.93</v>
      </c>
      <c r="G221" t="s">
        <v>2099</v>
      </c>
      <c r="H221">
        <v>6</v>
      </c>
    </row>
    <row r="222" spans="1:8" hidden="1" x14ac:dyDescent="0.3">
      <c r="A222" t="s">
        <v>92</v>
      </c>
      <c r="B222" t="s">
        <v>1803</v>
      </c>
      <c r="C222" t="s">
        <v>2265</v>
      </c>
      <c r="D222" t="s">
        <v>1374</v>
      </c>
      <c r="E222" s="1">
        <v>45974</v>
      </c>
      <c r="F222">
        <v>66.099999999999994</v>
      </c>
      <c r="G222" t="s">
        <v>2099</v>
      </c>
      <c r="H222">
        <v>6</v>
      </c>
    </row>
    <row r="223" spans="1:8" hidden="1" x14ac:dyDescent="0.3">
      <c r="A223" t="s">
        <v>92</v>
      </c>
      <c r="B223" t="s">
        <v>2266</v>
      </c>
      <c r="C223" t="s">
        <v>2267</v>
      </c>
      <c r="D223" t="s">
        <v>1374</v>
      </c>
      <c r="E223" s="1">
        <v>45974</v>
      </c>
      <c r="F223">
        <v>104.51</v>
      </c>
      <c r="G223" t="s">
        <v>2099</v>
      </c>
      <c r="H223">
        <v>6</v>
      </c>
    </row>
    <row r="224" spans="1:8" hidden="1" x14ac:dyDescent="0.3">
      <c r="A224" t="s">
        <v>92</v>
      </c>
      <c r="B224" t="s">
        <v>1806</v>
      </c>
      <c r="C224" t="s">
        <v>2270</v>
      </c>
      <c r="D224" t="s">
        <v>1374</v>
      </c>
      <c r="E224" s="1">
        <v>45974</v>
      </c>
      <c r="F224">
        <v>80.66</v>
      </c>
      <c r="G224" t="s">
        <v>2099</v>
      </c>
      <c r="H224">
        <v>6</v>
      </c>
    </row>
    <row r="225" spans="1:8" hidden="1" x14ac:dyDescent="0.3">
      <c r="A225" t="s">
        <v>92</v>
      </c>
      <c r="B225" t="s">
        <v>2132</v>
      </c>
      <c r="C225" t="s">
        <v>2133</v>
      </c>
      <c r="D225" t="s">
        <v>1374</v>
      </c>
      <c r="E225" s="1">
        <v>45975</v>
      </c>
      <c r="F225">
        <v>78.040000000000006</v>
      </c>
      <c r="G225" t="s">
        <v>2099</v>
      </c>
      <c r="H225">
        <v>7</v>
      </c>
    </row>
    <row r="226" spans="1:8" hidden="1" x14ac:dyDescent="0.3">
      <c r="A226" t="s">
        <v>92</v>
      </c>
      <c r="B226" t="s">
        <v>2189</v>
      </c>
      <c r="C226" t="s">
        <v>2190</v>
      </c>
      <c r="D226" t="s">
        <v>1374</v>
      </c>
      <c r="E226" s="1">
        <v>45975</v>
      </c>
      <c r="F226">
        <v>611</v>
      </c>
      <c r="G226" t="s">
        <v>2099</v>
      </c>
      <c r="H226">
        <v>7</v>
      </c>
    </row>
    <row r="227" spans="1:8" hidden="1" x14ac:dyDescent="0.3">
      <c r="A227" t="s">
        <v>92</v>
      </c>
      <c r="B227" t="s">
        <v>1724</v>
      </c>
      <c r="C227" t="s">
        <v>2201</v>
      </c>
      <c r="D227" t="s">
        <v>1374</v>
      </c>
      <c r="E227" s="1">
        <v>45975</v>
      </c>
      <c r="F227">
        <v>71.44</v>
      </c>
      <c r="G227" t="s">
        <v>2099</v>
      </c>
      <c r="H227">
        <v>7</v>
      </c>
    </row>
    <row r="228" spans="1:8" hidden="1" x14ac:dyDescent="0.3">
      <c r="A228" t="s">
        <v>92</v>
      </c>
      <c r="B228" t="s">
        <v>2246</v>
      </c>
      <c r="C228" t="s">
        <v>2247</v>
      </c>
      <c r="D228" t="s">
        <v>1374</v>
      </c>
      <c r="E228" s="1">
        <v>45975</v>
      </c>
      <c r="F228">
        <v>149.91999999999999</v>
      </c>
      <c r="G228" t="s">
        <v>2099</v>
      </c>
      <c r="H228">
        <v>7</v>
      </c>
    </row>
    <row r="229" spans="1:8" hidden="1" x14ac:dyDescent="0.3">
      <c r="A229" t="s">
        <v>92</v>
      </c>
      <c r="B229" t="s">
        <v>2252</v>
      </c>
      <c r="C229" t="s">
        <v>2253</v>
      </c>
      <c r="D229" t="s">
        <v>1374</v>
      </c>
      <c r="E229" s="1">
        <v>45975</v>
      </c>
      <c r="F229">
        <v>90</v>
      </c>
      <c r="G229" t="s">
        <v>2099</v>
      </c>
      <c r="H229">
        <v>7</v>
      </c>
    </row>
    <row r="230" spans="1:8" hidden="1" x14ac:dyDescent="0.3">
      <c r="A230" t="s">
        <v>92</v>
      </c>
      <c r="B230" t="s">
        <v>1643</v>
      </c>
      <c r="C230" t="s">
        <v>2255</v>
      </c>
      <c r="D230" t="s">
        <v>1374</v>
      </c>
      <c r="E230" s="1">
        <v>45975</v>
      </c>
      <c r="F230">
        <v>66.099999999999994</v>
      </c>
      <c r="G230" t="s">
        <v>2099</v>
      </c>
      <c r="H230">
        <v>7</v>
      </c>
    </row>
    <row r="231" spans="1:8" hidden="1" x14ac:dyDescent="0.3">
      <c r="A231" t="s">
        <v>875</v>
      </c>
      <c r="B231" t="s">
        <v>1467</v>
      </c>
      <c r="C231" t="s">
        <v>2287</v>
      </c>
      <c r="D231" t="s">
        <v>1374</v>
      </c>
      <c r="E231" s="1">
        <v>45975</v>
      </c>
      <c r="F231">
        <v>193.5</v>
      </c>
      <c r="G231" t="s">
        <v>2099</v>
      </c>
      <c r="H231">
        <v>7</v>
      </c>
    </row>
    <row r="232" spans="1:8" hidden="1" x14ac:dyDescent="0.3">
      <c r="A232" t="s">
        <v>875</v>
      </c>
      <c r="B232" t="s">
        <v>1079</v>
      </c>
      <c r="C232" t="s">
        <v>2288</v>
      </c>
      <c r="D232" t="s">
        <v>1374</v>
      </c>
      <c r="E232" s="1">
        <v>45975</v>
      </c>
      <c r="F232">
        <v>753.62</v>
      </c>
      <c r="G232" t="s">
        <v>2099</v>
      </c>
      <c r="H232">
        <v>7</v>
      </c>
    </row>
    <row r="233" spans="1:8" hidden="1" x14ac:dyDescent="0.3">
      <c r="A233" t="s">
        <v>93</v>
      </c>
      <c r="B233" t="s">
        <v>2301</v>
      </c>
      <c r="C233" t="s">
        <v>2302</v>
      </c>
      <c r="D233" t="s">
        <v>1374</v>
      </c>
      <c r="E233" s="1">
        <v>45975</v>
      </c>
      <c r="F233">
        <v>50</v>
      </c>
      <c r="G233" t="s">
        <v>2099</v>
      </c>
      <c r="H233">
        <v>7</v>
      </c>
    </row>
    <row r="234" spans="1:8" hidden="1" x14ac:dyDescent="0.3">
      <c r="A234" t="s">
        <v>92</v>
      </c>
      <c r="B234" t="s">
        <v>1657</v>
      </c>
      <c r="C234" t="s">
        <v>2106</v>
      </c>
      <c r="D234" t="s">
        <v>1374</v>
      </c>
      <c r="E234" s="1">
        <v>45976</v>
      </c>
      <c r="F234">
        <v>66.099999999999994</v>
      </c>
      <c r="G234" t="s">
        <v>2099</v>
      </c>
      <c r="H234">
        <v>7</v>
      </c>
    </row>
    <row r="235" spans="1:8" hidden="1" x14ac:dyDescent="0.3">
      <c r="A235" t="s">
        <v>92</v>
      </c>
      <c r="B235" t="s">
        <v>2195</v>
      </c>
      <c r="C235" t="s">
        <v>2196</v>
      </c>
      <c r="D235" t="s">
        <v>1374</v>
      </c>
      <c r="E235" s="1">
        <v>45976</v>
      </c>
      <c r="F235">
        <v>66.099999999999994</v>
      </c>
      <c r="G235" t="s">
        <v>2099</v>
      </c>
      <c r="H235">
        <v>7</v>
      </c>
    </row>
    <row r="236" spans="1:8" hidden="1" x14ac:dyDescent="0.3">
      <c r="A236" t="s">
        <v>875</v>
      </c>
      <c r="B236" t="s">
        <v>1449</v>
      </c>
      <c r="C236" t="s">
        <v>2285</v>
      </c>
      <c r="D236" t="s">
        <v>1374</v>
      </c>
      <c r="E236" s="1">
        <v>45976</v>
      </c>
      <c r="F236">
        <v>1432.46</v>
      </c>
      <c r="G236" t="s">
        <v>2099</v>
      </c>
      <c r="H236">
        <v>7</v>
      </c>
    </row>
    <row r="237" spans="1:8" hidden="1" x14ac:dyDescent="0.3">
      <c r="A237" t="s">
        <v>92</v>
      </c>
      <c r="B237" t="s">
        <v>2114</v>
      </c>
      <c r="C237" t="s">
        <v>2115</v>
      </c>
      <c r="D237" t="s">
        <v>1374</v>
      </c>
      <c r="E237" s="1">
        <v>45978</v>
      </c>
      <c r="F237">
        <v>82.94</v>
      </c>
      <c r="G237" t="s">
        <v>2099</v>
      </c>
      <c r="H237">
        <v>8</v>
      </c>
    </row>
    <row r="238" spans="1:8" hidden="1" x14ac:dyDescent="0.3">
      <c r="A238" t="s">
        <v>92</v>
      </c>
      <c r="B238" t="s">
        <v>2244</v>
      </c>
      <c r="C238" t="s">
        <v>2245</v>
      </c>
      <c r="D238" t="s">
        <v>1374</v>
      </c>
      <c r="E238" s="1">
        <v>45978</v>
      </c>
      <c r="F238">
        <v>68.430000000000007</v>
      </c>
      <c r="G238" t="s">
        <v>2099</v>
      </c>
      <c r="H238">
        <v>8</v>
      </c>
    </row>
    <row r="239" spans="1:8" hidden="1" x14ac:dyDescent="0.3">
      <c r="A239" t="s">
        <v>93</v>
      </c>
      <c r="B239" t="s">
        <v>2293</v>
      </c>
      <c r="C239" t="s">
        <v>2294</v>
      </c>
      <c r="D239" t="s">
        <v>1374</v>
      </c>
      <c r="E239" s="1">
        <v>45978</v>
      </c>
      <c r="F239">
        <v>146.82</v>
      </c>
      <c r="G239" t="s">
        <v>2099</v>
      </c>
      <c r="H239">
        <v>8</v>
      </c>
    </row>
    <row r="240" spans="1:8" hidden="1" x14ac:dyDescent="0.3">
      <c r="A240" t="s">
        <v>93</v>
      </c>
      <c r="B240" t="s">
        <v>2297</v>
      </c>
      <c r="C240" t="s">
        <v>2298</v>
      </c>
      <c r="D240" t="s">
        <v>1374</v>
      </c>
      <c r="E240" s="1">
        <v>45978</v>
      </c>
      <c r="F240">
        <v>66.099999999999994</v>
      </c>
      <c r="G240" t="s">
        <v>2099</v>
      </c>
      <c r="H240">
        <v>8</v>
      </c>
    </row>
    <row r="241" spans="1:8" hidden="1" x14ac:dyDescent="0.3">
      <c r="A241" t="s">
        <v>92</v>
      </c>
      <c r="B241" t="s">
        <v>1900</v>
      </c>
      <c r="C241" t="s">
        <v>2168</v>
      </c>
      <c r="D241" t="s">
        <v>1374</v>
      </c>
      <c r="E241" s="1">
        <v>45979</v>
      </c>
      <c r="F241">
        <v>160.41999999999999</v>
      </c>
      <c r="G241" t="s">
        <v>2099</v>
      </c>
      <c r="H241">
        <v>9</v>
      </c>
    </row>
    <row r="242" spans="1:8" hidden="1" x14ac:dyDescent="0.3">
      <c r="A242" t="s">
        <v>92</v>
      </c>
      <c r="B242" t="s">
        <v>2173</v>
      </c>
      <c r="C242" t="s">
        <v>2174</v>
      </c>
      <c r="D242" t="s">
        <v>1374</v>
      </c>
      <c r="E242" s="1">
        <v>45979</v>
      </c>
      <c r="F242">
        <v>66.099999999999994</v>
      </c>
      <c r="G242" t="s">
        <v>2099</v>
      </c>
      <c r="H242">
        <v>9</v>
      </c>
    </row>
    <row r="243" spans="1:8" hidden="1" x14ac:dyDescent="0.3">
      <c r="A243" t="s">
        <v>92</v>
      </c>
      <c r="B243" t="s">
        <v>2181</v>
      </c>
      <c r="C243" t="s">
        <v>2182</v>
      </c>
      <c r="D243" t="s">
        <v>1374</v>
      </c>
      <c r="E243" s="1">
        <v>45979</v>
      </c>
      <c r="F243">
        <v>165</v>
      </c>
      <c r="G243" t="s">
        <v>2099</v>
      </c>
      <c r="H243">
        <v>9</v>
      </c>
    </row>
    <row r="244" spans="1:8" hidden="1" x14ac:dyDescent="0.3">
      <c r="A244" t="s">
        <v>92</v>
      </c>
      <c r="B244" t="s">
        <v>2191</v>
      </c>
      <c r="C244" t="s">
        <v>2192</v>
      </c>
      <c r="D244" t="s">
        <v>1374</v>
      </c>
      <c r="E244" s="1">
        <v>45979</v>
      </c>
      <c r="F244">
        <v>103.11</v>
      </c>
      <c r="G244" t="s">
        <v>2099</v>
      </c>
      <c r="H244">
        <v>9</v>
      </c>
    </row>
    <row r="245" spans="1:8" hidden="1" x14ac:dyDescent="0.3">
      <c r="A245" t="s">
        <v>92</v>
      </c>
      <c r="B245" t="s">
        <v>2229</v>
      </c>
      <c r="C245" t="s">
        <v>2230</v>
      </c>
      <c r="D245" t="s">
        <v>1374</v>
      </c>
      <c r="E245" s="1">
        <v>45979</v>
      </c>
      <c r="F245">
        <v>66.099999999999994</v>
      </c>
      <c r="G245" t="s">
        <v>2099</v>
      </c>
      <c r="H245">
        <v>9</v>
      </c>
    </row>
    <row r="246" spans="1:8" hidden="1" x14ac:dyDescent="0.3">
      <c r="A246" t="s">
        <v>92</v>
      </c>
      <c r="B246" t="s">
        <v>2235</v>
      </c>
      <c r="C246" t="s">
        <v>2236</v>
      </c>
      <c r="D246" t="s">
        <v>1374</v>
      </c>
      <c r="E246" s="1">
        <v>45979</v>
      </c>
      <c r="F246">
        <v>100</v>
      </c>
      <c r="G246" t="s">
        <v>2099</v>
      </c>
      <c r="H246">
        <v>9</v>
      </c>
    </row>
    <row r="247" spans="1:8" hidden="1" x14ac:dyDescent="0.3">
      <c r="A247" t="s">
        <v>92</v>
      </c>
      <c r="B247" t="s">
        <v>2271</v>
      </c>
      <c r="C247" t="s">
        <v>2272</v>
      </c>
      <c r="D247" t="s">
        <v>1374</v>
      </c>
      <c r="E247" s="1">
        <v>45979</v>
      </c>
      <c r="F247">
        <v>93</v>
      </c>
      <c r="G247" t="s">
        <v>2099</v>
      </c>
      <c r="H247">
        <v>9</v>
      </c>
    </row>
    <row r="248" spans="1:8" hidden="1" x14ac:dyDescent="0.3">
      <c r="A248" t="s">
        <v>93</v>
      </c>
      <c r="B248" t="s">
        <v>2295</v>
      </c>
      <c r="C248" t="s">
        <v>2296</v>
      </c>
      <c r="D248" t="s">
        <v>1374</v>
      </c>
      <c r="E248" s="1">
        <v>45979</v>
      </c>
      <c r="F248">
        <v>217.26</v>
      </c>
      <c r="G248" t="s">
        <v>2099</v>
      </c>
      <c r="H248">
        <v>9</v>
      </c>
    </row>
    <row r="249" spans="1:8" hidden="1" x14ac:dyDescent="0.3">
      <c r="A249" t="s">
        <v>92</v>
      </c>
      <c r="B249" t="s">
        <v>2161</v>
      </c>
      <c r="C249" t="s">
        <v>2162</v>
      </c>
      <c r="D249" t="s">
        <v>1374</v>
      </c>
      <c r="E249" s="1">
        <v>45980</v>
      </c>
      <c r="F249">
        <v>66.099999999999994</v>
      </c>
      <c r="G249" t="s">
        <v>2099</v>
      </c>
      <c r="H249">
        <v>10</v>
      </c>
    </row>
    <row r="250" spans="1:8" hidden="1" x14ac:dyDescent="0.3">
      <c r="A250" t="s">
        <v>92</v>
      </c>
      <c r="B250" t="s">
        <v>2186</v>
      </c>
      <c r="C250" t="s">
        <v>2187</v>
      </c>
      <c r="D250" t="s">
        <v>1374</v>
      </c>
      <c r="E250" s="1">
        <v>45980</v>
      </c>
      <c r="F250">
        <v>55</v>
      </c>
      <c r="G250" t="s">
        <v>2099</v>
      </c>
      <c r="H250">
        <v>10</v>
      </c>
    </row>
    <row r="251" spans="1:8" hidden="1" x14ac:dyDescent="0.3">
      <c r="A251" t="s">
        <v>92</v>
      </c>
      <c r="B251" t="s">
        <v>1816</v>
      </c>
      <c r="C251" t="s">
        <v>2233</v>
      </c>
      <c r="D251" t="s">
        <v>1374</v>
      </c>
      <c r="E251" s="1">
        <v>45980</v>
      </c>
      <c r="F251">
        <v>103</v>
      </c>
      <c r="G251" t="s">
        <v>2099</v>
      </c>
      <c r="H251">
        <v>10</v>
      </c>
    </row>
    <row r="252" spans="1:8" hidden="1" x14ac:dyDescent="0.3">
      <c r="A252" t="s">
        <v>92</v>
      </c>
      <c r="B252" t="s">
        <v>1649</v>
      </c>
      <c r="C252" t="s">
        <v>2273</v>
      </c>
      <c r="D252" t="s">
        <v>1374</v>
      </c>
      <c r="E252" s="1">
        <v>45980</v>
      </c>
      <c r="F252">
        <v>66.099999999999994</v>
      </c>
      <c r="G252" t="s">
        <v>2099</v>
      </c>
      <c r="H252">
        <v>10</v>
      </c>
    </row>
    <row r="253" spans="1:8" hidden="1" x14ac:dyDescent="0.3">
      <c r="A253" t="s">
        <v>93</v>
      </c>
      <c r="B253" t="s">
        <v>2094</v>
      </c>
      <c r="C253" t="s">
        <v>2299</v>
      </c>
      <c r="D253" t="s">
        <v>1374</v>
      </c>
      <c r="E253" s="1">
        <v>45980</v>
      </c>
      <c r="F253">
        <v>66.099999999999994</v>
      </c>
      <c r="G253" t="s">
        <v>2099</v>
      </c>
      <c r="H253">
        <v>10</v>
      </c>
    </row>
    <row r="254" spans="1:8" hidden="1" x14ac:dyDescent="0.3">
      <c r="A254" t="s">
        <v>93</v>
      </c>
      <c r="B254" t="s">
        <v>2081</v>
      </c>
      <c r="C254" t="s">
        <v>2303</v>
      </c>
      <c r="D254" t="s">
        <v>1374</v>
      </c>
      <c r="E254" s="1">
        <v>45980</v>
      </c>
      <c r="F254">
        <v>66.099999999999994</v>
      </c>
      <c r="G254" t="s">
        <v>2099</v>
      </c>
      <c r="H254">
        <v>10</v>
      </c>
    </row>
    <row r="255" spans="1:8" hidden="1" x14ac:dyDescent="0.3">
      <c r="A255" t="s">
        <v>92</v>
      </c>
      <c r="B255" t="s">
        <v>2104</v>
      </c>
      <c r="C255" t="s">
        <v>2105</v>
      </c>
      <c r="D255" t="s">
        <v>1374</v>
      </c>
      <c r="E255" s="1">
        <v>45981</v>
      </c>
      <c r="F255">
        <v>68</v>
      </c>
      <c r="G255" t="s">
        <v>2099</v>
      </c>
      <c r="H255">
        <v>11</v>
      </c>
    </row>
    <row r="256" spans="1:8" hidden="1" x14ac:dyDescent="0.3">
      <c r="A256" t="s">
        <v>92</v>
      </c>
      <c r="B256" t="s">
        <v>1594</v>
      </c>
      <c r="C256" t="s">
        <v>2167</v>
      </c>
      <c r="D256" t="s">
        <v>1374</v>
      </c>
      <c r="E256" s="1">
        <v>45981</v>
      </c>
      <c r="F256">
        <v>78.959999999999994</v>
      </c>
      <c r="G256" t="s">
        <v>2099</v>
      </c>
      <c r="H256">
        <v>11</v>
      </c>
    </row>
    <row r="257" spans="1:8" hidden="1" x14ac:dyDescent="0.3">
      <c r="A257" t="s">
        <v>92</v>
      </c>
      <c r="B257" t="s">
        <v>1638</v>
      </c>
      <c r="C257" t="s">
        <v>2232</v>
      </c>
      <c r="D257" t="s">
        <v>1374</v>
      </c>
      <c r="E257" s="1">
        <v>45981</v>
      </c>
      <c r="F257">
        <v>66.099999999999994</v>
      </c>
      <c r="G257" t="s">
        <v>2099</v>
      </c>
      <c r="H257">
        <v>11</v>
      </c>
    </row>
    <row r="258" spans="1:8" hidden="1" x14ac:dyDescent="0.3">
      <c r="A258" t="s">
        <v>92</v>
      </c>
      <c r="B258" t="s">
        <v>1570</v>
      </c>
      <c r="C258" t="s">
        <v>2234</v>
      </c>
      <c r="D258" t="s">
        <v>1374</v>
      </c>
      <c r="E258" s="1">
        <v>45981</v>
      </c>
      <c r="F258">
        <v>66.099999999999994</v>
      </c>
      <c r="G258" t="s">
        <v>2099</v>
      </c>
      <c r="H258">
        <v>11</v>
      </c>
    </row>
    <row r="259" spans="1:8" hidden="1" x14ac:dyDescent="0.3">
      <c r="A259" t="s">
        <v>92</v>
      </c>
      <c r="B259" t="s">
        <v>1640</v>
      </c>
      <c r="C259" t="s">
        <v>2238</v>
      </c>
      <c r="D259" t="s">
        <v>1374</v>
      </c>
      <c r="E259" s="1">
        <v>45981</v>
      </c>
      <c r="F259">
        <v>66.099999999999994</v>
      </c>
      <c r="G259" t="s">
        <v>2099</v>
      </c>
      <c r="H259">
        <v>11</v>
      </c>
    </row>
    <row r="260" spans="1:8" hidden="1" x14ac:dyDescent="0.3">
      <c r="A260" t="s">
        <v>92</v>
      </c>
      <c r="B260" t="s">
        <v>1575</v>
      </c>
      <c r="C260" t="s">
        <v>2248</v>
      </c>
      <c r="D260" t="s">
        <v>1374</v>
      </c>
      <c r="E260" s="1">
        <v>45981</v>
      </c>
      <c r="F260">
        <v>91.42</v>
      </c>
      <c r="G260" t="s">
        <v>2099</v>
      </c>
      <c r="H260">
        <v>11</v>
      </c>
    </row>
    <row r="261" spans="1:8" hidden="1" x14ac:dyDescent="0.3">
      <c r="A261" t="s">
        <v>92</v>
      </c>
      <c r="B261" t="s">
        <v>1817</v>
      </c>
      <c r="C261" t="s">
        <v>2249</v>
      </c>
      <c r="D261" t="s">
        <v>1374</v>
      </c>
      <c r="E261" s="1">
        <v>45981</v>
      </c>
      <c r="F261">
        <v>66.099999999999994</v>
      </c>
      <c r="G261" t="s">
        <v>2099</v>
      </c>
      <c r="H261">
        <v>11</v>
      </c>
    </row>
    <row r="262" spans="1:8" hidden="1" x14ac:dyDescent="0.3">
      <c r="A262" t="s">
        <v>875</v>
      </c>
      <c r="B262" t="s">
        <v>2097</v>
      </c>
      <c r="C262" t="s">
        <v>2286</v>
      </c>
      <c r="D262" t="s">
        <v>1374</v>
      </c>
      <c r="E262" s="1">
        <v>45981</v>
      </c>
      <c r="F262">
        <v>1291.68</v>
      </c>
      <c r="G262" t="s">
        <v>2099</v>
      </c>
      <c r="H262">
        <v>11</v>
      </c>
    </row>
    <row r="263" spans="1:8" hidden="1" x14ac:dyDescent="0.3">
      <c r="A263" t="s">
        <v>92</v>
      </c>
      <c r="B263" t="s">
        <v>1871</v>
      </c>
      <c r="C263" t="s">
        <v>2107</v>
      </c>
      <c r="D263" t="s">
        <v>1374</v>
      </c>
      <c r="E263" s="1">
        <v>45982</v>
      </c>
      <c r="F263">
        <v>91.37</v>
      </c>
      <c r="G263" t="s">
        <v>2099</v>
      </c>
      <c r="H263">
        <v>12</v>
      </c>
    </row>
    <row r="264" spans="1:8" hidden="1" x14ac:dyDescent="0.3">
      <c r="A264" t="s">
        <v>92</v>
      </c>
      <c r="B264" t="s">
        <v>1748</v>
      </c>
      <c r="C264" t="s">
        <v>2120</v>
      </c>
      <c r="D264" t="s">
        <v>1374</v>
      </c>
      <c r="E264" s="1">
        <v>45982</v>
      </c>
      <c r="F264">
        <v>91.8</v>
      </c>
      <c r="G264" t="s">
        <v>2099</v>
      </c>
      <c r="H264">
        <v>12</v>
      </c>
    </row>
    <row r="265" spans="1:8" hidden="1" x14ac:dyDescent="0.3">
      <c r="A265" t="s">
        <v>92</v>
      </c>
      <c r="B265" t="s">
        <v>2125</v>
      </c>
      <c r="C265" t="s">
        <v>2126</v>
      </c>
      <c r="D265" t="s">
        <v>1374</v>
      </c>
      <c r="E265" s="1">
        <v>45982</v>
      </c>
      <c r="F265">
        <v>70</v>
      </c>
      <c r="G265" t="s">
        <v>2099</v>
      </c>
      <c r="H265">
        <v>12</v>
      </c>
    </row>
    <row r="266" spans="1:8" hidden="1" x14ac:dyDescent="0.3">
      <c r="A266" t="s">
        <v>92</v>
      </c>
      <c r="B266" t="s">
        <v>1588</v>
      </c>
      <c r="C266" t="s">
        <v>2127</v>
      </c>
      <c r="D266" t="s">
        <v>1374</v>
      </c>
      <c r="E266" s="1">
        <v>45982</v>
      </c>
      <c r="F266">
        <v>66.099999999999994</v>
      </c>
      <c r="G266" t="s">
        <v>2099</v>
      </c>
      <c r="H266">
        <v>12</v>
      </c>
    </row>
    <row r="267" spans="1:8" hidden="1" x14ac:dyDescent="0.3">
      <c r="A267" t="s">
        <v>92</v>
      </c>
      <c r="B267" t="s">
        <v>2197</v>
      </c>
      <c r="C267" t="s">
        <v>2198</v>
      </c>
      <c r="D267" t="s">
        <v>1374</v>
      </c>
      <c r="E267" s="1">
        <v>45982</v>
      </c>
      <c r="F267">
        <v>66.099999999999994</v>
      </c>
      <c r="G267" t="s">
        <v>2099</v>
      </c>
      <c r="H267">
        <v>12</v>
      </c>
    </row>
    <row r="268" spans="1:8" hidden="1" x14ac:dyDescent="0.3">
      <c r="A268" t="s">
        <v>92</v>
      </c>
      <c r="B268" t="s">
        <v>2207</v>
      </c>
      <c r="C268" t="s">
        <v>2208</v>
      </c>
      <c r="D268" t="s">
        <v>1374</v>
      </c>
      <c r="E268" s="1">
        <v>45982</v>
      </c>
      <c r="F268">
        <v>120</v>
      </c>
      <c r="G268" t="s">
        <v>2099</v>
      </c>
      <c r="H268">
        <v>12</v>
      </c>
    </row>
    <row r="269" spans="1:8" hidden="1" x14ac:dyDescent="0.3">
      <c r="A269" t="s">
        <v>92</v>
      </c>
      <c r="B269" t="s">
        <v>2217</v>
      </c>
      <c r="C269" t="s">
        <v>2218</v>
      </c>
      <c r="D269" t="s">
        <v>1374</v>
      </c>
      <c r="E269" s="1">
        <v>45982</v>
      </c>
      <c r="F269">
        <v>80</v>
      </c>
      <c r="G269" t="s">
        <v>2099</v>
      </c>
      <c r="H269">
        <v>12</v>
      </c>
    </row>
    <row r="270" spans="1:8" hidden="1" x14ac:dyDescent="0.3">
      <c r="A270" t="s">
        <v>92</v>
      </c>
      <c r="B270" t="s">
        <v>2240</v>
      </c>
      <c r="C270" t="s">
        <v>2241</v>
      </c>
      <c r="D270" t="s">
        <v>1374</v>
      </c>
      <c r="E270" s="1">
        <v>45982</v>
      </c>
      <c r="F270">
        <v>66.099999999999994</v>
      </c>
      <c r="G270" t="s">
        <v>2099</v>
      </c>
      <c r="H270">
        <v>12</v>
      </c>
    </row>
    <row r="271" spans="1:8" hidden="1" x14ac:dyDescent="0.3">
      <c r="A271" t="s">
        <v>92</v>
      </c>
      <c r="B271" t="s">
        <v>1818</v>
      </c>
      <c r="C271" t="s">
        <v>2254</v>
      </c>
      <c r="D271" t="s">
        <v>1374</v>
      </c>
      <c r="E271" s="1">
        <v>45982</v>
      </c>
      <c r="F271">
        <v>66.099999999999994</v>
      </c>
      <c r="G271" t="s">
        <v>2099</v>
      </c>
      <c r="H271">
        <v>12</v>
      </c>
    </row>
    <row r="272" spans="1:8" hidden="1" x14ac:dyDescent="0.3">
      <c r="A272" t="s">
        <v>92</v>
      </c>
      <c r="B272" t="s">
        <v>1809</v>
      </c>
      <c r="C272" t="s">
        <v>2264</v>
      </c>
      <c r="D272" t="s">
        <v>1374</v>
      </c>
      <c r="E272" s="1">
        <v>45982</v>
      </c>
      <c r="F272">
        <v>97.62</v>
      </c>
      <c r="G272" t="s">
        <v>2099</v>
      </c>
      <c r="H272">
        <v>12</v>
      </c>
    </row>
    <row r="273" spans="1:8" hidden="1" x14ac:dyDescent="0.3">
      <c r="A273" t="s">
        <v>93</v>
      </c>
      <c r="B273" t="s">
        <v>2291</v>
      </c>
      <c r="C273" t="s">
        <v>2292</v>
      </c>
      <c r="D273" t="s">
        <v>1374</v>
      </c>
      <c r="E273" s="1">
        <v>45982</v>
      </c>
      <c r="F273">
        <v>10692.1</v>
      </c>
      <c r="G273" t="s">
        <v>2099</v>
      </c>
      <c r="H273">
        <v>12</v>
      </c>
    </row>
    <row r="274" spans="1:8" hidden="1" x14ac:dyDescent="0.3">
      <c r="A274" t="s">
        <v>93</v>
      </c>
      <c r="B274" t="s">
        <v>2091</v>
      </c>
      <c r="C274" t="s">
        <v>2300</v>
      </c>
      <c r="D274" t="s">
        <v>1374</v>
      </c>
      <c r="E274" s="1">
        <v>45982</v>
      </c>
      <c r="F274">
        <v>66.099999999999994</v>
      </c>
      <c r="G274" t="s">
        <v>2099</v>
      </c>
      <c r="H274">
        <v>12</v>
      </c>
    </row>
    <row r="275" spans="1:8" hidden="1" x14ac:dyDescent="0.3">
      <c r="A275" t="s">
        <v>92</v>
      </c>
      <c r="B275" t="s">
        <v>2202</v>
      </c>
      <c r="C275" t="s">
        <v>2203</v>
      </c>
      <c r="D275" t="s">
        <v>1374</v>
      </c>
      <c r="E275" s="1">
        <v>45984</v>
      </c>
      <c r="F275">
        <v>66</v>
      </c>
      <c r="G275" t="s">
        <v>2099</v>
      </c>
      <c r="H275">
        <v>12</v>
      </c>
    </row>
    <row r="276" spans="1:8" hidden="1" x14ac:dyDescent="0.3">
      <c r="A276" t="s">
        <v>92</v>
      </c>
      <c r="B276" t="s">
        <v>1389</v>
      </c>
      <c r="C276" t="s">
        <v>2101</v>
      </c>
      <c r="D276" t="s">
        <v>1374</v>
      </c>
      <c r="E276" s="1">
        <v>45985</v>
      </c>
      <c r="F276">
        <v>68.400000000000006</v>
      </c>
      <c r="G276" t="s">
        <v>2099</v>
      </c>
      <c r="H276">
        <v>13</v>
      </c>
    </row>
    <row r="277" spans="1:8" hidden="1" x14ac:dyDescent="0.3">
      <c r="A277" t="s">
        <v>92</v>
      </c>
      <c r="B277" t="s">
        <v>2128</v>
      </c>
      <c r="C277" t="s">
        <v>2129</v>
      </c>
      <c r="D277" t="s">
        <v>1374</v>
      </c>
      <c r="E277" s="1">
        <v>45985</v>
      </c>
      <c r="F277">
        <v>101.13</v>
      </c>
      <c r="G277" t="s">
        <v>2099</v>
      </c>
      <c r="H277">
        <v>13</v>
      </c>
    </row>
    <row r="278" spans="1:8" hidden="1" x14ac:dyDescent="0.3">
      <c r="A278" t="s">
        <v>92</v>
      </c>
      <c r="B278" t="s">
        <v>1830</v>
      </c>
      <c r="C278" t="s">
        <v>2152</v>
      </c>
      <c r="D278" t="s">
        <v>1374</v>
      </c>
      <c r="E278" s="1">
        <v>45985</v>
      </c>
      <c r="F278">
        <v>66.099999999999994</v>
      </c>
      <c r="G278" t="s">
        <v>2099</v>
      </c>
      <c r="H278">
        <v>13</v>
      </c>
    </row>
    <row r="279" spans="1:8" hidden="1" x14ac:dyDescent="0.3">
      <c r="A279" t="s">
        <v>92</v>
      </c>
      <c r="B279" t="s">
        <v>2171</v>
      </c>
      <c r="C279" t="s">
        <v>2172</v>
      </c>
      <c r="D279" t="s">
        <v>1374</v>
      </c>
      <c r="E279" s="1">
        <v>45985</v>
      </c>
      <c r="F279">
        <v>102.03</v>
      </c>
      <c r="G279" t="s">
        <v>2099</v>
      </c>
      <c r="H279">
        <v>13</v>
      </c>
    </row>
    <row r="280" spans="1:8" hidden="1" x14ac:dyDescent="0.3">
      <c r="A280" t="s">
        <v>92</v>
      </c>
      <c r="B280" t="s">
        <v>2110</v>
      </c>
      <c r="C280" t="s">
        <v>2111</v>
      </c>
      <c r="D280" t="s">
        <v>1374</v>
      </c>
      <c r="E280" s="1">
        <v>45986</v>
      </c>
      <c r="F280">
        <v>92</v>
      </c>
      <c r="G280" t="s">
        <v>2099</v>
      </c>
      <c r="H280">
        <v>14</v>
      </c>
    </row>
    <row r="281" spans="1:8" hidden="1" x14ac:dyDescent="0.3">
      <c r="A281" t="s">
        <v>92</v>
      </c>
      <c r="B281" t="s">
        <v>2121</v>
      </c>
      <c r="C281" t="s">
        <v>2122</v>
      </c>
      <c r="D281" t="s">
        <v>1374</v>
      </c>
      <c r="E281" s="1">
        <v>45986</v>
      </c>
      <c r="F281">
        <v>216.86</v>
      </c>
      <c r="G281" t="s">
        <v>2099</v>
      </c>
      <c r="H281">
        <v>14</v>
      </c>
    </row>
    <row r="282" spans="1:8" hidden="1" x14ac:dyDescent="0.3">
      <c r="A282" t="s">
        <v>92</v>
      </c>
      <c r="B282" t="s">
        <v>2142</v>
      </c>
      <c r="C282" t="s">
        <v>2143</v>
      </c>
      <c r="D282" t="s">
        <v>1374</v>
      </c>
      <c r="E282" s="1">
        <v>45986</v>
      </c>
      <c r="F282">
        <v>66.099999999999994</v>
      </c>
      <c r="G282" t="s">
        <v>2099</v>
      </c>
      <c r="H282">
        <v>14</v>
      </c>
    </row>
    <row r="283" spans="1:8" hidden="1" x14ac:dyDescent="0.3">
      <c r="A283" t="s">
        <v>92</v>
      </c>
      <c r="B283" t="s">
        <v>2157</v>
      </c>
      <c r="C283" t="s">
        <v>2158</v>
      </c>
      <c r="D283" t="s">
        <v>1374</v>
      </c>
      <c r="E283" s="1">
        <v>45986</v>
      </c>
      <c r="F283">
        <v>81.67</v>
      </c>
      <c r="G283" t="s">
        <v>2099</v>
      </c>
      <c r="H283">
        <v>14</v>
      </c>
    </row>
    <row r="284" spans="1:8" hidden="1" x14ac:dyDescent="0.3">
      <c r="A284" t="s">
        <v>92</v>
      </c>
      <c r="B284" t="s">
        <v>2159</v>
      </c>
      <c r="C284" t="s">
        <v>2160</v>
      </c>
      <c r="D284" t="s">
        <v>1374</v>
      </c>
      <c r="E284" s="1">
        <v>45986</v>
      </c>
      <c r="F284">
        <v>66.099999999999994</v>
      </c>
      <c r="G284" t="s">
        <v>2099</v>
      </c>
      <c r="H284">
        <v>14</v>
      </c>
    </row>
    <row r="285" spans="1:8" hidden="1" x14ac:dyDescent="0.3">
      <c r="A285" t="s">
        <v>92</v>
      </c>
      <c r="B285" t="s">
        <v>2177</v>
      </c>
      <c r="C285" t="s">
        <v>2178</v>
      </c>
      <c r="D285" t="s">
        <v>1374</v>
      </c>
      <c r="E285" s="1">
        <v>45986</v>
      </c>
      <c r="F285">
        <v>138.4</v>
      </c>
      <c r="G285" t="s">
        <v>2099</v>
      </c>
      <c r="H285">
        <v>14</v>
      </c>
    </row>
    <row r="286" spans="1:8" hidden="1" x14ac:dyDescent="0.3">
      <c r="A286" t="s">
        <v>92</v>
      </c>
      <c r="B286" t="s">
        <v>2179</v>
      </c>
      <c r="C286" t="s">
        <v>2180</v>
      </c>
      <c r="D286" t="s">
        <v>1374</v>
      </c>
      <c r="E286" s="1">
        <v>45986</v>
      </c>
      <c r="F286">
        <v>66.099999999999994</v>
      </c>
      <c r="G286" t="s">
        <v>2099</v>
      </c>
      <c r="H286">
        <v>14</v>
      </c>
    </row>
    <row r="287" spans="1:8" hidden="1" x14ac:dyDescent="0.3">
      <c r="A287" t="s">
        <v>92</v>
      </c>
      <c r="B287" t="s">
        <v>2199</v>
      </c>
      <c r="C287" t="s">
        <v>2200</v>
      </c>
      <c r="D287" t="s">
        <v>1374</v>
      </c>
      <c r="E287" s="1">
        <v>45986</v>
      </c>
      <c r="F287">
        <v>66.099999999999994</v>
      </c>
      <c r="G287" t="s">
        <v>2099</v>
      </c>
      <c r="H287">
        <v>14</v>
      </c>
    </row>
    <row r="288" spans="1:8" hidden="1" x14ac:dyDescent="0.3">
      <c r="A288" t="s">
        <v>92</v>
      </c>
      <c r="B288" t="s">
        <v>2215</v>
      </c>
      <c r="C288" t="s">
        <v>2216</v>
      </c>
      <c r="D288" t="s">
        <v>1374</v>
      </c>
      <c r="E288" s="1">
        <v>45986</v>
      </c>
      <c r="F288">
        <v>125.22</v>
      </c>
      <c r="G288" t="s">
        <v>2099</v>
      </c>
      <c r="H288">
        <v>14</v>
      </c>
    </row>
    <row r="289" spans="1:8" hidden="1" x14ac:dyDescent="0.3">
      <c r="A289" t="s">
        <v>92</v>
      </c>
      <c r="B289" t="s">
        <v>2242</v>
      </c>
      <c r="C289" t="s">
        <v>2243</v>
      </c>
      <c r="D289" t="s">
        <v>1374</v>
      </c>
      <c r="E289" s="1">
        <v>45986</v>
      </c>
      <c r="F289">
        <v>66.099999999999994</v>
      </c>
      <c r="G289" t="s">
        <v>2099</v>
      </c>
      <c r="H289">
        <v>14</v>
      </c>
    </row>
    <row r="290" spans="1:8" hidden="1" x14ac:dyDescent="0.3">
      <c r="A290" t="s">
        <v>92</v>
      </c>
      <c r="B290" t="s">
        <v>2274</v>
      </c>
      <c r="C290" t="s">
        <v>2275</v>
      </c>
      <c r="D290" t="s">
        <v>1374</v>
      </c>
      <c r="E290" s="1">
        <v>45986</v>
      </c>
      <c r="F290">
        <v>100</v>
      </c>
      <c r="G290" t="s">
        <v>2099</v>
      </c>
      <c r="H290">
        <v>14</v>
      </c>
    </row>
    <row r="291" spans="1:8" hidden="1" x14ac:dyDescent="0.3">
      <c r="A291" t="s">
        <v>875</v>
      </c>
      <c r="B291" t="s">
        <v>1467</v>
      </c>
      <c r="C291" t="s">
        <v>2287</v>
      </c>
      <c r="D291" t="s">
        <v>1374</v>
      </c>
      <c r="E291" s="1">
        <v>45986</v>
      </c>
      <c r="F291">
        <v>179.24</v>
      </c>
      <c r="G291" t="s">
        <v>2099</v>
      </c>
      <c r="H291">
        <v>14</v>
      </c>
    </row>
    <row r="292" spans="1:8" x14ac:dyDescent="0.3">
      <c r="A292" t="s">
        <v>6</v>
      </c>
      <c r="B292" t="s">
        <v>2059</v>
      </c>
      <c r="C292" t="s">
        <v>2304</v>
      </c>
      <c r="D292" t="s">
        <v>1374</v>
      </c>
      <c r="E292" s="1">
        <v>45986</v>
      </c>
      <c r="F292">
        <v>66.099999999999994</v>
      </c>
      <c r="G292" t="s">
        <v>2099</v>
      </c>
      <c r="H292">
        <v>14</v>
      </c>
    </row>
    <row r="293" spans="1:8" hidden="1" x14ac:dyDescent="0.3">
      <c r="A293" t="s">
        <v>92</v>
      </c>
      <c r="B293" t="s">
        <v>1848</v>
      </c>
      <c r="C293" t="s">
        <v>2109</v>
      </c>
      <c r="D293" t="s">
        <v>1374</v>
      </c>
      <c r="E293" s="1">
        <v>45987</v>
      </c>
      <c r="F293">
        <v>66.099999999999994</v>
      </c>
      <c r="G293" t="s">
        <v>2099</v>
      </c>
      <c r="H293">
        <v>15</v>
      </c>
    </row>
    <row r="294" spans="1:8" hidden="1" x14ac:dyDescent="0.3">
      <c r="A294" t="s">
        <v>92</v>
      </c>
      <c r="B294" t="s">
        <v>2123</v>
      </c>
      <c r="C294" t="s">
        <v>2124</v>
      </c>
      <c r="D294" t="s">
        <v>1374</v>
      </c>
      <c r="E294" s="1">
        <v>45987</v>
      </c>
      <c r="F294">
        <v>115</v>
      </c>
      <c r="G294" t="s">
        <v>2099</v>
      </c>
      <c r="H294">
        <v>15</v>
      </c>
    </row>
    <row r="295" spans="1:8" hidden="1" x14ac:dyDescent="0.3">
      <c r="A295" t="s">
        <v>92</v>
      </c>
      <c r="B295" t="s">
        <v>2130</v>
      </c>
      <c r="C295" t="s">
        <v>2131</v>
      </c>
      <c r="D295" t="s">
        <v>1374</v>
      </c>
      <c r="E295" s="1">
        <v>45987</v>
      </c>
      <c r="F295">
        <v>70</v>
      </c>
      <c r="G295" t="s">
        <v>2099</v>
      </c>
      <c r="H295">
        <v>15</v>
      </c>
    </row>
    <row r="296" spans="1:8" hidden="1" x14ac:dyDescent="0.3">
      <c r="A296" t="s">
        <v>92</v>
      </c>
      <c r="B296" t="s">
        <v>2138</v>
      </c>
      <c r="C296" t="s">
        <v>2139</v>
      </c>
      <c r="D296" t="s">
        <v>1374</v>
      </c>
      <c r="E296" s="1">
        <v>45987</v>
      </c>
      <c r="F296">
        <v>229.91</v>
      </c>
      <c r="G296" t="s">
        <v>2099</v>
      </c>
      <c r="H296">
        <v>15</v>
      </c>
    </row>
    <row r="297" spans="1:8" hidden="1" x14ac:dyDescent="0.3">
      <c r="A297" t="s">
        <v>92</v>
      </c>
      <c r="B297" t="s">
        <v>1585</v>
      </c>
      <c r="C297" t="s">
        <v>2257</v>
      </c>
      <c r="D297" t="s">
        <v>1374</v>
      </c>
      <c r="E297" s="1">
        <v>45987</v>
      </c>
      <c r="F297">
        <v>93</v>
      </c>
      <c r="G297" t="s">
        <v>2099</v>
      </c>
      <c r="H297">
        <v>15</v>
      </c>
    </row>
    <row r="298" spans="1:8" hidden="1" x14ac:dyDescent="0.3">
      <c r="A298" t="s">
        <v>92</v>
      </c>
      <c r="B298" t="s">
        <v>1690</v>
      </c>
      <c r="C298" t="s">
        <v>2231</v>
      </c>
      <c r="D298" t="s">
        <v>1374</v>
      </c>
      <c r="E298" s="1">
        <v>45988</v>
      </c>
      <c r="F298">
        <v>66.099999999999994</v>
      </c>
      <c r="G298" t="s">
        <v>2099</v>
      </c>
      <c r="H298">
        <v>16</v>
      </c>
    </row>
    <row r="299" spans="1:8" hidden="1" x14ac:dyDescent="0.3">
      <c r="A299" t="s">
        <v>92</v>
      </c>
      <c r="B299" t="s">
        <v>1997</v>
      </c>
      <c r="C299" t="s">
        <v>2239</v>
      </c>
      <c r="D299" t="s">
        <v>1374</v>
      </c>
      <c r="E299" s="1">
        <v>45988</v>
      </c>
      <c r="F299">
        <v>100.81</v>
      </c>
      <c r="G299" t="s">
        <v>2099</v>
      </c>
      <c r="H299">
        <v>16</v>
      </c>
    </row>
    <row r="300" spans="1:8" hidden="1" x14ac:dyDescent="0.3">
      <c r="A300" t="s">
        <v>92</v>
      </c>
      <c r="B300" t="s">
        <v>2163</v>
      </c>
      <c r="C300" t="s">
        <v>2164</v>
      </c>
      <c r="D300" t="s">
        <v>1374</v>
      </c>
      <c r="E300" s="1">
        <v>45989</v>
      </c>
      <c r="F300">
        <v>66.099999999999994</v>
      </c>
      <c r="G300" t="s">
        <v>2099</v>
      </c>
      <c r="H300">
        <v>17</v>
      </c>
    </row>
    <row r="301" spans="1:8" hidden="1" x14ac:dyDescent="0.3">
      <c r="A301" t="s">
        <v>92</v>
      </c>
      <c r="B301" t="s">
        <v>1730</v>
      </c>
      <c r="C301" t="s">
        <v>2228</v>
      </c>
      <c r="D301" t="s">
        <v>1374</v>
      </c>
      <c r="E301" s="1">
        <v>45989</v>
      </c>
      <c r="F301">
        <v>86.33</v>
      </c>
      <c r="G301" t="s">
        <v>2099</v>
      </c>
      <c r="H301">
        <v>17</v>
      </c>
    </row>
    <row r="302" spans="1:8" hidden="1" x14ac:dyDescent="0.3">
      <c r="A302" t="s">
        <v>92</v>
      </c>
      <c r="B302" t="s">
        <v>2260</v>
      </c>
      <c r="C302" t="s">
        <v>2261</v>
      </c>
      <c r="D302" t="s">
        <v>1374</v>
      </c>
      <c r="E302" s="1">
        <v>45989</v>
      </c>
      <c r="F302">
        <v>200</v>
      </c>
      <c r="G302" t="s">
        <v>2099</v>
      </c>
      <c r="H302">
        <v>17</v>
      </c>
    </row>
    <row r="303" spans="1:8" hidden="1" x14ac:dyDescent="0.3">
      <c r="A303" t="s">
        <v>92</v>
      </c>
      <c r="B303" t="s">
        <v>2262</v>
      </c>
      <c r="C303" t="s">
        <v>2263</v>
      </c>
      <c r="D303" t="s">
        <v>1374</v>
      </c>
      <c r="E303" s="1">
        <v>45989</v>
      </c>
      <c r="F303">
        <v>66.099999999999994</v>
      </c>
      <c r="G303" t="s">
        <v>2099</v>
      </c>
      <c r="H303">
        <v>17</v>
      </c>
    </row>
    <row r="304" spans="1:8" hidden="1" x14ac:dyDescent="0.3">
      <c r="A304" t="s">
        <v>92</v>
      </c>
      <c r="B304" t="s">
        <v>2279</v>
      </c>
      <c r="C304" t="s">
        <v>2280</v>
      </c>
      <c r="D304" t="s">
        <v>1374</v>
      </c>
      <c r="E304" s="1">
        <v>45989</v>
      </c>
      <c r="F304">
        <v>66.099999999999994</v>
      </c>
      <c r="G304" t="s">
        <v>2099</v>
      </c>
      <c r="H304">
        <v>17</v>
      </c>
    </row>
    <row r="305" spans="1:8" hidden="1" x14ac:dyDescent="0.3">
      <c r="A305" t="s">
        <v>92</v>
      </c>
      <c r="B305" t="s">
        <v>2212</v>
      </c>
      <c r="C305" t="s">
        <v>2213</v>
      </c>
      <c r="D305" t="s">
        <v>1374</v>
      </c>
      <c r="E305" s="1">
        <v>45990</v>
      </c>
      <c r="F305">
        <v>142.99</v>
      </c>
      <c r="G305" t="s">
        <v>2099</v>
      </c>
      <c r="H305">
        <v>17</v>
      </c>
    </row>
    <row r="306" spans="1:8" hidden="1" x14ac:dyDescent="0.3">
      <c r="A306" t="s">
        <v>92</v>
      </c>
      <c r="B306" t="s">
        <v>1777</v>
      </c>
      <c r="C306" t="s">
        <v>2278</v>
      </c>
      <c r="D306" t="s">
        <v>1374</v>
      </c>
      <c r="E306" s="1">
        <v>45990</v>
      </c>
      <c r="F306">
        <v>121.41</v>
      </c>
      <c r="G306" t="s">
        <v>2099</v>
      </c>
      <c r="H306">
        <v>17</v>
      </c>
    </row>
    <row r="307" spans="1:8" hidden="1" x14ac:dyDescent="0.3">
      <c r="A307" t="s">
        <v>92</v>
      </c>
      <c r="B307" t="s">
        <v>2136</v>
      </c>
      <c r="C307" t="s">
        <v>2137</v>
      </c>
      <c r="D307" t="s">
        <v>1374</v>
      </c>
      <c r="E307" s="1">
        <v>45992</v>
      </c>
      <c r="F307">
        <v>66.099999999999994</v>
      </c>
      <c r="G307" t="s">
        <v>2099</v>
      </c>
      <c r="H307">
        <v>18</v>
      </c>
    </row>
    <row r="308" spans="1:8" hidden="1" x14ac:dyDescent="0.3">
      <c r="A308" t="s">
        <v>92</v>
      </c>
      <c r="B308" t="s">
        <v>1706</v>
      </c>
      <c r="C308" t="s">
        <v>2144</v>
      </c>
      <c r="D308" t="s">
        <v>1374</v>
      </c>
      <c r="E308" s="1">
        <v>45992</v>
      </c>
      <c r="F308">
        <v>87.63</v>
      </c>
      <c r="G308" t="s">
        <v>2099</v>
      </c>
      <c r="H308">
        <v>18</v>
      </c>
    </row>
    <row r="309" spans="1:8" hidden="1" x14ac:dyDescent="0.3">
      <c r="A309" t="s">
        <v>92</v>
      </c>
      <c r="B309" t="s">
        <v>2169</v>
      </c>
      <c r="C309" t="s">
        <v>2170</v>
      </c>
      <c r="D309" t="s">
        <v>1374</v>
      </c>
      <c r="E309" s="1">
        <v>45992</v>
      </c>
      <c r="F309">
        <v>70</v>
      </c>
      <c r="G309" t="s">
        <v>2099</v>
      </c>
      <c r="H309">
        <v>18</v>
      </c>
    </row>
    <row r="310" spans="1:8" hidden="1" x14ac:dyDescent="0.3">
      <c r="A310" t="s">
        <v>92</v>
      </c>
      <c r="B310" t="s">
        <v>1965</v>
      </c>
      <c r="C310" t="s">
        <v>2221</v>
      </c>
      <c r="D310" t="s">
        <v>1374</v>
      </c>
      <c r="E310" s="1">
        <v>45992</v>
      </c>
      <c r="F310">
        <v>66.099999999999994</v>
      </c>
      <c r="G310" t="s">
        <v>2099</v>
      </c>
      <c r="H310">
        <v>18</v>
      </c>
    </row>
    <row r="311" spans="1:8" hidden="1" x14ac:dyDescent="0.3">
      <c r="A311" t="s">
        <v>92</v>
      </c>
      <c r="B311" t="s">
        <v>2224</v>
      </c>
      <c r="C311" t="s">
        <v>2225</v>
      </c>
      <c r="D311" t="s">
        <v>1374</v>
      </c>
      <c r="E311" s="1">
        <v>45992</v>
      </c>
      <c r="F311">
        <v>113.64</v>
      </c>
      <c r="G311" t="s">
        <v>2099</v>
      </c>
      <c r="H311">
        <v>18</v>
      </c>
    </row>
    <row r="312" spans="1:8" hidden="1" x14ac:dyDescent="0.3">
      <c r="A312" t="s">
        <v>92</v>
      </c>
      <c r="B312" t="s">
        <v>1973</v>
      </c>
      <c r="C312" t="s">
        <v>2277</v>
      </c>
      <c r="D312" t="s">
        <v>1374</v>
      </c>
      <c r="E312" s="1">
        <v>45992</v>
      </c>
      <c r="F312">
        <v>67</v>
      </c>
      <c r="G312" t="s">
        <v>2099</v>
      </c>
      <c r="H312">
        <v>18</v>
      </c>
    </row>
    <row r="313" spans="1:8" hidden="1" x14ac:dyDescent="0.3">
      <c r="A313" t="s">
        <v>92</v>
      </c>
      <c r="B313" t="s">
        <v>2118</v>
      </c>
      <c r="C313" t="s">
        <v>2119</v>
      </c>
      <c r="D313" t="s">
        <v>1374</v>
      </c>
      <c r="E313" s="1">
        <v>45993</v>
      </c>
      <c r="F313">
        <v>144</v>
      </c>
      <c r="G313" t="s">
        <v>2099</v>
      </c>
      <c r="H313">
        <v>19</v>
      </c>
    </row>
    <row r="314" spans="1:8" hidden="1" x14ac:dyDescent="0.3">
      <c r="A314" t="s">
        <v>92</v>
      </c>
      <c r="B314" t="s">
        <v>2146</v>
      </c>
      <c r="C314" t="s">
        <v>2147</v>
      </c>
      <c r="D314" t="s">
        <v>1374</v>
      </c>
      <c r="E314" s="1">
        <v>45993</v>
      </c>
      <c r="F314">
        <v>121.72</v>
      </c>
      <c r="G314" t="s">
        <v>2099</v>
      </c>
      <c r="H314">
        <v>19</v>
      </c>
    </row>
    <row r="315" spans="1:8" hidden="1" x14ac:dyDescent="0.3">
      <c r="A315" t="s">
        <v>92</v>
      </c>
      <c r="B315" t="s">
        <v>1998</v>
      </c>
      <c r="C315" t="s">
        <v>2251</v>
      </c>
      <c r="D315" t="s">
        <v>1374</v>
      </c>
      <c r="E315" s="1">
        <v>45993</v>
      </c>
      <c r="F315">
        <v>66.099999999999994</v>
      </c>
      <c r="G315" t="s">
        <v>2099</v>
      </c>
      <c r="H315">
        <v>19</v>
      </c>
    </row>
    <row r="316" spans="1:8" hidden="1" x14ac:dyDescent="0.3">
      <c r="A316" t="s">
        <v>92</v>
      </c>
      <c r="B316" t="s">
        <v>2134</v>
      </c>
      <c r="C316" t="s">
        <v>2135</v>
      </c>
      <c r="D316" t="s">
        <v>1374</v>
      </c>
      <c r="E316" s="1">
        <v>45994</v>
      </c>
      <c r="F316">
        <v>66.099999999999994</v>
      </c>
      <c r="G316" t="s">
        <v>2099</v>
      </c>
      <c r="H316">
        <v>20</v>
      </c>
    </row>
    <row r="317" spans="1:8" hidden="1" x14ac:dyDescent="0.3">
      <c r="A317" t="s">
        <v>92</v>
      </c>
      <c r="B317" t="s">
        <v>1553</v>
      </c>
      <c r="C317" t="s">
        <v>2145</v>
      </c>
      <c r="D317" t="s">
        <v>1374</v>
      </c>
      <c r="E317" s="1">
        <v>45994</v>
      </c>
      <c r="F317">
        <v>66.099999999999994</v>
      </c>
      <c r="G317" t="s">
        <v>2099</v>
      </c>
      <c r="H317">
        <v>20</v>
      </c>
    </row>
    <row r="318" spans="1:8" hidden="1" x14ac:dyDescent="0.3">
      <c r="A318" t="s">
        <v>92</v>
      </c>
      <c r="B318" t="s">
        <v>2150</v>
      </c>
      <c r="C318" t="s">
        <v>2151</v>
      </c>
      <c r="D318" t="s">
        <v>1374</v>
      </c>
      <c r="E318" s="1">
        <v>45994</v>
      </c>
      <c r="F318">
        <v>91.69</v>
      </c>
      <c r="G318" t="s">
        <v>2099</v>
      </c>
      <c r="H318">
        <v>20</v>
      </c>
    </row>
    <row r="319" spans="1:8" hidden="1" x14ac:dyDescent="0.3">
      <c r="A319" t="s">
        <v>92</v>
      </c>
      <c r="B319" t="s">
        <v>1610</v>
      </c>
      <c r="C319" t="s">
        <v>2227</v>
      </c>
      <c r="D319" t="s">
        <v>1374</v>
      </c>
      <c r="E319" s="1">
        <v>45994</v>
      </c>
      <c r="F319">
        <v>108.8</v>
      </c>
      <c r="G319" t="s">
        <v>2099</v>
      </c>
      <c r="H319">
        <v>20</v>
      </c>
    </row>
    <row r="320" spans="1:8" hidden="1" x14ac:dyDescent="0.3">
      <c r="A320" t="s">
        <v>92</v>
      </c>
      <c r="B320" t="s">
        <v>1868</v>
      </c>
      <c r="C320" t="s">
        <v>2276</v>
      </c>
      <c r="D320" t="s">
        <v>1374</v>
      </c>
      <c r="E320" s="1">
        <v>45994</v>
      </c>
      <c r="F320">
        <v>181.99</v>
      </c>
      <c r="G320" t="s">
        <v>2099</v>
      </c>
      <c r="H320">
        <v>20</v>
      </c>
    </row>
    <row r="321" spans="1:8" hidden="1" x14ac:dyDescent="0.3">
      <c r="A321" t="s">
        <v>875</v>
      </c>
      <c r="B321" t="s">
        <v>2283</v>
      </c>
      <c r="C321" t="s">
        <v>2284</v>
      </c>
      <c r="D321" t="s">
        <v>1374</v>
      </c>
      <c r="E321" s="1">
        <v>45994</v>
      </c>
      <c r="F321">
        <v>66.099999999999994</v>
      </c>
      <c r="G321" t="s">
        <v>2099</v>
      </c>
      <c r="H321">
        <v>20</v>
      </c>
    </row>
    <row r="322" spans="1:8" hidden="1" x14ac:dyDescent="0.3">
      <c r="A322" t="s">
        <v>875</v>
      </c>
      <c r="B322" t="s">
        <v>1440</v>
      </c>
      <c r="C322" t="s">
        <v>2290</v>
      </c>
      <c r="D322" t="s">
        <v>1374</v>
      </c>
      <c r="E322" s="1">
        <v>45994</v>
      </c>
      <c r="F322">
        <v>424.42</v>
      </c>
      <c r="G322" t="s">
        <v>2099</v>
      </c>
      <c r="H322">
        <v>20</v>
      </c>
    </row>
    <row r="323" spans="1:8" hidden="1" x14ac:dyDescent="0.3">
      <c r="A323" t="s">
        <v>92</v>
      </c>
      <c r="B323" t="s">
        <v>1881</v>
      </c>
      <c r="C323" t="s">
        <v>2184</v>
      </c>
      <c r="D323" t="s">
        <v>1374</v>
      </c>
      <c r="E323" s="1">
        <v>45995</v>
      </c>
      <c r="F323">
        <v>66.099999999999994</v>
      </c>
      <c r="G323" t="s">
        <v>2099</v>
      </c>
      <c r="H323">
        <v>21</v>
      </c>
    </row>
    <row r="324" spans="1:8" hidden="1" x14ac:dyDescent="0.3">
      <c r="A324" t="s">
        <v>92</v>
      </c>
      <c r="B324" t="s">
        <v>2116</v>
      </c>
      <c r="C324" t="s">
        <v>2117</v>
      </c>
      <c r="D324" t="s">
        <v>1374</v>
      </c>
      <c r="E324" s="1">
        <v>45996</v>
      </c>
      <c r="F324">
        <v>66.099999999999994</v>
      </c>
      <c r="G324" t="s">
        <v>2099</v>
      </c>
      <c r="H324">
        <v>22</v>
      </c>
    </row>
    <row r="325" spans="1:8" hidden="1" x14ac:dyDescent="0.3">
      <c r="A325" t="s">
        <v>92</v>
      </c>
      <c r="B325" t="s">
        <v>2209</v>
      </c>
      <c r="C325" t="s">
        <v>2210</v>
      </c>
      <c r="D325" t="s">
        <v>1374</v>
      </c>
      <c r="E325" s="1">
        <v>45996</v>
      </c>
      <c r="F325">
        <v>66.099999999999994</v>
      </c>
      <c r="G325" t="s">
        <v>2099</v>
      </c>
      <c r="H325">
        <v>22</v>
      </c>
    </row>
    <row r="326" spans="1:8" x14ac:dyDescent="0.3">
      <c r="A326" t="s">
        <v>6</v>
      </c>
      <c r="D326" t="s">
        <v>1374</v>
      </c>
      <c r="F326">
        <v>0</v>
      </c>
      <c r="G326" t="s">
        <v>1436</v>
      </c>
      <c r="H326">
        <v>2</v>
      </c>
    </row>
    <row r="327" spans="1:8" x14ac:dyDescent="0.3">
      <c r="A327" t="s">
        <v>6</v>
      </c>
      <c r="D327" t="s">
        <v>1374</v>
      </c>
      <c r="F327">
        <v>0</v>
      </c>
      <c r="G327" t="s">
        <v>1436</v>
      </c>
      <c r="H327">
        <v>3</v>
      </c>
    </row>
    <row r="328" spans="1:8" x14ac:dyDescent="0.3">
      <c r="A328" t="s">
        <v>6</v>
      </c>
      <c r="D328" t="s">
        <v>1374</v>
      </c>
      <c r="F328">
        <v>0</v>
      </c>
      <c r="G328" t="s">
        <v>1436</v>
      </c>
      <c r="H328">
        <v>4</v>
      </c>
    </row>
    <row r="329" spans="1:8" x14ac:dyDescent="0.3">
      <c r="A329" t="s">
        <v>6</v>
      </c>
      <c r="D329" t="s">
        <v>1374</v>
      </c>
      <c r="F329">
        <v>0</v>
      </c>
      <c r="G329" t="s">
        <v>1436</v>
      </c>
      <c r="H329">
        <v>5</v>
      </c>
    </row>
    <row r="330" spans="1:8" x14ac:dyDescent="0.3">
      <c r="A330" t="s">
        <v>6</v>
      </c>
      <c r="D330" t="s">
        <v>1374</v>
      </c>
      <c r="F330">
        <v>0</v>
      </c>
      <c r="G330" t="s">
        <v>1436</v>
      </c>
      <c r="H330">
        <v>6</v>
      </c>
    </row>
    <row r="331" spans="1:8" x14ac:dyDescent="0.3">
      <c r="A331" t="s">
        <v>6</v>
      </c>
      <c r="D331" t="s">
        <v>1374</v>
      </c>
      <c r="F331">
        <v>0</v>
      </c>
      <c r="G331" t="s">
        <v>1436</v>
      </c>
      <c r="H331">
        <v>7</v>
      </c>
    </row>
    <row r="332" spans="1:8" x14ac:dyDescent="0.3">
      <c r="A332" t="s">
        <v>6</v>
      </c>
      <c r="D332" t="s">
        <v>1374</v>
      </c>
      <c r="F332">
        <v>0</v>
      </c>
      <c r="G332" t="s">
        <v>1436</v>
      </c>
      <c r="H332">
        <v>8</v>
      </c>
    </row>
    <row r="333" spans="1:8" x14ac:dyDescent="0.3">
      <c r="A333" t="s">
        <v>6</v>
      </c>
      <c r="D333" t="s">
        <v>1374</v>
      </c>
      <c r="F333">
        <v>0</v>
      </c>
      <c r="G333" t="s">
        <v>1436</v>
      </c>
      <c r="H333">
        <v>9</v>
      </c>
    </row>
    <row r="334" spans="1:8" x14ac:dyDescent="0.3">
      <c r="A334" t="s">
        <v>6</v>
      </c>
      <c r="D334" t="s">
        <v>1374</v>
      </c>
      <c r="F334">
        <v>0</v>
      </c>
      <c r="G334" t="s">
        <v>1436</v>
      </c>
      <c r="H334">
        <v>10</v>
      </c>
    </row>
    <row r="335" spans="1:8" x14ac:dyDescent="0.3">
      <c r="A335" t="s">
        <v>6</v>
      </c>
      <c r="D335" t="s">
        <v>1374</v>
      </c>
      <c r="F335">
        <v>0</v>
      </c>
      <c r="G335" t="s">
        <v>1436</v>
      </c>
      <c r="H335">
        <v>11</v>
      </c>
    </row>
    <row r="336" spans="1:8" x14ac:dyDescent="0.3">
      <c r="A336" t="s">
        <v>6</v>
      </c>
      <c r="D336" t="s">
        <v>1374</v>
      </c>
      <c r="F336">
        <v>0</v>
      </c>
      <c r="G336" t="s">
        <v>1436</v>
      </c>
      <c r="H336">
        <v>12</v>
      </c>
    </row>
    <row r="337" spans="1:8" x14ac:dyDescent="0.3">
      <c r="A337" t="s">
        <v>6</v>
      </c>
      <c r="D337" t="s">
        <v>1374</v>
      </c>
      <c r="F337">
        <v>0</v>
      </c>
      <c r="G337" t="s">
        <v>1436</v>
      </c>
      <c r="H337">
        <v>16</v>
      </c>
    </row>
    <row r="338" spans="1:8" x14ac:dyDescent="0.3">
      <c r="A338" t="s">
        <v>6</v>
      </c>
      <c r="D338" t="s">
        <v>1374</v>
      </c>
      <c r="F338">
        <v>0</v>
      </c>
      <c r="G338" t="s">
        <v>1436</v>
      </c>
      <c r="H338">
        <v>17</v>
      </c>
    </row>
    <row r="339" spans="1:8" x14ac:dyDescent="0.3">
      <c r="A339" t="s">
        <v>6</v>
      </c>
      <c r="D339" t="s">
        <v>1374</v>
      </c>
      <c r="F339">
        <v>0</v>
      </c>
      <c r="G339" t="s">
        <v>1436</v>
      </c>
      <c r="H339">
        <v>18</v>
      </c>
    </row>
    <row r="340" spans="1:8" x14ac:dyDescent="0.3">
      <c r="A340" t="s">
        <v>6</v>
      </c>
      <c r="D340" t="s">
        <v>1374</v>
      </c>
      <c r="F340">
        <v>0</v>
      </c>
      <c r="G340" t="s">
        <v>1436</v>
      </c>
      <c r="H340">
        <v>19</v>
      </c>
    </row>
    <row r="341" spans="1:8" x14ac:dyDescent="0.3">
      <c r="A341" t="s">
        <v>6</v>
      </c>
      <c r="D341" t="s">
        <v>1374</v>
      </c>
      <c r="F341">
        <v>0</v>
      </c>
      <c r="G341" t="s">
        <v>1436</v>
      </c>
      <c r="H341">
        <v>20</v>
      </c>
    </row>
    <row r="342" spans="1:8" x14ac:dyDescent="0.3">
      <c r="A342" t="s">
        <v>6</v>
      </c>
      <c r="D342" t="s">
        <v>1374</v>
      </c>
      <c r="F342">
        <v>0</v>
      </c>
      <c r="G342" t="s">
        <v>1436</v>
      </c>
      <c r="H342">
        <v>21</v>
      </c>
    </row>
    <row r="343" spans="1:8" x14ac:dyDescent="0.3">
      <c r="A343" t="s">
        <v>6</v>
      </c>
      <c r="D343" t="s">
        <v>1374</v>
      </c>
      <c r="F343">
        <v>0</v>
      </c>
      <c r="G343" t="s">
        <v>1436</v>
      </c>
      <c r="H343">
        <v>22</v>
      </c>
    </row>
    <row r="344" spans="1:8" x14ac:dyDescent="0.3">
      <c r="A344" t="s">
        <v>6</v>
      </c>
      <c r="D344" t="s">
        <v>1374</v>
      </c>
      <c r="F344">
        <v>0</v>
      </c>
      <c r="G344" t="s">
        <v>1437</v>
      </c>
      <c r="H344">
        <v>2</v>
      </c>
    </row>
    <row r="345" spans="1:8" x14ac:dyDescent="0.3">
      <c r="A345" t="s">
        <v>6</v>
      </c>
      <c r="D345" t="s">
        <v>1374</v>
      </c>
      <c r="F345">
        <v>0</v>
      </c>
      <c r="G345" t="s">
        <v>1437</v>
      </c>
      <c r="H345">
        <v>3</v>
      </c>
    </row>
    <row r="346" spans="1:8" x14ac:dyDescent="0.3">
      <c r="A346" t="s">
        <v>6</v>
      </c>
      <c r="D346" t="s">
        <v>1374</v>
      </c>
      <c r="F346">
        <v>0</v>
      </c>
      <c r="G346" t="s">
        <v>1437</v>
      </c>
      <c r="H346">
        <v>4</v>
      </c>
    </row>
    <row r="347" spans="1:8" x14ac:dyDescent="0.3">
      <c r="A347" t="s">
        <v>6</v>
      </c>
      <c r="D347" t="s">
        <v>1374</v>
      </c>
      <c r="F347">
        <v>0</v>
      </c>
      <c r="G347" t="s">
        <v>1437</v>
      </c>
      <c r="H347">
        <v>5</v>
      </c>
    </row>
    <row r="348" spans="1:8" x14ac:dyDescent="0.3">
      <c r="A348" t="s">
        <v>6</v>
      </c>
      <c r="D348" t="s">
        <v>1374</v>
      </c>
      <c r="F348">
        <v>0</v>
      </c>
      <c r="G348" t="s">
        <v>1437</v>
      </c>
      <c r="H348">
        <v>6</v>
      </c>
    </row>
    <row r="349" spans="1:8" x14ac:dyDescent="0.3">
      <c r="A349" t="s">
        <v>6</v>
      </c>
      <c r="D349" t="s">
        <v>1374</v>
      </c>
      <c r="F349">
        <v>0</v>
      </c>
      <c r="G349" t="s">
        <v>1437</v>
      </c>
      <c r="H349">
        <v>7</v>
      </c>
    </row>
    <row r="350" spans="1:8" x14ac:dyDescent="0.3">
      <c r="A350" t="s">
        <v>6</v>
      </c>
      <c r="D350" t="s">
        <v>1374</v>
      </c>
      <c r="F350">
        <v>0</v>
      </c>
      <c r="G350" t="s">
        <v>1437</v>
      </c>
      <c r="H350">
        <v>8</v>
      </c>
    </row>
    <row r="351" spans="1:8" x14ac:dyDescent="0.3">
      <c r="A351" t="s">
        <v>6</v>
      </c>
      <c r="D351" t="s">
        <v>1374</v>
      </c>
      <c r="F351">
        <v>0</v>
      </c>
      <c r="G351" t="s">
        <v>1437</v>
      </c>
      <c r="H351">
        <v>9</v>
      </c>
    </row>
    <row r="352" spans="1:8" x14ac:dyDescent="0.3">
      <c r="A352" t="s">
        <v>6</v>
      </c>
      <c r="D352" t="s">
        <v>1374</v>
      </c>
      <c r="F352">
        <v>0</v>
      </c>
      <c r="G352" t="s">
        <v>1437</v>
      </c>
      <c r="H352">
        <v>10</v>
      </c>
    </row>
    <row r="353" spans="1:8" x14ac:dyDescent="0.3">
      <c r="A353" t="s">
        <v>6</v>
      </c>
      <c r="D353" t="s">
        <v>1374</v>
      </c>
      <c r="F353">
        <v>0</v>
      </c>
      <c r="G353" t="s">
        <v>1437</v>
      </c>
      <c r="H353">
        <v>11</v>
      </c>
    </row>
    <row r="354" spans="1:8" x14ac:dyDescent="0.3">
      <c r="A354" t="s">
        <v>6</v>
      </c>
      <c r="D354" t="s">
        <v>1374</v>
      </c>
      <c r="F354">
        <v>0</v>
      </c>
      <c r="G354" t="s">
        <v>1437</v>
      </c>
      <c r="H354">
        <v>12</v>
      </c>
    </row>
    <row r="355" spans="1:8" x14ac:dyDescent="0.3">
      <c r="A355" t="s">
        <v>6</v>
      </c>
      <c r="D355" t="s">
        <v>1374</v>
      </c>
      <c r="F355">
        <v>0</v>
      </c>
      <c r="G355" t="s">
        <v>1437</v>
      </c>
      <c r="H355">
        <v>16</v>
      </c>
    </row>
    <row r="356" spans="1:8" x14ac:dyDescent="0.3">
      <c r="A356" t="s">
        <v>6</v>
      </c>
      <c r="D356" t="s">
        <v>1374</v>
      </c>
      <c r="F356">
        <v>0</v>
      </c>
      <c r="G356" t="s">
        <v>1437</v>
      </c>
      <c r="H356">
        <v>17</v>
      </c>
    </row>
    <row r="357" spans="1:8" x14ac:dyDescent="0.3">
      <c r="A357" t="s">
        <v>6</v>
      </c>
      <c r="D357" t="s">
        <v>1374</v>
      </c>
      <c r="F357">
        <v>0</v>
      </c>
      <c r="G357" t="s">
        <v>1437</v>
      </c>
      <c r="H357">
        <v>18</v>
      </c>
    </row>
    <row r="358" spans="1:8" x14ac:dyDescent="0.3">
      <c r="A358" t="s">
        <v>6</v>
      </c>
      <c r="D358" t="s">
        <v>1374</v>
      </c>
      <c r="F358">
        <v>0</v>
      </c>
      <c r="G358" t="s">
        <v>1437</v>
      </c>
      <c r="H358">
        <v>19</v>
      </c>
    </row>
    <row r="359" spans="1:8" x14ac:dyDescent="0.3">
      <c r="A359" t="s">
        <v>6</v>
      </c>
      <c r="D359" t="s">
        <v>1374</v>
      </c>
      <c r="F359">
        <v>0</v>
      </c>
      <c r="G359" t="s">
        <v>1437</v>
      </c>
      <c r="H359">
        <v>20</v>
      </c>
    </row>
    <row r="360" spans="1:8" x14ac:dyDescent="0.3">
      <c r="A360" t="s">
        <v>6</v>
      </c>
      <c r="D360" t="s">
        <v>1374</v>
      </c>
      <c r="F360">
        <v>0</v>
      </c>
      <c r="G360" t="s">
        <v>1437</v>
      </c>
      <c r="H360">
        <v>21</v>
      </c>
    </row>
    <row r="361" spans="1:8" x14ac:dyDescent="0.3">
      <c r="A361" t="s">
        <v>6</v>
      </c>
      <c r="D361" t="s">
        <v>1374</v>
      </c>
      <c r="F361">
        <v>0</v>
      </c>
      <c r="G361" t="s">
        <v>1437</v>
      </c>
      <c r="H361">
        <v>22</v>
      </c>
    </row>
    <row r="362" spans="1:8" x14ac:dyDescent="0.3">
      <c r="A362" t="s">
        <v>6</v>
      </c>
      <c r="D362" t="s">
        <v>1374</v>
      </c>
      <c r="F362">
        <v>0</v>
      </c>
      <c r="G362" t="s">
        <v>2099</v>
      </c>
      <c r="H362">
        <v>2</v>
      </c>
    </row>
    <row r="363" spans="1:8" x14ac:dyDescent="0.3">
      <c r="A363" t="s">
        <v>6</v>
      </c>
      <c r="D363" t="s">
        <v>1374</v>
      </c>
      <c r="F363">
        <v>0</v>
      </c>
      <c r="G363" t="s">
        <v>2099</v>
      </c>
      <c r="H363">
        <v>3</v>
      </c>
    </row>
    <row r="364" spans="1:8" x14ac:dyDescent="0.3">
      <c r="A364" t="s">
        <v>6</v>
      </c>
      <c r="D364" t="s">
        <v>1374</v>
      </c>
      <c r="F364">
        <v>0</v>
      </c>
      <c r="G364" t="s">
        <v>2099</v>
      </c>
      <c r="H364">
        <v>4</v>
      </c>
    </row>
    <row r="365" spans="1:8" x14ac:dyDescent="0.3">
      <c r="A365" t="s">
        <v>6</v>
      </c>
      <c r="D365" t="s">
        <v>1374</v>
      </c>
      <c r="F365">
        <v>0</v>
      </c>
      <c r="G365" t="s">
        <v>2099</v>
      </c>
      <c r="H365">
        <v>5</v>
      </c>
    </row>
    <row r="366" spans="1:8" x14ac:dyDescent="0.3">
      <c r="A366" t="s">
        <v>6</v>
      </c>
      <c r="D366" t="s">
        <v>1374</v>
      </c>
      <c r="F366">
        <v>0</v>
      </c>
      <c r="G366" t="s">
        <v>2099</v>
      </c>
      <c r="H366">
        <v>6</v>
      </c>
    </row>
    <row r="367" spans="1:8" x14ac:dyDescent="0.3">
      <c r="A367" t="s">
        <v>6</v>
      </c>
      <c r="D367" t="s">
        <v>1374</v>
      </c>
      <c r="F367">
        <v>0</v>
      </c>
      <c r="G367" t="s">
        <v>2099</v>
      </c>
      <c r="H367">
        <v>7</v>
      </c>
    </row>
    <row r="368" spans="1:8" x14ac:dyDescent="0.3">
      <c r="A368" t="s">
        <v>6</v>
      </c>
      <c r="D368" t="s">
        <v>1374</v>
      </c>
      <c r="F368">
        <v>0</v>
      </c>
      <c r="G368" t="s">
        <v>2099</v>
      </c>
      <c r="H368">
        <v>8</v>
      </c>
    </row>
    <row r="369" spans="1:8" x14ac:dyDescent="0.3">
      <c r="A369" t="s">
        <v>6</v>
      </c>
      <c r="D369" t="s">
        <v>1374</v>
      </c>
      <c r="F369">
        <v>0</v>
      </c>
      <c r="G369" t="s">
        <v>2099</v>
      </c>
      <c r="H369">
        <v>9</v>
      </c>
    </row>
    <row r="370" spans="1:8" x14ac:dyDescent="0.3">
      <c r="A370" t="s">
        <v>6</v>
      </c>
      <c r="D370" t="s">
        <v>1374</v>
      </c>
      <c r="F370">
        <v>0</v>
      </c>
      <c r="G370" t="s">
        <v>2099</v>
      </c>
      <c r="H370">
        <v>10</v>
      </c>
    </row>
    <row r="371" spans="1:8" x14ac:dyDescent="0.3">
      <c r="A371" t="s">
        <v>6</v>
      </c>
      <c r="D371" t="s">
        <v>1374</v>
      </c>
      <c r="F371">
        <v>0</v>
      </c>
      <c r="G371" t="s">
        <v>2099</v>
      </c>
      <c r="H371">
        <v>11</v>
      </c>
    </row>
    <row r="372" spans="1:8" x14ac:dyDescent="0.3">
      <c r="A372" t="s">
        <v>6</v>
      </c>
      <c r="D372" t="s">
        <v>1374</v>
      </c>
      <c r="F372">
        <v>0</v>
      </c>
      <c r="G372" t="s">
        <v>2099</v>
      </c>
      <c r="H372">
        <v>12</v>
      </c>
    </row>
    <row r="373" spans="1:8" x14ac:dyDescent="0.3">
      <c r="A373" t="s">
        <v>6</v>
      </c>
      <c r="D373" t="s">
        <v>1374</v>
      </c>
      <c r="F373">
        <v>0</v>
      </c>
      <c r="G373" t="s">
        <v>2099</v>
      </c>
      <c r="H373">
        <v>16</v>
      </c>
    </row>
    <row r="374" spans="1:8" x14ac:dyDescent="0.3">
      <c r="A374" t="s">
        <v>6</v>
      </c>
      <c r="D374" t="s">
        <v>1374</v>
      </c>
      <c r="F374">
        <v>0</v>
      </c>
      <c r="G374" t="s">
        <v>2099</v>
      </c>
      <c r="H374">
        <v>17</v>
      </c>
    </row>
    <row r="375" spans="1:8" x14ac:dyDescent="0.3">
      <c r="A375" t="s">
        <v>6</v>
      </c>
      <c r="D375" t="s">
        <v>1374</v>
      </c>
      <c r="F375">
        <v>0</v>
      </c>
      <c r="G375" t="s">
        <v>2099</v>
      </c>
      <c r="H375">
        <v>18</v>
      </c>
    </row>
    <row r="376" spans="1:8" x14ac:dyDescent="0.3">
      <c r="A376" t="s">
        <v>6</v>
      </c>
      <c r="D376" t="s">
        <v>1374</v>
      </c>
      <c r="F376">
        <v>0</v>
      </c>
      <c r="G376" t="s">
        <v>2099</v>
      </c>
      <c r="H376">
        <v>19</v>
      </c>
    </row>
    <row r="377" spans="1:8" x14ac:dyDescent="0.3">
      <c r="A377" t="s">
        <v>6</v>
      </c>
      <c r="D377" t="s">
        <v>1374</v>
      </c>
      <c r="F377">
        <v>0</v>
      </c>
      <c r="G377" t="s">
        <v>2099</v>
      </c>
      <c r="H377">
        <v>20</v>
      </c>
    </row>
    <row r="378" spans="1:8" x14ac:dyDescent="0.3">
      <c r="A378" t="s">
        <v>6</v>
      </c>
      <c r="D378" t="s">
        <v>1374</v>
      </c>
      <c r="F378">
        <v>0</v>
      </c>
      <c r="G378" t="s">
        <v>2099</v>
      </c>
      <c r="H378">
        <v>21</v>
      </c>
    </row>
    <row r="379" spans="1:8" x14ac:dyDescent="0.3">
      <c r="A379" t="s">
        <v>6</v>
      </c>
      <c r="D379" t="s">
        <v>1374</v>
      </c>
      <c r="F379">
        <v>0</v>
      </c>
      <c r="G379" t="s">
        <v>2099</v>
      </c>
      <c r="H379">
        <v>22</v>
      </c>
    </row>
  </sheetData>
  <autoFilter ref="A1:H325" xr:uid="{067018BD-86ED-4171-9EDE-87CBD117C748}">
    <filterColumn colId="0">
      <filters>
        <filter val="PRESUNTA"/>
      </filters>
    </filterColumn>
  </autoFilter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6689-7143-4220-9DAC-F348B2C9F5A2}">
  <dimension ref="A3:U29"/>
  <sheetViews>
    <sheetView topLeftCell="D1" workbookViewId="0">
      <selection activeCell="Q5" sqref="Q5:U28"/>
    </sheetView>
  </sheetViews>
  <sheetFormatPr baseColWidth="10" defaultRowHeight="14.4" x14ac:dyDescent="0.3"/>
  <cols>
    <col min="1" max="1" width="17.109375" bestFit="1" customWidth="1"/>
    <col min="2" max="2" width="9.109375" style="57" bestFit="1" customWidth="1"/>
    <col min="3" max="3" width="18.33203125" style="57" bestFit="1" customWidth="1"/>
    <col min="4" max="4" width="4" style="57" bestFit="1" customWidth="1"/>
    <col min="5" max="5" width="18.33203125" style="57" bestFit="1" customWidth="1"/>
    <col min="6" max="6" width="5" style="5" bestFit="1" customWidth="1"/>
    <col min="7" max="7" width="18.33203125" style="5" bestFit="1" customWidth="1"/>
    <col min="8" max="8" width="26.88671875" style="5" bestFit="1" customWidth="1"/>
    <col min="9" max="9" width="23.21875" style="5" bestFit="1" customWidth="1"/>
    <col min="14" max="14" width="19.6640625" bestFit="1" customWidth="1"/>
  </cols>
  <sheetData>
    <row r="3" spans="1:21" x14ac:dyDescent="0.3">
      <c r="B3" s="56" t="s">
        <v>2311</v>
      </c>
      <c r="C3" s="5"/>
      <c r="F3" s="57"/>
      <c r="G3" s="57"/>
      <c r="H3" s="57"/>
      <c r="I3" s="57"/>
    </row>
    <row r="4" spans="1:21" x14ac:dyDescent="0.3">
      <c r="B4" s="57" t="s">
        <v>2308</v>
      </c>
      <c r="D4" s="57" t="s">
        <v>2309</v>
      </c>
      <c r="F4" s="57" t="s">
        <v>2310</v>
      </c>
      <c r="G4" s="57"/>
      <c r="H4" s="57" t="s">
        <v>2306</v>
      </c>
      <c r="I4" s="57" t="s">
        <v>2305</v>
      </c>
      <c r="K4" s="8" t="s">
        <v>1498</v>
      </c>
      <c r="L4" s="9" t="s">
        <v>1499</v>
      </c>
      <c r="M4" s="9" t="s">
        <v>703</v>
      </c>
      <c r="N4" s="9" t="s">
        <v>2312</v>
      </c>
      <c r="O4" s="10" t="s">
        <v>1500</v>
      </c>
    </row>
    <row r="5" spans="1:21" x14ac:dyDescent="0.3">
      <c r="A5" s="2" t="s">
        <v>701</v>
      </c>
      <c r="B5" s="7" t="s">
        <v>2307</v>
      </c>
      <c r="C5" s="5" t="s">
        <v>709</v>
      </c>
      <c r="D5" s="7" t="s">
        <v>2307</v>
      </c>
      <c r="E5" s="5" t="s">
        <v>709</v>
      </c>
      <c r="F5" s="7" t="s">
        <v>2307</v>
      </c>
      <c r="G5" s="5" t="s">
        <v>709</v>
      </c>
      <c r="H5" s="57"/>
      <c r="I5" s="57"/>
      <c r="K5" s="11">
        <v>1</v>
      </c>
      <c r="L5" s="12">
        <f>C6/$C$29</f>
        <v>1.4265248776273887E-2</v>
      </c>
      <c r="M5" s="12">
        <f>E6/$E$29</f>
        <v>3.3766566134210162E-2</v>
      </c>
      <c r="N5" s="12">
        <f>G6/$G$29</f>
        <v>1.0403535863210184E-3</v>
      </c>
      <c r="O5" s="59">
        <f>I6/$I$29</f>
        <v>1.6229407582248636E-2</v>
      </c>
      <c r="Q5" s="16" t="s">
        <v>1486</v>
      </c>
      <c r="R5" s="17" t="s">
        <v>1501</v>
      </c>
      <c r="S5" s="17" t="s">
        <v>1502</v>
      </c>
      <c r="T5" s="17" t="s">
        <v>1503</v>
      </c>
      <c r="U5" s="18" t="s">
        <v>1504</v>
      </c>
    </row>
    <row r="6" spans="1:21" x14ac:dyDescent="0.3">
      <c r="A6" s="55">
        <v>1</v>
      </c>
      <c r="B6" s="7">
        <v>23</v>
      </c>
      <c r="C6" s="57">
        <v>7028.14</v>
      </c>
      <c r="D6" s="7">
        <v>24</v>
      </c>
      <c r="E6" s="57">
        <v>14706.049999999997</v>
      </c>
      <c r="F6" s="7">
        <v>2</v>
      </c>
      <c r="G6" s="57">
        <v>456.86</v>
      </c>
      <c r="H6" s="7">
        <v>49</v>
      </c>
      <c r="I6" s="57">
        <v>22191.05000000001</v>
      </c>
      <c r="K6" s="11">
        <v>2</v>
      </c>
      <c r="L6" s="12">
        <f t="shared" ref="L6:L26" si="0">C7/$C$29</f>
        <v>4.6005119798910303E-2</v>
      </c>
      <c r="M6" s="12">
        <f t="shared" ref="M6:M25" si="1">E7/$E$29</f>
        <v>8.1802362521911628E-2</v>
      </c>
      <c r="N6" s="12">
        <f t="shared" ref="N6:N25" si="2">G7/$G$29</f>
        <v>9.014037828008771E-2</v>
      </c>
      <c r="O6" s="59">
        <f t="shared" ref="O6:O25" si="3">I7/$I$29</f>
        <v>7.1581845513004158E-2</v>
      </c>
      <c r="Q6" s="11">
        <v>1</v>
      </c>
      <c r="R6" s="19">
        <v>46003</v>
      </c>
      <c r="S6" s="20">
        <v>1.6229407582248636E-2</v>
      </c>
      <c r="T6" s="21">
        <f>S6*$T$28</f>
        <v>8114.7037911243178</v>
      </c>
      <c r="U6" s="22">
        <f>+T6</f>
        <v>8114.7037911243178</v>
      </c>
    </row>
    <row r="7" spans="1:21" x14ac:dyDescent="0.3">
      <c r="A7" s="55">
        <v>2</v>
      </c>
      <c r="B7" s="7">
        <v>46</v>
      </c>
      <c r="C7" s="57">
        <v>22665.600000000002</v>
      </c>
      <c r="D7" s="7">
        <v>44</v>
      </c>
      <c r="E7" s="57">
        <v>35626.649999999994</v>
      </c>
      <c r="F7" s="7">
        <v>100</v>
      </c>
      <c r="G7" s="57">
        <v>39584.170000000006</v>
      </c>
      <c r="H7" s="7">
        <v>190</v>
      </c>
      <c r="I7" s="57">
        <v>97876.419999999969</v>
      </c>
      <c r="K7" s="11">
        <v>3</v>
      </c>
      <c r="L7" s="12">
        <f t="shared" si="0"/>
        <v>4.8994612276313285E-2</v>
      </c>
      <c r="M7" s="12">
        <f t="shared" si="1"/>
        <v>1.5433077584495107E-2</v>
      </c>
      <c r="N7" s="12">
        <f t="shared" si="2"/>
        <v>8.0170850625118389E-2</v>
      </c>
      <c r="O7" s="59">
        <f t="shared" si="3"/>
        <v>4.8317348232965185E-2</v>
      </c>
      <c r="Q7" s="11">
        <v>2</v>
      </c>
      <c r="R7" s="19">
        <v>46006</v>
      </c>
      <c r="S7" s="20">
        <v>7.1581845513004158E-2</v>
      </c>
      <c r="T7" s="21">
        <f>S7*$T$28</f>
        <v>35790.922756502077</v>
      </c>
      <c r="U7" s="22">
        <f>T7+U6</f>
        <v>43905.626547626394</v>
      </c>
    </row>
    <row r="8" spans="1:21" x14ac:dyDescent="0.3">
      <c r="A8" s="55">
        <v>3</v>
      </c>
      <c r="B8" s="7">
        <v>49</v>
      </c>
      <c r="C8" s="57">
        <v>24138.450000000004</v>
      </c>
      <c r="D8" s="7">
        <v>7</v>
      </c>
      <c r="E8" s="57">
        <v>6721.43</v>
      </c>
      <c r="F8" s="7">
        <v>117</v>
      </c>
      <c r="G8" s="57">
        <v>35206.160000000003</v>
      </c>
      <c r="H8" s="7">
        <v>173</v>
      </c>
      <c r="I8" s="57">
        <v>66066.040000000052</v>
      </c>
      <c r="K8" s="11">
        <v>4</v>
      </c>
      <c r="L8" s="12">
        <f t="shared" si="0"/>
        <v>4.7341719378836709E-2</v>
      </c>
      <c r="M8" s="12">
        <f t="shared" si="1"/>
        <v>4.9650069718790144E-2</v>
      </c>
      <c r="N8" s="12">
        <f t="shared" si="2"/>
        <v>7.0422414616815227E-2</v>
      </c>
      <c r="O8" s="59">
        <f t="shared" si="3"/>
        <v>5.5489660988909999E-2</v>
      </c>
      <c r="Q8" s="11">
        <v>3</v>
      </c>
      <c r="R8" s="19">
        <v>46007</v>
      </c>
      <c r="S8" s="20">
        <v>4.8317348232965185E-2</v>
      </c>
      <c r="T8" s="21">
        <f t="shared" ref="T8:T28" si="4">S8*$T$28</f>
        <v>24158.674116482591</v>
      </c>
      <c r="U8" s="22">
        <f t="shared" ref="U8:U27" si="5">T8+U7</f>
        <v>68064.300664108989</v>
      </c>
    </row>
    <row r="9" spans="1:21" x14ac:dyDescent="0.3">
      <c r="A9" s="55">
        <v>4</v>
      </c>
      <c r="B9" s="7">
        <v>44</v>
      </c>
      <c r="C9" s="57">
        <v>23324.109999999993</v>
      </c>
      <c r="D9" s="7">
        <v>36</v>
      </c>
      <c r="E9" s="57">
        <v>21623.65</v>
      </c>
      <c r="F9" s="7">
        <v>101</v>
      </c>
      <c r="G9" s="57">
        <v>30925.239999999998</v>
      </c>
      <c r="H9" s="7">
        <v>181</v>
      </c>
      <c r="I9" s="57">
        <v>75873.000000000058</v>
      </c>
      <c r="K9" s="11">
        <v>5</v>
      </c>
      <c r="L9" s="12">
        <f t="shared" si="0"/>
        <v>6.989926028404897E-2</v>
      </c>
      <c r="M9" s="12">
        <f t="shared" si="1"/>
        <v>0.15001112230995772</v>
      </c>
      <c r="N9" s="12">
        <f t="shared" si="2"/>
        <v>5.8423370851280874E-2</v>
      </c>
      <c r="O9" s="59">
        <f t="shared" si="3"/>
        <v>9.1730685322508124E-2</v>
      </c>
      <c r="Q9" s="11">
        <v>4</v>
      </c>
      <c r="R9" s="19">
        <v>46008</v>
      </c>
      <c r="S9" s="20">
        <v>5.5489660988909999E-2</v>
      </c>
      <c r="T9" s="21">
        <f t="shared" si="4"/>
        <v>27744.830494455</v>
      </c>
      <c r="U9" s="22">
        <f t="shared" si="5"/>
        <v>95809.131158563992</v>
      </c>
    </row>
    <row r="10" spans="1:21" x14ac:dyDescent="0.3">
      <c r="A10" s="55">
        <v>5</v>
      </c>
      <c r="B10" s="7">
        <v>48</v>
      </c>
      <c r="C10" s="57">
        <v>34437.659999999982</v>
      </c>
      <c r="D10" s="7">
        <v>67</v>
      </c>
      <c r="E10" s="57">
        <v>65333.000000000022</v>
      </c>
      <c r="F10" s="7">
        <v>77</v>
      </c>
      <c r="G10" s="57">
        <v>25655.989999999998</v>
      </c>
      <c r="H10" s="7">
        <v>192</v>
      </c>
      <c r="I10" s="57">
        <v>125426.64999999992</v>
      </c>
      <c r="K10" s="11">
        <v>6</v>
      </c>
      <c r="L10" s="12">
        <f t="shared" si="0"/>
        <v>2.6444743762427045E-2</v>
      </c>
      <c r="M10" s="12">
        <f t="shared" si="1"/>
        <v>4.4421114534443591E-2</v>
      </c>
      <c r="N10" s="12">
        <f t="shared" si="2"/>
        <v>5.2015857570069532E-2</v>
      </c>
      <c r="O10" s="12">
        <f t="shared" si="3"/>
        <v>4.0383064642935521E-2</v>
      </c>
      <c r="Q10" s="11">
        <v>5</v>
      </c>
      <c r="R10" s="19">
        <v>46009</v>
      </c>
      <c r="S10" s="20">
        <v>9.1730685322508124E-2</v>
      </c>
      <c r="T10" s="21">
        <f t="shared" si="4"/>
        <v>45865.342661254064</v>
      </c>
      <c r="U10" s="22">
        <f t="shared" si="5"/>
        <v>141674.47381981806</v>
      </c>
    </row>
    <row r="11" spans="1:21" x14ac:dyDescent="0.3">
      <c r="A11" s="55">
        <v>6</v>
      </c>
      <c r="B11" s="7">
        <v>19</v>
      </c>
      <c r="C11" s="57">
        <v>13028.679999999997</v>
      </c>
      <c r="D11" s="7">
        <v>23</v>
      </c>
      <c r="E11" s="57">
        <v>19346.329999999998</v>
      </c>
      <c r="F11" s="7">
        <v>74</v>
      </c>
      <c r="G11" s="57">
        <v>22842.2</v>
      </c>
      <c r="H11" s="7">
        <v>116</v>
      </c>
      <c r="I11" s="57">
        <v>55217.209999999963</v>
      </c>
      <c r="K11" s="11">
        <v>7</v>
      </c>
      <c r="L11" s="12">
        <f t="shared" si="0"/>
        <v>3.5609841445364873E-2</v>
      </c>
      <c r="M11" s="12">
        <f t="shared" si="1"/>
        <v>5.834606750571681E-2</v>
      </c>
      <c r="N11" s="12">
        <f t="shared" si="2"/>
        <v>0.2226606026208181</v>
      </c>
      <c r="O11" s="12">
        <f t="shared" si="3"/>
        <v>0.10292572607255659</v>
      </c>
      <c r="Q11" s="11">
        <v>6</v>
      </c>
      <c r="R11" s="19">
        <v>46010</v>
      </c>
      <c r="S11" s="12">
        <v>4.0383064642935521E-2</v>
      </c>
      <c r="T11" s="21">
        <f t="shared" si="4"/>
        <v>20191.532321467759</v>
      </c>
      <c r="U11" s="22">
        <f t="shared" si="5"/>
        <v>161866.00614128582</v>
      </c>
    </row>
    <row r="12" spans="1:21" x14ac:dyDescent="0.3">
      <c r="A12" s="55">
        <v>7</v>
      </c>
      <c r="B12" s="7">
        <v>26</v>
      </c>
      <c r="C12" s="57">
        <v>17544.099999999999</v>
      </c>
      <c r="D12" s="7">
        <v>26</v>
      </c>
      <c r="E12" s="57">
        <v>25410.940000000002</v>
      </c>
      <c r="F12" s="7">
        <v>121</v>
      </c>
      <c r="G12" s="57">
        <v>97778.989999999976</v>
      </c>
      <c r="H12" s="7">
        <v>173</v>
      </c>
      <c r="I12" s="57">
        <v>140734.03000000006</v>
      </c>
      <c r="K12" s="11">
        <v>8</v>
      </c>
      <c r="L12" s="12">
        <f t="shared" si="0"/>
        <v>5.0864341566742924E-2</v>
      </c>
      <c r="M12" s="12">
        <f t="shared" si="1"/>
        <v>6.0874005076769627E-2</v>
      </c>
      <c r="N12" s="12">
        <f t="shared" si="2"/>
        <v>6.4791238385572283E-2</v>
      </c>
      <c r="O12" s="12">
        <f t="shared" si="3"/>
        <v>5.8525418554827541E-2</v>
      </c>
      <c r="Q12" s="11">
        <v>7</v>
      </c>
      <c r="R12" s="19">
        <v>46013</v>
      </c>
      <c r="S12" s="12">
        <v>0.10292572607255659</v>
      </c>
      <c r="T12" s="21">
        <f t="shared" si="4"/>
        <v>51462.863036278301</v>
      </c>
      <c r="U12" s="22">
        <f t="shared" si="5"/>
        <v>213328.86917756411</v>
      </c>
    </row>
    <row r="13" spans="1:21" x14ac:dyDescent="0.3">
      <c r="A13" s="55">
        <v>8</v>
      </c>
      <c r="B13" s="7">
        <v>45</v>
      </c>
      <c r="C13" s="57">
        <v>25059.62</v>
      </c>
      <c r="D13" s="7">
        <v>40</v>
      </c>
      <c r="E13" s="57">
        <v>26511.91</v>
      </c>
      <c r="F13" s="7">
        <v>53</v>
      </c>
      <c r="G13" s="57">
        <v>28452.370000000003</v>
      </c>
      <c r="H13" s="7">
        <v>138</v>
      </c>
      <c r="I13" s="57">
        <v>80023.89999999998</v>
      </c>
      <c r="K13" s="11">
        <v>9</v>
      </c>
      <c r="L13" s="12">
        <f t="shared" si="0"/>
        <v>3.0294558934925959E-2</v>
      </c>
      <c r="M13" s="12">
        <f t="shared" si="1"/>
        <v>0.10977967907130265</v>
      </c>
      <c r="N13" s="12">
        <f t="shared" si="2"/>
        <v>8.967298657673789E-2</v>
      </c>
      <c r="O13" s="12">
        <f t="shared" si="3"/>
        <v>7.4682217784394947E-2</v>
      </c>
      <c r="Q13" s="11">
        <v>8</v>
      </c>
      <c r="R13" s="19">
        <v>46014</v>
      </c>
      <c r="S13" s="12">
        <v>5.8525418554827541E-2</v>
      </c>
      <c r="T13" s="21">
        <f t="shared" si="4"/>
        <v>29262.709277413771</v>
      </c>
      <c r="U13" s="22">
        <f t="shared" si="5"/>
        <v>242591.57845497789</v>
      </c>
    </row>
    <row r="14" spans="1:21" x14ac:dyDescent="0.3">
      <c r="A14" s="55">
        <v>9</v>
      </c>
      <c r="B14" s="7">
        <v>33</v>
      </c>
      <c r="C14" s="57">
        <v>14925.390000000001</v>
      </c>
      <c r="D14" s="7">
        <v>34</v>
      </c>
      <c r="E14" s="57">
        <v>47811.359999999986</v>
      </c>
      <c r="F14" s="7">
        <v>107</v>
      </c>
      <c r="G14" s="57">
        <v>39378.92</v>
      </c>
      <c r="H14" s="7">
        <v>174</v>
      </c>
      <c r="I14" s="57">
        <v>102115.66999999991</v>
      </c>
      <c r="K14" s="11">
        <v>10</v>
      </c>
      <c r="L14" s="12">
        <f t="shared" si="0"/>
        <v>0.10281757407917101</v>
      </c>
      <c r="M14" s="12">
        <f t="shared" si="1"/>
        <v>6.7366412424070224E-2</v>
      </c>
      <c r="N14" s="12">
        <f t="shared" si="2"/>
        <v>2.1399799553289633E-2</v>
      </c>
      <c r="O14" s="12">
        <f t="shared" si="3"/>
        <v>6.5377276013690269E-2</v>
      </c>
      <c r="Q14" s="11">
        <v>9</v>
      </c>
      <c r="R14" s="19">
        <v>46015</v>
      </c>
      <c r="S14" s="12">
        <v>7.4682217784394947E-2</v>
      </c>
      <c r="T14" s="21">
        <f t="shared" si="4"/>
        <v>37341.108892197473</v>
      </c>
      <c r="U14" s="22">
        <f t="shared" si="5"/>
        <v>279932.68734717538</v>
      </c>
    </row>
    <row r="15" spans="1:21" x14ac:dyDescent="0.3">
      <c r="A15" s="55">
        <v>10</v>
      </c>
      <c r="B15" s="7">
        <v>37</v>
      </c>
      <c r="C15" s="57">
        <v>50655.710000000006</v>
      </c>
      <c r="D15" s="7">
        <v>41</v>
      </c>
      <c r="E15" s="57">
        <v>29339.49</v>
      </c>
      <c r="F15" s="7">
        <v>42</v>
      </c>
      <c r="G15" s="57">
        <v>9397.4899999999961</v>
      </c>
      <c r="H15" s="7">
        <v>120</v>
      </c>
      <c r="I15" s="57">
        <v>89392.690000000017</v>
      </c>
      <c r="K15" s="11">
        <v>11</v>
      </c>
      <c r="L15" s="12">
        <f t="shared" si="0"/>
        <v>1.2514603930050529E-2</v>
      </c>
      <c r="M15" s="12">
        <f t="shared" si="1"/>
        <v>4.6691705181453443E-2</v>
      </c>
      <c r="N15" s="12">
        <f t="shared" si="2"/>
        <v>3.1006093831394996E-2</v>
      </c>
      <c r="O15" s="12">
        <f t="shared" si="3"/>
        <v>2.9339427812831338E-2</v>
      </c>
      <c r="Q15" s="11">
        <v>10</v>
      </c>
      <c r="R15" s="19">
        <v>46016</v>
      </c>
      <c r="S15" s="12">
        <v>6.5377276013690269E-2</v>
      </c>
      <c r="T15" s="21">
        <f t="shared" si="4"/>
        <v>32688.638006845136</v>
      </c>
      <c r="U15" s="22">
        <f t="shared" si="5"/>
        <v>312621.32535402052</v>
      </c>
    </row>
    <row r="16" spans="1:21" x14ac:dyDescent="0.3">
      <c r="A16" s="55">
        <v>11</v>
      </c>
      <c r="B16" s="7">
        <v>14</v>
      </c>
      <c r="C16" s="57">
        <v>6165.6399999999994</v>
      </c>
      <c r="D16" s="7">
        <v>26</v>
      </c>
      <c r="E16" s="57">
        <v>20335.22</v>
      </c>
      <c r="F16" s="7">
        <v>48</v>
      </c>
      <c r="G16" s="57">
        <v>13615.989999999996</v>
      </c>
      <c r="H16" s="7">
        <v>88</v>
      </c>
      <c r="I16" s="57">
        <v>40116.85</v>
      </c>
      <c r="K16" s="11">
        <v>12</v>
      </c>
      <c r="L16" s="12">
        <f t="shared" si="0"/>
        <v>2.3395495940939644E-2</v>
      </c>
      <c r="M16" s="12">
        <f t="shared" si="1"/>
        <v>3.8384000919909608E-2</v>
      </c>
      <c r="N16" s="12">
        <f t="shared" si="2"/>
        <v>2.7350578345142307E-2</v>
      </c>
      <c r="O16" s="12">
        <f t="shared" si="3"/>
        <v>2.9439834750176211E-2</v>
      </c>
      <c r="Q16" s="11">
        <v>11</v>
      </c>
      <c r="R16" s="19">
        <v>46017</v>
      </c>
      <c r="S16" s="12">
        <v>2.9339427812831338E-2</v>
      </c>
      <c r="T16" s="21">
        <f t="shared" si="4"/>
        <v>14669.713906415669</v>
      </c>
      <c r="U16" s="22">
        <f t="shared" si="5"/>
        <v>327291.0392604362</v>
      </c>
    </row>
    <row r="17" spans="1:21" x14ac:dyDescent="0.3">
      <c r="A17" s="55">
        <v>12</v>
      </c>
      <c r="B17" s="7">
        <v>23</v>
      </c>
      <c r="C17" s="57">
        <v>11526.39</v>
      </c>
      <c r="D17" s="7">
        <v>22</v>
      </c>
      <c r="E17" s="57">
        <v>16717.039999999997</v>
      </c>
      <c r="F17" s="7">
        <v>53</v>
      </c>
      <c r="G17" s="57">
        <v>12010.709999999997</v>
      </c>
      <c r="H17" s="7">
        <v>98</v>
      </c>
      <c r="I17" s="57">
        <v>40254.14</v>
      </c>
      <c r="K17" s="11">
        <v>13</v>
      </c>
      <c r="L17" s="12">
        <f t="shared" si="0"/>
        <v>2.6721741446095574E-2</v>
      </c>
      <c r="M17" s="12">
        <f t="shared" si="1"/>
        <v>2.1023048622404089E-2</v>
      </c>
      <c r="N17" s="12">
        <f t="shared" si="2"/>
        <v>2.8235081562755615E-2</v>
      </c>
      <c r="O17" s="12">
        <f t="shared" si="3"/>
        <v>2.5392635810457077E-2</v>
      </c>
      <c r="Q17" s="11">
        <v>12</v>
      </c>
      <c r="R17" s="19">
        <v>46020</v>
      </c>
      <c r="S17" s="12">
        <v>2.9439834750176211E-2</v>
      </c>
      <c r="T17" s="21">
        <f t="shared" si="4"/>
        <v>14719.917375088105</v>
      </c>
      <c r="U17" s="22">
        <f t="shared" si="5"/>
        <v>342010.95663552429</v>
      </c>
    </row>
    <row r="18" spans="1:21" x14ac:dyDescent="0.3">
      <c r="A18" s="55">
        <v>13</v>
      </c>
      <c r="B18" s="7">
        <v>21</v>
      </c>
      <c r="C18" s="57">
        <v>13165.15</v>
      </c>
      <c r="D18" s="7">
        <v>23</v>
      </c>
      <c r="E18" s="57">
        <v>9155.9800000000014</v>
      </c>
      <c r="F18" s="7">
        <v>41</v>
      </c>
      <c r="G18" s="57">
        <v>12399.130000000003</v>
      </c>
      <c r="H18" s="7">
        <v>85</v>
      </c>
      <c r="I18" s="57">
        <v>34720.25999999998</v>
      </c>
      <c r="K18" s="11">
        <v>14</v>
      </c>
      <c r="L18" s="12">
        <f t="shared" si="0"/>
        <v>2.162599487370595E-2</v>
      </c>
      <c r="M18" s="12">
        <f t="shared" si="1"/>
        <v>3.2863624682747797E-2</v>
      </c>
      <c r="N18" s="12">
        <f t="shared" si="2"/>
        <v>2.5721277054863389E-2</v>
      </c>
      <c r="O18" s="12">
        <f t="shared" si="3"/>
        <v>2.6520639626344898E-2</v>
      </c>
      <c r="Q18" s="11">
        <v>13</v>
      </c>
      <c r="R18" s="19">
        <v>46021</v>
      </c>
      <c r="S18" s="12">
        <v>2.5392635810457077E-2</v>
      </c>
      <c r="T18" s="21">
        <f t="shared" si="4"/>
        <v>12696.317905228538</v>
      </c>
      <c r="U18" s="22">
        <f t="shared" si="5"/>
        <v>354707.27454075281</v>
      </c>
    </row>
    <row r="19" spans="1:21" x14ac:dyDescent="0.3">
      <c r="A19" s="55">
        <v>14</v>
      </c>
      <c r="B19" s="7">
        <v>26</v>
      </c>
      <c r="C19" s="57">
        <v>10654.599999999999</v>
      </c>
      <c r="D19" s="7">
        <v>23</v>
      </c>
      <c r="E19" s="57">
        <v>14312.799999999997</v>
      </c>
      <c r="F19" s="7">
        <v>45</v>
      </c>
      <c r="G19" s="57">
        <v>11295.219999999996</v>
      </c>
      <c r="H19" s="7">
        <v>94</v>
      </c>
      <c r="I19" s="57">
        <v>36262.62000000001</v>
      </c>
      <c r="K19" s="11">
        <v>15</v>
      </c>
      <c r="L19" s="12">
        <f t="shared" si="0"/>
        <v>0.19795707357945072</v>
      </c>
      <c r="M19" s="12">
        <f t="shared" si="1"/>
        <v>4.7758748922899323E-2</v>
      </c>
      <c r="N19" s="12">
        <f t="shared" si="2"/>
        <v>2.1358855812357955E-2</v>
      </c>
      <c r="O19" s="12">
        <f t="shared" si="3"/>
        <v>9.3399200108707711E-2</v>
      </c>
      <c r="Q19" s="11">
        <v>14</v>
      </c>
      <c r="R19" s="19">
        <v>46022</v>
      </c>
      <c r="S19" s="12">
        <v>2.6520639626344898E-2</v>
      </c>
      <c r="T19" s="21">
        <f t="shared" si="4"/>
        <v>13260.319813172449</v>
      </c>
      <c r="U19" s="22">
        <f t="shared" si="5"/>
        <v>367967.59435392526</v>
      </c>
    </row>
    <row r="20" spans="1:21" x14ac:dyDescent="0.3">
      <c r="A20" s="55">
        <v>15</v>
      </c>
      <c r="B20" s="7">
        <v>31</v>
      </c>
      <c r="C20" s="57">
        <v>97528.62</v>
      </c>
      <c r="D20" s="7">
        <v>36</v>
      </c>
      <c r="E20" s="57">
        <v>20799.940000000002</v>
      </c>
      <c r="F20" s="7">
        <v>40</v>
      </c>
      <c r="G20" s="57">
        <v>9379.51</v>
      </c>
      <c r="H20" s="7">
        <v>107</v>
      </c>
      <c r="I20" s="57">
        <v>127708.06999999998</v>
      </c>
      <c r="K20" s="11">
        <v>16</v>
      </c>
      <c r="L20" s="12">
        <f t="shared" si="0"/>
        <v>7.4999330188058877E-2</v>
      </c>
      <c r="M20" s="12">
        <f t="shared" si="1"/>
        <v>3.3579158425962603E-2</v>
      </c>
      <c r="N20" s="12">
        <f t="shared" si="2"/>
        <v>1.684960184375265E-2</v>
      </c>
      <c r="O20" s="12">
        <f t="shared" si="3"/>
        <v>4.3130655980776637E-2</v>
      </c>
      <c r="Q20" s="11">
        <v>15</v>
      </c>
      <c r="R20" s="19">
        <v>46023</v>
      </c>
      <c r="S20" s="12">
        <v>9.3399200108707711E-2</v>
      </c>
      <c r="T20" s="21">
        <f t="shared" si="4"/>
        <v>46699.600054353854</v>
      </c>
      <c r="U20" s="22">
        <f t="shared" si="5"/>
        <v>414667.19440827915</v>
      </c>
    </row>
    <row r="21" spans="1:21" x14ac:dyDescent="0.3">
      <c r="A21" s="55">
        <v>16</v>
      </c>
      <c r="B21" s="7">
        <v>21</v>
      </c>
      <c r="C21" s="57">
        <v>36950.340000000004</v>
      </c>
      <c r="D21" s="7">
        <v>22</v>
      </c>
      <c r="E21" s="57">
        <v>14624.430000000004</v>
      </c>
      <c r="F21" s="7">
        <v>29</v>
      </c>
      <c r="G21" s="57">
        <v>7399.3199999999988</v>
      </c>
      <c r="H21" s="7">
        <v>72</v>
      </c>
      <c r="I21" s="57">
        <v>58974.090000000018</v>
      </c>
      <c r="K21" s="11">
        <v>17</v>
      </c>
      <c r="L21" s="12">
        <f t="shared" si="0"/>
        <v>5.9953060391056523E-2</v>
      </c>
      <c r="M21" s="12">
        <f t="shared" si="1"/>
        <v>4.3342406603364081E-2</v>
      </c>
      <c r="N21" s="12">
        <f t="shared" si="2"/>
        <v>1.6237905086852175E-2</v>
      </c>
      <c r="O21" s="12">
        <f t="shared" si="3"/>
        <v>4.0622530325030611E-2</v>
      </c>
      <c r="Q21" s="11">
        <v>16</v>
      </c>
      <c r="R21" s="19">
        <v>46024</v>
      </c>
      <c r="S21" s="12">
        <v>4.3130655980776637E-2</v>
      </c>
      <c r="T21" s="21">
        <f t="shared" si="4"/>
        <v>21565.327990388319</v>
      </c>
      <c r="U21" s="22">
        <f t="shared" si="5"/>
        <v>436232.52239866747</v>
      </c>
    </row>
    <row r="22" spans="1:21" x14ac:dyDescent="0.3">
      <c r="A22" s="55">
        <v>17</v>
      </c>
      <c r="B22" s="7">
        <v>21</v>
      </c>
      <c r="C22" s="57">
        <v>29537.409999999996</v>
      </c>
      <c r="D22" s="7">
        <v>19</v>
      </c>
      <c r="E22" s="57">
        <v>18876.530000000002</v>
      </c>
      <c r="F22" s="7">
        <v>34</v>
      </c>
      <c r="G22" s="57">
        <v>7130.7</v>
      </c>
      <c r="H22" s="7">
        <v>74</v>
      </c>
      <c r="I22" s="57">
        <v>55544.639999999999</v>
      </c>
      <c r="K22" s="11">
        <v>18</v>
      </c>
      <c r="L22" s="12">
        <f t="shared" si="0"/>
        <v>1.7834412745425188E-2</v>
      </c>
      <c r="M22" s="12">
        <f t="shared" si="1"/>
        <v>2.2828770798306312E-2</v>
      </c>
      <c r="N22" s="12">
        <f t="shared" si="2"/>
        <v>2.5204402176294161E-2</v>
      </c>
      <c r="O22" s="12">
        <f t="shared" si="3"/>
        <v>2.1792181554816301E-2</v>
      </c>
      <c r="Q22" s="11">
        <v>17</v>
      </c>
      <c r="R22" s="19">
        <v>45662</v>
      </c>
      <c r="S22" s="12">
        <v>4.0622530325030611E-2</v>
      </c>
      <c r="T22" s="21">
        <f t="shared" si="4"/>
        <v>20311.265162515305</v>
      </c>
      <c r="U22" s="22">
        <f t="shared" si="5"/>
        <v>456543.78756118275</v>
      </c>
    </row>
    <row r="23" spans="1:21" x14ac:dyDescent="0.3">
      <c r="A23" s="55">
        <v>18</v>
      </c>
      <c r="B23" s="7">
        <v>21</v>
      </c>
      <c r="C23" s="57">
        <v>8786.5799999999981</v>
      </c>
      <c r="D23" s="7">
        <v>19</v>
      </c>
      <c r="E23" s="57">
        <v>9942.41</v>
      </c>
      <c r="F23" s="7">
        <v>42</v>
      </c>
      <c r="G23" s="57">
        <v>11068.240000000002</v>
      </c>
      <c r="H23" s="7">
        <v>82</v>
      </c>
      <c r="I23" s="57">
        <v>29797.23</v>
      </c>
      <c r="K23" s="11">
        <v>19</v>
      </c>
      <c r="L23" s="12">
        <f t="shared" si="0"/>
        <v>5.1903321374145595E-3</v>
      </c>
      <c r="M23" s="12">
        <f t="shared" si="1"/>
        <v>1.2017743161157031E-2</v>
      </c>
      <c r="N23" s="12">
        <f t="shared" si="2"/>
        <v>1.5602981068689008E-2</v>
      </c>
      <c r="O23" s="12">
        <f t="shared" si="3"/>
        <v>1.0709154254573012E-2</v>
      </c>
      <c r="Q23" s="11">
        <v>18</v>
      </c>
      <c r="R23" s="19">
        <v>45663</v>
      </c>
      <c r="S23" s="12">
        <v>2.1792181554816301E-2</v>
      </c>
      <c r="T23" s="21">
        <f t="shared" si="4"/>
        <v>10896.09077740815</v>
      </c>
      <c r="U23" s="22">
        <f t="shared" si="5"/>
        <v>467439.8783385909</v>
      </c>
    </row>
    <row r="24" spans="1:21" x14ac:dyDescent="0.3">
      <c r="A24" s="55">
        <v>19</v>
      </c>
      <c r="B24" s="7">
        <v>9</v>
      </c>
      <c r="C24" s="57">
        <v>2557.1499999999996</v>
      </c>
      <c r="D24" s="7">
        <v>9</v>
      </c>
      <c r="E24" s="57">
        <v>5233.9800000000005</v>
      </c>
      <c r="F24" s="7">
        <v>22</v>
      </c>
      <c r="G24" s="57">
        <v>6851.880000000001</v>
      </c>
      <c r="H24" s="7">
        <v>40</v>
      </c>
      <c r="I24" s="57">
        <v>14643.009999999997</v>
      </c>
      <c r="K24" s="11">
        <v>20</v>
      </c>
      <c r="L24" s="12">
        <f t="shared" si="0"/>
        <v>8.7270934464787842E-2</v>
      </c>
      <c r="M24" s="12">
        <f t="shared" si="1"/>
        <v>2.2818713878897782E-2</v>
      </c>
      <c r="N24" s="12">
        <f t="shared" si="2"/>
        <v>2.1156619236599145E-2</v>
      </c>
      <c r="O24" s="12">
        <f>(I25+I26)/$I$29</f>
        <v>4.7814779661294618E-2</v>
      </c>
      <c r="Q24" s="11">
        <v>19</v>
      </c>
      <c r="R24" s="19">
        <v>45664</v>
      </c>
      <c r="S24" s="12">
        <v>1.0709154254573012E-2</v>
      </c>
      <c r="T24" s="21">
        <f t="shared" si="4"/>
        <v>5354.5771272865059</v>
      </c>
      <c r="U24" s="22">
        <f t="shared" si="5"/>
        <v>472794.45546587743</v>
      </c>
    </row>
    <row r="25" spans="1:21" x14ac:dyDescent="0.3">
      <c r="A25" s="55">
        <v>20</v>
      </c>
      <c r="B25" s="7">
        <v>29</v>
      </c>
      <c r="C25" s="57">
        <v>42996.260000000009</v>
      </c>
      <c r="D25" s="7">
        <v>18</v>
      </c>
      <c r="E25" s="57">
        <v>9938.0300000000007</v>
      </c>
      <c r="F25" s="7">
        <v>33</v>
      </c>
      <c r="G25" s="57">
        <v>9290.7000000000007</v>
      </c>
      <c r="H25" s="7">
        <v>80</v>
      </c>
      <c r="I25" s="57">
        <v>62224.990000000013</v>
      </c>
      <c r="K25" s="11">
        <v>21</v>
      </c>
      <c r="L25" s="12">
        <f t="shared" si="0"/>
        <v>0</v>
      </c>
      <c r="M25" s="12">
        <f>E26/$E$29</f>
        <v>7.2416019212297941E-3</v>
      </c>
      <c r="N25" s="12">
        <f>(G26)/$G$29</f>
        <v>0</v>
      </c>
      <c r="O25" s="12">
        <f>I27/$I$29</f>
        <v>2.7141101695720972E-4</v>
      </c>
      <c r="Q25" s="11">
        <v>20</v>
      </c>
      <c r="R25" s="19">
        <v>45665</v>
      </c>
      <c r="S25" s="12">
        <v>4.7814779661294618E-2</v>
      </c>
      <c r="T25" s="21">
        <f t="shared" si="4"/>
        <v>23907.389830647309</v>
      </c>
      <c r="U25" s="22">
        <f t="shared" si="5"/>
        <v>496701.84529652476</v>
      </c>
    </row>
    <row r="26" spans="1:21" x14ac:dyDescent="0.3">
      <c r="A26" s="55">
        <v>21</v>
      </c>
      <c r="B26" s="7"/>
      <c r="D26" s="7">
        <v>8</v>
      </c>
      <c r="E26" s="57">
        <v>3153.8699999999994</v>
      </c>
      <c r="F26" s="7"/>
      <c r="G26" s="57"/>
      <c r="H26" s="7">
        <v>8</v>
      </c>
      <c r="I26" s="57">
        <v>3153.8699999999994</v>
      </c>
      <c r="K26" s="44">
        <v>22</v>
      </c>
      <c r="L26" s="12">
        <f>(C27+C28)/$C$29</f>
        <v>0</v>
      </c>
      <c r="M26" s="12">
        <f>(E27+E28)/$E$29</f>
        <v>0</v>
      </c>
      <c r="N26" s="12">
        <f>(G27+G28)/$G$29</f>
        <v>2.0538751315186718E-2</v>
      </c>
      <c r="O26" s="12">
        <f>I28/$I$29</f>
        <v>6.3248983899931522E-3</v>
      </c>
      <c r="Q26" s="11">
        <v>21</v>
      </c>
      <c r="R26" s="19">
        <v>45666</v>
      </c>
      <c r="S26" s="12">
        <v>2.7141101695720972E-4</v>
      </c>
      <c r="T26" s="21">
        <f t="shared" si="4"/>
        <v>135.70550847860486</v>
      </c>
      <c r="U26" s="22">
        <f t="shared" si="5"/>
        <v>496837.55080500338</v>
      </c>
    </row>
    <row r="27" spans="1:21" x14ac:dyDescent="0.3">
      <c r="A27" s="55">
        <v>22</v>
      </c>
      <c r="B27" s="7"/>
      <c r="D27" s="7"/>
      <c r="F27" s="7">
        <v>2</v>
      </c>
      <c r="G27" s="57">
        <v>371.11</v>
      </c>
      <c r="H27" s="7">
        <v>2</v>
      </c>
      <c r="I27" s="57">
        <v>371.11</v>
      </c>
      <c r="L27" s="14">
        <f>SUM(L5:L26)</f>
        <v>1.0000000000000004</v>
      </c>
      <c r="M27" s="14">
        <f>SUM(M5:M26)</f>
        <v>0.99999999999999956</v>
      </c>
      <c r="N27" s="14">
        <f>SUM(N5:N26)</f>
        <v>0.99999999999999878</v>
      </c>
      <c r="O27" s="14">
        <f>SUM(O5:O26)</f>
        <v>0.99999999999999967</v>
      </c>
      <c r="Q27" s="11">
        <v>22</v>
      </c>
      <c r="R27" s="19">
        <v>45669</v>
      </c>
      <c r="S27" s="12">
        <v>6.3248983899931522E-3</v>
      </c>
      <c r="T27" s="21">
        <f t="shared" si="4"/>
        <v>3162.4491949965759</v>
      </c>
      <c r="U27" s="22">
        <f t="shared" si="5"/>
        <v>499999.99999999994</v>
      </c>
    </row>
    <row r="28" spans="1:21" x14ac:dyDescent="0.3">
      <c r="A28" s="55">
        <v>23</v>
      </c>
      <c r="B28" s="7"/>
      <c r="D28" s="7"/>
      <c r="F28" s="7">
        <v>9</v>
      </c>
      <c r="G28" s="57">
        <v>8648.26</v>
      </c>
      <c r="H28" s="7">
        <v>9</v>
      </c>
      <c r="I28" s="57">
        <v>8648.26</v>
      </c>
      <c r="Q28" s="23"/>
      <c r="R28" s="24"/>
      <c r="S28" s="25"/>
      <c r="T28" s="21">
        <v>500000</v>
      </c>
      <c r="U28" s="27"/>
    </row>
    <row r="29" spans="1:21" x14ac:dyDescent="0.3">
      <c r="A29" s="55" t="s">
        <v>702</v>
      </c>
      <c r="B29" s="7">
        <v>586</v>
      </c>
      <c r="C29" s="57">
        <v>492675.5999999998</v>
      </c>
      <c r="D29" s="7">
        <v>567</v>
      </c>
      <c r="E29" s="57">
        <v>435521.04000000021</v>
      </c>
      <c r="F29" s="7">
        <v>1192</v>
      </c>
      <c r="G29" s="57">
        <v>439139.1600000005</v>
      </c>
      <c r="H29" s="7">
        <v>2345</v>
      </c>
      <c r="I29" s="57">
        <v>1367335.8000000003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E8C6C-60E4-4176-991E-A813CA923611}">
  <dimension ref="A1:S2346"/>
  <sheetViews>
    <sheetView workbookViewId="0">
      <selection activeCell="K1" sqref="K1:L1048576"/>
    </sheetView>
  </sheetViews>
  <sheetFormatPr baseColWidth="10" defaultRowHeight="14.4" x14ac:dyDescent="0.3"/>
  <cols>
    <col min="2" max="2" width="12.33203125" bestFit="1" customWidth="1"/>
    <col min="5" max="5" width="11.5546875" style="1"/>
    <col min="15" max="15" width="14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0</v>
      </c>
      <c r="H1" t="s">
        <v>1493</v>
      </c>
      <c r="K1" t="s">
        <v>1529</v>
      </c>
      <c r="L1" t="s">
        <v>1530</v>
      </c>
    </row>
    <row r="2" spans="1:19" x14ac:dyDescent="0.3">
      <c r="A2" t="s">
        <v>92</v>
      </c>
      <c r="B2">
        <v>10046361666</v>
      </c>
      <c r="C2" t="s">
        <v>95</v>
      </c>
      <c r="D2" t="s">
        <v>27</v>
      </c>
      <c r="E2" s="1">
        <v>45908</v>
      </c>
      <c r="F2">
        <v>260.56</v>
      </c>
      <c r="G2" t="s">
        <v>1436</v>
      </c>
      <c r="H2">
        <f>_xlfn.XLOOKUP(E2,K:K,L:L)</f>
        <v>1</v>
      </c>
      <c r="K2" s="1">
        <v>45908</v>
      </c>
      <c r="L2">
        <v>1</v>
      </c>
      <c r="O2" t="s">
        <v>701</v>
      </c>
      <c r="P2" t="s">
        <v>1531</v>
      </c>
      <c r="Q2" t="s">
        <v>709</v>
      </c>
      <c r="R2" t="s">
        <v>1532</v>
      </c>
      <c r="S2" t="s">
        <v>1533</v>
      </c>
    </row>
    <row r="3" spans="1:19" x14ac:dyDescent="0.3">
      <c r="A3" t="s">
        <v>92</v>
      </c>
      <c r="B3">
        <v>10078860184</v>
      </c>
      <c r="C3" t="s">
        <v>96</v>
      </c>
      <c r="D3" t="s">
        <v>7</v>
      </c>
      <c r="E3" s="1">
        <v>45908</v>
      </c>
      <c r="F3">
        <v>162.67000000000002</v>
      </c>
      <c r="G3" t="s">
        <v>1436</v>
      </c>
      <c r="H3">
        <f>_xlfn.XLOOKUP(E3,K:K,L:L)</f>
        <v>1</v>
      </c>
      <c r="K3" s="1">
        <v>45909</v>
      </c>
      <c r="L3">
        <v>2</v>
      </c>
      <c r="O3" s="1">
        <v>45908</v>
      </c>
      <c r="P3">
        <v>23</v>
      </c>
      <c r="Q3">
        <v>7028.14</v>
      </c>
      <c r="R3">
        <f>_xlfn.XLOOKUP(O3,K:K,L:L)</f>
        <v>1</v>
      </c>
      <c r="S3">
        <v>9</v>
      </c>
    </row>
    <row r="4" spans="1:19" x14ac:dyDescent="0.3">
      <c r="A4" t="s">
        <v>92</v>
      </c>
      <c r="B4">
        <v>10410951695</v>
      </c>
      <c r="C4" t="s">
        <v>97</v>
      </c>
      <c r="D4" t="s">
        <v>7</v>
      </c>
      <c r="E4" s="1">
        <v>45908</v>
      </c>
      <c r="F4">
        <v>147.88</v>
      </c>
      <c r="G4" t="s">
        <v>1436</v>
      </c>
      <c r="H4">
        <f>_xlfn.XLOOKUP(E4,K:K,L:L)</f>
        <v>1</v>
      </c>
      <c r="K4" s="1">
        <v>45910</v>
      </c>
      <c r="L4">
        <v>3</v>
      </c>
      <c r="O4" s="1">
        <v>45909</v>
      </c>
      <c r="P4">
        <v>46</v>
      </c>
      <c r="Q4">
        <v>22665.600000000002</v>
      </c>
      <c r="R4">
        <f t="shared" ref="R4:R55" si="0">_xlfn.XLOOKUP(O4,K:K,L:L)</f>
        <v>2</v>
      </c>
      <c r="S4">
        <v>9</v>
      </c>
    </row>
    <row r="5" spans="1:19" x14ac:dyDescent="0.3">
      <c r="A5" t="s">
        <v>92</v>
      </c>
      <c r="B5">
        <v>20445526127</v>
      </c>
      <c r="C5" t="s">
        <v>98</v>
      </c>
      <c r="D5" t="s">
        <v>7</v>
      </c>
      <c r="E5" s="1">
        <v>45908</v>
      </c>
      <c r="F5">
        <v>257.28000000000003</v>
      </c>
      <c r="G5" t="s">
        <v>1436</v>
      </c>
      <c r="H5">
        <f>_xlfn.XLOOKUP(E5,K:K,L:L)</f>
        <v>1</v>
      </c>
      <c r="K5" s="1">
        <v>45911</v>
      </c>
      <c r="L5">
        <v>4</v>
      </c>
      <c r="O5" s="1">
        <v>45910</v>
      </c>
      <c r="P5">
        <v>49</v>
      </c>
      <c r="Q5">
        <v>24138.450000000004</v>
      </c>
      <c r="R5">
        <f t="shared" si="0"/>
        <v>3</v>
      </c>
      <c r="S5">
        <v>9</v>
      </c>
    </row>
    <row r="6" spans="1:19" x14ac:dyDescent="0.3">
      <c r="A6" t="s">
        <v>92</v>
      </c>
      <c r="B6">
        <v>20488084411</v>
      </c>
      <c r="C6" t="s">
        <v>99</v>
      </c>
      <c r="D6" t="s">
        <v>27</v>
      </c>
      <c r="E6" s="1">
        <v>45908</v>
      </c>
      <c r="F6">
        <v>1486.4299999999998</v>
      </c>
      <c r="G6" t="s">
        <v>1436</v>
      </c>
      <c r="H6">
        <f>_xlfn.XLOOKUP(E6,K:K,L:L)</f>
        <v>1</v>
      </c>
      <c r="K6" s="1">
        <v>45912</v>
      </c>
      <c r="L6">
        <v>5</v>
      </c>
      <c r="O6" s="1">
        <v>45911</v>
      </c>
      <c r="P6">
        <v>44</v>
      </c>
      <c r="Q6">
        <v>23324.109999999993</v>
      </c>
      <c r="R6">
        <f t="shared" si="0"/>
        <v>4</v>
      </c>
      <c r="S6">
        <v>9</v>
      </c>
    </row>
    <row r="7" spans="1:19" x14ac:dyDescent="0.3">
      <c r="A7" t="s">
        <v>92</v>
      </c>
      <c r="B7">
        <v>20516235684</v>
      </c>
      <c r="C7" t="s">
        <v>100</v>
      </c>
      <c r="D7" t="s">
        <v>7</v>
      </c>
      <c r="E7" s="1">
        <v>45908</v>
      </c>
      <c r="F7">
        <v>162.67000000000002</v>
      </c>
      <c r="G7" t="s">
        <v>1436</v>
      </c>
      <c r="H7">
        <f>_xlfn.XLOOKUP(E7,K:K,L:L)</f>
        <v>1</v>
      </c>
      <c r="K7" s="39">
        <v>45913</v>
      </c>
      <c r="L7">
        <v>5</v>
      </c>
      <c r="O7" s="1">
        <v>45912</v>
      </c>
      <c r="P7">
        <v>39</v>
      </c>
      <c r="Q7">
        <v>32190.779999999988</v>
      </c>
      <c r="R7">
        <f t="shared" si="0"/>
        <v>5</v>
      </c>
      <c r="S7">
        <v>9</v>
      </c>
    </row>
    <row r="8" spans="1:19" x14ac:dyDescent="0.3">
      <c r="A8" t="s">
        <v>92</v>
      </c>
      <c r="B8">
        <v>20544624335</v>
      </c>
      <c r="C8" t="s">
        <v>101</v>
      </c>
      <c r="D8" t="s">
        <v>7</v>
      </c>
      <c r="E8" s="1">
        <v>45908</v>
      </c>
      <c r="F8">
        <v>132.26</v>
      </c>
      <c r="G8" t="s">
        <v>1436</v>
      </c>
      <c r="H8">
        <f>_xlfn.XLOOKUP(E8,K:K,L:L)</f>
        <v>1</v>
      </c>
      <c r="K8" s="39">
        <v>45914</v>
      </c>
      <c r="L8">
        <v>5</v>
      </c>
      <c r="O8" s="1">
        <v>45913</v>
      </c>
      <c r="P8">
        <v>4</v>
      </c>
      <c r="Q8">
        <v>944.92</v>
      </c>
      <c r="R8">
        <f t="shared" si="0"/>
        <v>5</v>
      </c>
      <c r="S8">
        <v>9</v>
      </c>
    </row>
    <row r="9" spans="1:19" x14ac:dyDescent="0.3">
      <c r="A9" t="s">
        <v>92</v>
      </c>
      <c r="B9">
        <v>20549404911</v>
      </c>
      <c r="C9" t="s">
        <v>102</v>
      </c>
      <c r="D9" t="s">
        <v>7</v>
      </c>
      <c r="E9" s="1">
        <v>45908</v>
      </c>
      <c r="F9">
        <v>211.09</v>
      </c>
      <c r="G9" t="s">
        <v>1436</v>
      </c>
      <c r="H9">
        <f>_xlfn.XLOOKUP(E9,K:K,L:L)</f>
        <v>1</v>
      </c>
      <c r="K9" s="1">
        <v>45915</v>
      </c>
      <c r="L9">
        <v>6</v>
      </c>
      <c r="O9" s="1">
        <v>45914</v>
      </c>
      <c r="P9">
        <v>5</v>
      </c>
      <c r="Q9">
        <v>1301.9599999999998</v>
      </c>
      <c r="R9">
        <f t="shared" si="0"/>
        <v>5</v>
      </c>
      <c r="S9">
        <v>9</v>
      </c>
    </row>
    <row r="10" spans="1:19" x14ac:dyDescent="0.3">
      <c r="A10" t="s">
        <v>92</v>
      </c>
      <c r="B10">
        <v>20549504621</v>
      </c>
      <c r="C10" t="s">
        <v>103</v>
      </c>
      <c r="D10" t="s">
        <v>7</v>
      </c>
      <c r="E10" s="1">
        <v>45908</v>
      </c>
      <c r="F10">
        <v>147.88</v>
      </c>
      <c r="G10" t="s">
        <v>1436</v>
      </c>
      <c r="H10">
        <f>_xlfn.XLOOKUP(E10,K:K,L:L)</f>
        <v>1</v>
      </c>
      <c r="K10" s="1">
        <v>45916</v>
      </c>
      <c r="L10">
        <v>7</v>
      </c>
      <c r="O10" s="1">
        <v>45915</v>
      </c>
      <c r="P10">
        <v>19</v>
      </c>
      <c r="Q10">
        <v>13028.679999999997</v>
      </c>
      <c r="R10">
        <f t="shared" si="0"/>
        <v>6</v>
      </c>
      <c r="S10">
        <v>9</v>
      </c>
    </row>
    <row r="11" spans="1:19" x14ac:dyDescent="0.3">
      <c r="A11" t="s">
        <v>92</v>
      </c>
      <c r="B11">
        <v>20556274011</v>
      </c>
      <c r="C11" t="s">
        <v>104</v>
      </c>
      <c r="D11" t="s">
        <v>7</v>
      </c>
      <c r="E11" s="1">
        <v>45908</v>
      </c>
      <c r="F11">
        <v>150.51</v>
      </c>
      <c r="G11" t="s">
        <v>1436</v>
      </c>
      <c r="H11">
        <f>_xlfn.XLOOKUP(E11,K:K,L:L)</f>
        <v>1</v>
      </c>
      <c r="K11" s="1">
        <v>45917</v>
      </c>
      <c r="L11">
        <v>8</v>
      </c>
      <c r="O11" s="1">
        <v>45916</v>
      </c>
      <c r="P11">
        <v>26</v>
      </c>
      <c r="Q11">
        <v>17544.099999999999</v>
      </c>
      <c r="R11">
        <f t="shared" si="0"/>
        <v>7</v>
      </c>
      <c r="S11">
        <v>9</v>
      </c>
    </row>
    <row r="12" spans="1:19" x14ac:dyDescent="0.3">
      <c r="A12" t="s">
        <v>92</v>
      </c>
      <c r="B12">
        <v>20601321069</v>
      </c>
      <c r="C12" t="s">
        <v>105</v>
      </c>
      <c r="D12" t="s">
        <v>7</v>
      </c>
      <c r="E12" s="1">
        <v>45908</v>
      </c>
      <c r="F12">
        <v>147.88</v>
      </c>
      <c r="G12" t="s">
        <v>1436</v>
      </c>
      <c r="H12">
        <f>_xlfn.XLOOKUP(E12,K:K,L:L)</f>
        <v>1</v>
      </c>
      <c r="K12" s="1">
        <v>45918</v>
      </c>
      <c r="L12">
        <v>9</v>
      </c>
      <c r="O12" s="1">
        <v>45917</v>
      </c>
      <c r="P12">
        <v>45</v>
      </c>
      <c r="Q12">
        <v>25059.62</v>
      </c>
      <c r="R12">
        <f t="shared" si="0"/>
        <v>8</v>
      </c>
      <c r="S12">
        <v>9</v>
      </c>
    </row>
    <row r="13" spans="1:19" x14ac:dyDescent="0.3">
      <c r="A13" t="s">
        <v>92</v>
      </c>
      <c r="B13">
        <v>20603638914</v>
      </c>
      <c r="C13" t="s">
        <v>106</v>
      </c>
      <c r="D13" t="s">
        <v>7</v>
      </c>
      <c r="E13" s="1">
        <v>45908</v>
      </c>
      <c r="F13">
        <v>147.88</v>
      </c>
      <c r="G13" t="s">
        <v>1436</v>
      </c>
      <c r="H13">
        <f>_xlfn.XLOOKUP(E13,K:K,L:L)</f>
        <v>1</v>
      </c>
      <c r="K13" s="1">
        <v>45919</v>
      </c>
      <c r="L13">
        <v>10</v>
      </c>
      <c r="O13" s="1">
        <v>45918</v>
      </c>
      <c r="P13">
        <v>33</v>
      </c>
      <c r="Q13">
        <v>14925.390000000001</v>
      </c>
      <c r="R13">
        <f t="shared" si="0"/>
        <v>9</v>
      </c>
      <c r="S13">
        <v>9</v>
      </c>
    </row>
    <row r="14" spans="1:19" x14ac:dyDescent="0.3">
      <c r="A14" t="s">
        <v>92</v>
      </c>
      <c r="B14">
        <v>20607283771</v>
      </c>
      <c r="C14" t="s">
        <v>107</v>
      </c>
      <c r="D14" t="s">
        <v>54</v>
      </c>
      <c r="E14" s="1">
        <v>45908</v>
      </c>
      <c r="F14">
        <v>392.63</v>
      </c>
      <c r="G14" t="s">
        <v>1436</v>
      </c>
      <c r="H14">
        <f>_xlfn.XLOOKUP(E14,K:K,L:L)</f>
        <v>1</v>
      </c>
      <c r="K14" s="39">
        <v>45920</v>
      </c>
      <c r="L14">
        <v>10</v>
      </c>
      <c r="O14" s="1">
        <v>45919</v>
      </c>
      <c r="P14">
        <v>23</v>
      </c>
      <c r="Q14">
        <v>40547.550000000003</v>
      </c>
      <c r="R14">
        <f t="shared" si="0"/>
        <v>10</v>
      </c>
      <c r="S14">
        <v>9</v>
      </c>
    </row>
    <row r="15" spans="1:19" x14ac:dyDescent="0.3">
      <c r="A15" t="s">
        <v>92</v>
      </c>
      <c r="B15">
        <v>20608444158</v>
      </c>
      <c r="C15" t="s">
        <v>108</v>
      </c>
      <c r="D15" t="s">
        <v>7</v>
      </c>
      <c r="E15" s="1">
        <v>45908</v>
      </c>
      <c r="F15">
        <v>147.88</v>
      </c>
      <c r="G15" t="s">
        <v>1436</v>
      </c>
      <c r="H15">
        <f>_xlfn.XLOOKUP(E15,K:K,L:L)</f>
        <v>1</v>
      </c>
      <c r="K15" s="39">
        <v>45921</v>
      </c>
      <c r="L15">
        <v>10</v>
      </c>
      <c r="O15" s="1">
        <v>45920</v>
      </c>
      <c r="P15">
        <v>13</v>
      </c>
      <c r="Q15">
        <v>9846.44</v>
      </c>
      <c r="R15">
        <f t="shared" si="0"/>
        <v>10</v>
      </c>
      <c r="S15">
        <v>9</v>
      </c>
    </row>
    <row r="16" spans="1:19" x14ac:dyDescent="0.3">
      <c r="A16" t="s">
        <v>92</v>
      </c>
      <c r="B16">
        <v>20608525239</v>
      </c>
      <c r="C16" t="s">
        <v>109</v>
      </c>
      <c r="D16" t="s">
        <v>7</v>
      </c>
      <c r="E16" s="1">
        <v>45908</v>
      </c>
      <c r="F16">
        <v>129.63999999999999</v>
      </c>
      <c r="G16" t="s">
        <v>1436</v>
      </c>
      <c r="H16">
        <f>_xlfn.XLOOKUP(E16,K:K,L:L)</f>
        <v>1</v>
      </c>
      <c r="K16" s="1">
        <v>45922</v>
      </c>
      <c r="L16">
        <v>11</v>
      </c>
      <c r="O16" s="1">
        <v>45921</v>
      </c>
      <c r="P16">
        <v>1</v>
      </c>
      <c r="Q16">
        <v>261.72000000000003</v>
      </c>
      <c r="R16">
        <f t="shared" si="0"/>
        <v>10</v>
      </c>
      <c r="S16">
        <v>9</v>
      </c>
    </row>
    <row r="17" spans="1:19" x14ac:dyDescent="0.3">
      <c r="A17" t="s">
        <v>92</v>
      </c>
      <c r="B17">
        <v>20487574130</v>
      </c>
      <c r="C17" t="s">
        <v>110</v>
      </c>
      <c r="D17" t="s">
        <v>65</v>
      </c>
      <c r="E17" s="1">
        <v>45908</v>
      </c>
      <c r="F17">
        <v>164.28</v>
      </c>
      <c r="G17" t="s">
        <v>1436</v>
      </c>
      <c r="H17">
        <f>_xlfn.XLOOKUP(E17,K:K,L:L)</f>
        <v>1</v>
      </c>
      <c r="K17" s="1">
        <v>45923</v>
      </c>
      <c r="L17">
        <v>12</v>
      </c>
      <c r="O17" s="1">
        <v>45922</v>
      </c>
      <c r="P17">
        <v>14</v>
      </c>
      <c r="Q17">
        <v>6165.6399999999994</v>
      </c>
      <c r="R17">
        <f t="shared" si="0"/>
        <v>11</v>
      </c>
      <c r="S17">
        <v>9</v>
      </c>
    </row>
    <row r="18" spans="1:19" x14ac:dyDescent="0.3">
      <c r="A18" t="s">
        <v>92</v>
      </c>
      <c r="B18">
        <v>20554217657</v>
      </c>
      <c r="C18" t="s">
        <v>111</v>
      </c>
      <c r="D18" t="s">
        <v>16</v>
      </c>
      <c r="E18" s="1">
        <v>45908</v>
      </c>
      <c r="F18">
        <v>1316.27</v>
      </c>
      <c r="G18" t="s">
        <v>1436</v>
      </c>
      <c r="H18">
        <f>_xlfn.XLOOKUP(E18,K:K,L:L)</f>
        <v>1</v>
      </c>
      <c r="K18" s="1">
        <v>45924</v>
      </c>
      <c r="L18">
        <v>13</v>
      </c>
      <c r="O18" s="1">
        <v>45923</v>
      </c>
      <c r="P18">
        <v>23</v>
      </c>
      <c r="Q18">
        <v>11526.39</v>
      </c>
      <c r="R18">
        <f t="shared" si="0"/>
        <v>12</v>
      </c>
      <c r="S18">
        <v>9</v>
      </c>
    </row>
    <row r="19" spans="1:19" x14ac:dyDescent="0.3">
      <c r="A19" t="s">
        <v>92</v>
      </c>
      <c r="B19">
        <v>20603072007</v>
      </c>
      <c r="C19" t="s">
        <v>112</v>
      </c>
      <c r="D19" t="s">
        <v>65</v>
      </c>
      <c r="E19" s="1">
        <v>45908</v>
      </c>
      <c r="F19">
        <v>177.43</v>
      </c>
      <c r="G19" t="s">
        <v>1436</v>
      </c>
      <c r="H19">
        <f>_xlfn.XLOOKUP(E19,K:K,L:L)</f>
        <v>1</v>
      </c>
      <c r="K19" s="1">
        <v>45925</v>
      </c>
      <c r="L19">
        <v>14</v>
      </c>
      <c r="O19" s="1">
        <v>45924</v>
      </c>
      <c r="P19">
        <v>21</v>
      </c>
      <c r="Q19">
        <v>13165.15</v>
      </c>
      <c r="R19">
        <f t="shared" si="0"/>
        <v>13</v>
      </c>
      <c r="S19">
        <v>9</v>
      </c>
    </row>
    <row r="20" spans="1:19" x14ac:dyDescent="0.3">
      <c r="A20" t="s">
        <v>92</v>
      </c>
      <c r="B20">
        <v>20608214055</v>
      </c>
      <c r="C20" t="s">
        <v>113</v>
      </c>
      <c r="D20" t="s">
        <v>114</v>
      </c>
      <c r="E20" s="1">
        <v>45908</v>
      </c>
      <c r="F20">
        <v>262.99</v>
      </c>
      <c r="G20" t="s">
        <v>1436</v>
      </c>
      <c r="H20">
        <f>_xlfn.XLOOKUP(E20,K:K,L:L)</f>
        <v>1</v>
      </c>
      <c r="K20" s="1">
        <v>45926</v>
      </c>
      <c r="L20">
        <v>15</v>
      </c>
      <c r="O20" s="1">
        <v>45925</v>
      </c>
      <c r="P20">
        <v>26</v>
      </c>
      <c r="Q20">
        <v>10654.599999999999</v>
      </c>
      <c r="R20">
        <f t="shared" si="0"/>
        <v>14</v>
      </c>
      <c r="S20">
        <v>9</v>
      </c>
    </row>
    <row r="21" spans="1:19" x14ac:dyDescent="0.3">
      <c r="A21" t="s">
        <v>92</v>
      </c>
      <c r="B21">
        <v>10466541091</v>
      </c>
      <c r="C21" t="s">
        <v>115</v>
      </c>
      <c r="D21" t="s">
        <v>116</v>
      </c>
      <c r="E21" s="1">
        <v>45908</v>
      </c>
      <c r="F21">
        <v>132.66</v>
      </c>
      <c r="G21" t="s">
        <v>1436</v>
      </c>
      <c r="H21">
        <f>_xlfn.XLOOKUP(E21,K:K,L:L)</f>
        <v>1</v>
      </c>
      <c r="K21" s="39">
        <v>45927</v>
      </c>
      <c r="L21">
        <v>15</v>
      </c>
      <c r="O21" s="1">
        <v>45926</v>
      </c>
      <c r="P21">
        <v>22</v>
      </c>
      <c r="Q21">
        <v>11325.130000000001</v>
      </c>
      <c r="R21">
        <f t="shared" si="0"/>
        <v>15</v>
      </c>
      <c r="S21">
        <v>9</v>
      </c>
    </row>
    <row r="22" spans="1:19" x14ac:dyDescent="0.3">
      <c r="A22" t="s">
        <v>92</v>
      </c>
      <c r="B22">
        <v>20555713097</v>
      </c>
      <c r="C22" t="s">
        <v>117</v>
      </c>
      <c r="D22" t="s">
        <v>18</v>
      </c>
      <c r="E22" s="1">
        <v>45908</v>
      </c>
      <c r="F22">
        <v>313.25</v>
      </c>
      <c r="G22" t="s">
        <v>1436</v>
      </c>
      <c r="H22">
        <f>_xlfn.XLOOKUP(E22,K:K,L:L)</f>
        <v>1</v>
      </c>
      <c r="K22" s="39">
        <v>45928</v>
      </c>
      <c r="L22">
        <v>15</v>
      </c>
      <c r="O22" s="1">
        <v>45927</v>
      </c>
      <c r="P22">
        <v>9</v>
      </c>
      <c r="Q22">
        <v>86203.489999999991</v>
      </c>
      <c r="R22">
        <f t="shared" si="0"/>
        <v>15</v>
      </c>
      <c r="S22">
        <v>9</v>
      </c>
    </row>
    <row r="23" spans="1:19" x14ac:dyDescent="0.3">
      <c r="A23" t="s">
        <v>92</v>
      </c>
      <c r="B23">
        <v>20606097485</v>
      </c>
      <c r="C23" t="s">
        <v>118</v>
      </c>
      <c r="D23" t="s">
        <v>119</v>
      </c>
      <c r="E23" s="1">
        <v>45908</v>
      </c>
      <c r="F23">
        <v>516.54999999999995</v>
      </c>
      <c r="G23" t="s">
        <v>1436</v>
      </c>
      <c r="H23">
        <f>_xlfn.XLOOKUP(E23,K:K,L:L)</f>
        <v>1</v>
      </c>
      <c r="K23" s="1">
        <v>45929</v>
      </c>
      <c r="L23">
        <v>16</v>
      </c>
      <c r="O23" s="1">
        <v>45929</v>
      </c>
      <c r="P23">
        <v>21</v>
      </c>
      <c r="Q23">
        <v>36950.340000000004</v>
      </c>
      <c r="R23">
        <f t="shared" si="0"/>
        <v>16</v>
      </c>
      <c r="S23">
        <v>9</v>
      </c>
    </row>
    <row r="24" spans="1:19" x14ac:dyDescent="0.3">
      <c r="A24" t="s">
        <v>93</v>
      </c>
      <c r="B24">
        <v>20329560687</v>
      </c>
      <c r="C24" t="s">
        <v>120</v>
      </c>
      <c r="D24" t="s">
        <v>121</v>
      </c>
      <c r="E24" s="1">
        <v>45908</v>
      </c>
      <c r="F24">
        <v>59.57</v>
      </c>
      <c r="G24" t="s">
        <v>1436</v>
      </c>
      <c r="H24">
        <f>_xlfn.XLOOKUP(E24,K:K,L:L)</f>
        <v>1</v>
      </c>
      <c r="K24" s="1">
        <v>45930</v>
      </c>
      <c r="L24">
        <v>17</v>
      </c>
      <c r="O24" s="1">
        <v>45930</v>
      </c>
      <c r="P24">
        <v>21</v>
      </c>
      <c r="Q24">
        <v>29537.409999999996</v>
      </c>
      <c r="R24">
        <f t="shared" si="0"/>
        <v>17</v>
      </c>
      <c r="S24">
        <v>9</v>
      </c>
    </row>
    <row r="25" spans="1:19" x14ac:dyDescent="0.3">
      <c r="A25" t="s">
        <v>92</v>
      </c>
      <c r="B25">
        <v>10033516377</v>
      </c>
      <c r="C25" t="s">
        <v>122</v>
      </c>
      <c r="D25" t="s">
        <v>7</v>
      </c>
      <c r="E25" s="1">
        <v>45909</v>
      </c>
      <c r="F25">
        <v>301.62</v>
      </c>
      <c r="G25" t="s">
        <v>1436</v>
      </c>
      <c r="H25">
        <f>_xlfn.XLOOKUP(E25,K:K,L:L)</f>
        <v>2</v>
      </c>
      <c r="K25" s="1">
        <v>45931</v>
      </c>
      <c r="L25">
        <v>18</v>
      </c>
      <c r="O25" s="1">
        <v>45931</v>
      </c>
      <c r="P25">
        <v>21</v>
      </c>
      <c r="Q25">
        <v>8786.5799999999981</v>
      </c>
      <c r="R25">
        <f t="shared" si="0"/>
        <v>18</v>
      </c>
      <c r="S25">
        <v>9</v>
      </c>
    </row>
    <row r="26" spans="1:19" x14ac:dyDescent="0.3">
      <c r="A26" t="s">
        <v>92</v>
      </c>
      <c r="B26">
        <v>10166488911</v>
      </c>
      <c r="C26" t="s">
        <v>123</v>
      </c>
      <c r="D26" t="s">
        <v>27</v>
      </c>
      <c r="E26" s="1">
        <v>45909</v>
      </c>
      <c r="F26">
        <v>260.68</v>
      </c>
      <c r="G26" t="s">
        <v>1436</v>
      </c>
      <c r="H26">
        <f>_xlfn.XLOOKUP(E26,K:K,L:L)</f>
        <v>2</v>
      </c>
      <c r="K26" s="1">
        <v>45932</v>
      </c>
      <c r="L26">
        <v>19</v>
      </c>
      <c r="O26" s="1">
        <v>45932</v>
      </c>
      <c r="P26">
        <v>9</v>
      </c>
      <c r="Q26">
        <v>2557.1499999999996</v>
      </c>
      <c r="R26">
        <f t="shared" si="0"/>
        <v>19</v>
      </c>
      <c r="S26">
        <v>9</v>
      </c>
    </row>
    <row r="27" spans="1:19" x14ac:dyDescent="0.3">
      <c r="A27" t="s">
        <v>92</v>
      </c>
      <c r="B27">
        <v>10282272844</v>
      </c>
      <c r="C27" t="s">
        <v>124</v>
      </c>
      <c r="D27" t="s">
        <v>27</v>
      </c>
      <c r="E27" s="1">
        <v>45909</v>
      </c>
      <c r="F27">
        <v>243.48000000000002</v>
      </c>
      <c r="G27" t="s">
        <v>1436</v>
      </c>
      <c r="H27">
        <f>_xlfn.XLOOKUP(E27,K:K,L:L)</f>
        <v>2</v>
      </c>
      <c r="K27" s="1">
        <v>45933</v>
      </c>
      <c r="L27">
        <v>20</v>
      </c>
      <c r="O27" s="1">
        <v>45933</v>
      </c>
      <c r="P27">
        <v>18</v>
      </c>
      <c r="Q27">
        <v>39296.530000000013</v>
      </c>
      <c r="R27">
        <f t="shared" si="0"/>
        <v>20</v>
      </c>
      <c r="S27">
        <v>9</v>
      </c>
    </row>
    <row r="28" spans="1:19" x14ac:dyDescent="0.3">
      <c r="A28" t="s">
        <v>92</v>
      </c>
      <c r="B28">
        <v>10404091382</v>
      </c>
      <c r="C28" t="s">
        <v>125</v>
      </c>
      <c r="D28" t="s">
        <v>27</v>
      </c>
      <c r="E28" s="1">
        <v>45909</v>
      </c>
      <c r="F28">
        <v>276.83000000000004</v>
      </c>
      <c r="G28" t="s">
        <v>1436</v>
      </c>
      <c r="H28">
        <f>_xlfn.XLOOKUP(E28,K:K,L:L)</f>
        <v>2</v>
      </c>
      <c r="K28" s="39">
        <v>45934</v>
      </c>
      <c r="L28">
        <v>20</v>
      </c>
      <c r="O28" s="1">
        <v>45934</v>
      </c>
      <c r="P28">
        <v>10</v>
      </c>
      <c r="Q28">
        <v>3470.2799999999997</v>
      </c>
      <c r="R28">
        <f t="shared" si="0"/>
        <v>20</v>
      </c>
      <c r="S28">
        <v>9</v>
      </c>
    </row>
    <row r="29" spans="1:19" x14ac:dyDescent="0.3">
      <c r="A29" t="s">
        <v>92</v>
      </c>
      <c r="B29">
        <v>10425771421</v>
      </c>
      <c r="C29" t="s">
        <v>126</v>
      </c>
      <c r="D29" t="s">
        <v>7</v>
      </c>
      <c r="E29" s="1">
        <v>45909</v>
      </c>
      <c r="F29">
        <v>148.03</v>
      </c>
      <c r="G29" t="s">
        <v>1436</v>
      </c>
      <c r="H29">
        <f>_xlfn.XLOOKUP(E29,K:K,L:L)</f>
        <v>2</v>
      </c>
      <c r="K29" s="39">
        <v>45935</v>
      </c>
      <c r="L29">
        <v>20</v>
      </c>
      <c r="O29" s="1">
        <v>45935</v>
      </c>
      <c r="P29">
        <v>1</v>
      </c>
      <c r="Q29">
        <v>229.45000000000002</v>
      </c>
      <c r="R29">
        <f t="shared" si="0"/>
        <v>20</v>
      </c>
      <c r="S29">
        <v>9</v>
      </c>
    </row>
    <row r="30" spans="1:19" x14ac:dyDescent="0.3">
      <c r="A30" t="s">
        <v>92</v>
      </c>
      <c r="B30">
        <v>10742126281</v>
      </c>
      <c r="C30" t="s">
        <v>127</v>
      </c>
      <c r="D30" t="s">
        <v>7</v>
      </c>
      <c r="E30" s="1">
        <v>45909</v>
      </c>
      <c r="F30">
        <v>148.03</v>
      </c>
      <c r="G30" t="s">
        <v>1436</v>
      </c>
      <c r="H30">
        <f>_xlfn.XLOOKUP(E30,K:K,L:L)</f>
        <v>2</v>
      </c>
      <c r="K30" s="1">
        <v>45936</v>
      </c>
      <c r="L30">
        <v>1</v>
      </c>
      <c r="O30" s="1">
        <v>45936</v>
      </c>
      <c r="P30">
        <v>24</v>
      </c>
      <c r="Q30">
        <v>14706.049999999997</v>
      </c>
      <c r="R30">
        <f t="shared" si="0"/>
        <v>1</v>
      </c>
      <c r="S30">
        <v>10</v>
      </c>
    </row>
    <row r="31" spans="1:19" x14ac:dyDescent="0.3">
      <c r="A31" t="s">
        <v>92</v>
      </c>
      <c r="B31">
        <v>10804399661</v>
      </c>
      <c r="C31" t="s">
        <v>128</v>
      </c>
      <c r="D31" t="s">
        <v>54</v>
      </c>
      <c r="E31" s="1">
        <v>45909</v>
      </c>
      <c r="F31">
        <v>392.89</v>
      </c>
      <c r="G31" t="s">
        <v>1436</v>
      </c>
      <c r="H31">
        <f>_xlfn.XLOOKUP(E31,K:K,L:L)</f>
        <v>2</v>
      </c>
      <c r="K31" s="1">
        <v>45937</v>
      </c>
      <c r="L31">
        <v>2</v>
      </c>
      <c r="O31" s="1">
        <v>45937</v>
      </c>
      <c r="P31">
        <v>44</v>
      </c>
      <c r="Q31">
        <v>35626.649999999994</v>
      </c>
      <c r="R31">
        <f t="shared" si="0"/>
        <v>2</v>
      </c>
      <c r="S31">
        <v>10</v>
      </c>
    </row>
    <row r="32" spans="1:19" x14ac:dyDescent="0.3">
      <c r="A32" t="s">
        <v>92</v>
      </c>
      <c r="B32">
        <v>20392883119</v>
      </c>
      <c r="C32" t="s">
        <v>129</v>
      </c>
      <c r="D32" t="s">
        <v>7</v>
      </c>
      <c r="E32" s="1">
        <v>45909</v>
      </c>
      <c r="F32">
        <v>148.03</v>
      </c>
      <c r="G32" t="s">
        <v>1436</v>
      </c>
      <c r="H32">
        <f>_xlfn.XLOOKUP(E32,K:K,L:L)</f>
        <v>2</v>
      </c>
      <c r="K32" s="1">
        <v>45938</v>
      </c>
      <c r="L32">
        <v>3</v>
      </c>
      <c r="O32" s="1">
        <v>45938</v>
      </c>
      <c r="P32">
        <v>7</v>
      </c>
      <c r="Q32">
        <v>6721.43</v>
      </c>
      <c r="R32">
        <f t="shared" si="0"/>
        <v>3</v>
      </c>
      <c r="S32">
        <v>10</v>
      </c>
    </row>
    <row r="33" spans="1:19" x14ac:dyDescent="0.3">
      <c r="A33" t="s">
        <v>92</v>
      </c>
      <c r="B33">
        <v>20487604225</v>
      </c>
      <c r="C33" t="s">
        <v>130</v>
      </c>
      <c r="D33" t="s">
        <v>27</v>
      </c>
      <c r="E33" s="1">
        <v>45909</v>
      </c>
      <c r="F33">
        <v>260.68</v>
      </c>
      <c r="G33" t="s">
        <v>1436</v>
      </c>
      <c r="H33">
        <f>_xlfn.XLOOKUP(E33,K:K,L:L)</f>
        <v>2</v>
      </c>
      <c r="K33" s="1">
        <v>45939</v>
      </c>
      <c r="L33">
        <v>4</v>
      </c>
      <c r="O33" s="1">
        <v>45939</v>
      </c>
      <c r="P33">
        <v>36</v>
      </c>
      <c r="Q33">
        <v>21623.65</v>
      </c>
      <c r="R33">
        <f t="shared" si="0"/>
        <v>4</v>
      </c>
      <c r="S33">
        <v>10</v>
      </c>
    </row>
    <row r="34" spans="1:19" x14ac:dyDescent="0.3">
      <c r="A34" t="s">
        <v>92</v>
      </c>
      <c r="B34">
        <v>20494017793</v>
      </c>
      <c r="C34" t="s">
        <v>131</v>
      </c>
      <c r="D34" t="s">
        <v>7</v>
      </c>
      <c r="E34" s="1">
        <v>45909</v>
      </c>
      <c r="F34">
        <v>277.78999999999996</v>
      </c>
      <c r="G34" t="s">
        <v>1436</v>
      </c>
      <c r="H34">
        <f>_xlfn.XLOOKUP(E34,K:K,L:L)</f>
        <v>2</v>
      </c>
      <c r="K34" s="1">
        <v>45940</v>
      </c>
      <c r="L34">
        <v>5</v>
      </c>
      <c r="O34" s="1">
        <v>45940</v>
      </c>
      <c r="P34">
        <v>45</v>
      </c>
      <c r="Q34">
        <v>56087.340000000004</v>
      </c>
      <c r="R34">
        <f t="shared" si="0"/>
        <v>5</v>
      </c>
      <c r="S34">
        <v>10</v>
      </c>
    </row>
    <row r="35" spans="1:19" x14ac:dyDescent="0.3">
      <c r="A35" t="s">
        <v>92</v>
      </c>
      <c r="B35">
        <v>20517094626</v>
      </c>
      <c r="C35" t="s">
        <v>132</v>
      </c>
      <c r="D35" t="s">
        <v>7</v>
      </c>
      <c r="E35" s="1">
        <v>45909</v>
      </c>
      <c r="F35">
        <v>162.83000000000001</v>
      </c>
      <c r="G35" t="s">
        <v>1436</v>
      </c>
      <c r="H35">
        <f>_xlfn.XLOOKUP(E35,K:K,L:L)</f>
        <v>2</v>
      </c>
      <c r="K35" s="39">
        <v>45941</v>
      </c>
      <c r="L35">
        <v>5</v>
      </c>
      <c r="O35" s="1">
        <v>45941</v>
      </c>
      <c r="P35">
        <v>19</v>
      </c>
      <c r="Q35">
        <v>6562.73</v>
      </c>
      <c r="R35">
        <f t="shared" si="0"/>
        <v>5</v>
      </c>
      <c r="S35">
        <v>10</v>
      </c>
    </row>
    <row r="36" spans="1:19" x14ac:dyDescent="0.3">
      <c r="A36" t="s">
        <v>92</v>
      </c>
      <c r="B36">
        <v>20548423920</v>
      </c>
      <c r="C36" t="s">
        <v>133</v>
      </c>
      <c r="D36" t="s">
        <v>54</v>
      </c>
      <c r="E36" s="1">
        <v>45909</v>
      </c>
      <c r="F36">
        <v>392.89</v>
      </c>
      <c r="G36" t="s">
        <v>1436</v>
      </c>
      <c r="H36">
        <f>_xlfn.XLOOKUP(E36,K:K,L:L)</f>
        <v>2</v>
      </c>
      <c r="K36" s="39">
        <v>45942</v>
      </c>
      <c r="L36">
        <v>5</v>
      </c>
      <c r="O36" s="1">
        <v>45942</v>
      </c>
      <c r="P36">
        <v>3</v>
      </c>
      <c r="Q36">
        <v>2682.9300000000003</v>
      </c>
      <c r="R36">
        <f t="shared" si="0"/>
        <v>5</v>
      </c>
      <c r="S36">
        <v>10</v>
      </c>
    </row>
    <row r="37" spans="1:19" x14ac:dyDescent="0.3">
      <c r="A37" t="s">
        <v>92</v>
      </c>
      <c r="B37">
        <v>20551404995</v>
      </c>
      <c r="C37" t="s">
        <v>134</v>
      </c>
      <c r="D37" t="s">
        <v>7</v>
      </c>
      <c r="E37" s="1">
        <v>45909</v>
      </c>
      <c r="F37">
        <v>148.03</v>
      </c>
      <c r="G37" t="s">
        <v>1436</v>
      </c>
      <c r="H37">
        <f>_xlfn.XLOOKUP(E37,K:K,L:L)</f>
        <v>2</v>
      </c>
      <c r="K37" s="1">
        <v>45943</v>
      </c>
      <c r="L37">
        <v>6</v>
      </c>
      <c r="O37" s="1">
        <v>45943</v>
      </c>
      <c r="P37">
        <v>23</v>
      </c>
      <c r="Q37">
        <v>19346.329999999998</v>
      </c>
      <c r="R37">
        <f t="shared" si="0"/>
        <v>6</v>
      </c>
      <c r="S37">
        <v>10</v>
      </c>
    </row>
    <row r="38" spans="1:19" x14ac:dyDescent="0.3">
      <c r="A38" t="s">
        <v>92</v>
      </c>
      <c r="B38">
        <v>20555441232</v>
      </c>
      <c r="C38" t="s">
        <v>135</v>
      </c>
      <c r="D38" t="s">
        <v>7</v>
      </c>
      <c r="E38" s="1">
        <v>45909</v>
      </c>
      <c r="F38">
        <v>148.03</v>
      </c>
      <c r="G38" t="s">
        <v>1436</v>
      </c>
      <c r="H38">
        <f>_xlfn.XLOOKUP(E38,K:K,L:L)</f>
        <v>2</v>
      </c>
      <c r="K38" s="1">
        <v>45944</v>
      </c>
      <c r="L38">
        <v>7</v>
      </c>
      <c r="O38" s="1">
        <v>45944</v>
      </c>
      <c r="P38">
        <v>26</v>
      </c>
      <c r="Q38">
        <v>25410.940000000002</v>
      </c>
      <c r="R38">
        <f t="shared" si="0"/>
        <v>7</v>
      </c>
      <c r="S38">
        <v>10</v>
      </c>
    </row>
    <row r="39" spans="1:19" x14ac:dyDescent="0.3">
      <c r="A39" t="s">
        <v>92</v>
      </c>
      <c r="B39">
        <v>20558226031</v>
      </c>
      <c r="C39" t="s">
        <v>136</v>
      </c>
      <c r="D39" t="s">
        <v>27</v>
      </c>
      <c r="E39" s="1">
        <v>45909</v>
      </c>
      <c r="F39">
        <v>810.47</v>
      </c>
      <c r="G39" t="s">
        <v>1436</v>
      </c>
      <c r="H39">
        <f>_xlfn.XLOOKUP(E39,K:K,L:L)</f>
        <v>2</v>
      </c>
      <c r="K39" s="1">
        <v>45945</v>
      </c>
      <c r="L39">
        <v>8</v>
      </c>
      <c r="O39" s="1">
        <v>45945</v>
      </c>
      <c r="P39">
        <v>40</v>
      </c>
      <c r="Q39">
        <v>26511.91</v>
      </c>
      <c r="R39">
        <f t="shared" si="0"/>
        <v>8</v>
      </c>
      <c r="S39">
        <v>10</v>
      </c>
    </row>
    <row r="40" spans="1:19" x14ac:dyDescent="0.3">
      <c r="A40" t="s">
        <v>92</v>
      </c>
      <c r="B40">
        <v>20600487109</v>
      </c>
      <c r="C40" t="s">
        <v>137</v>
      </c>
      <c r="D40" t="s">
        <v>138</v>
      </c>
      <c r="E40" s="1">
        <v>45909</v>
      </c>
      <c r="F40">
        <v>182.36</v>
      </c>
      <c r="G40" t="s">
        <v>1436</v>
      </c>
      <c r="H40">
        <f>_xlfn.XLOOKUP(E40,K:K,L:L)</f>
        <v>2</v>
      </c>
      <c r="K40" s="1">
        <v>45946</v>
      </c>
      <c r="L40">
        <v>9</v>
      </c>
      <c r="O40" s="1">
        <v>45946</v>
      </c>
      <c r="P40">
        <v>34</v>
      </c>
      <c r="Q40">
        <v>47811.359999999986</v>
      </c>
      <c r="R40">
        <f t="shared" si="0"/>
        <v>9</v>
      </c>
      <c r="S40">
        <v>10</v>
      </c>
    </row>
    <row r="41" spans="1:19" x14ac:dyDescent="0.3">
      <c r="A41" t="s">
        <v>92</v>
      </c>
      <c r="B41">
        <v>20601777194</v>
      </c>
      <c r="C41" t="s">
        <v>139</v>
      </c>
      <c r="D41" t="s">
        <v>7</v>
      </c>
      <c r="E41" s="1">
        <v>45909</v>
      </c>
      <c r="F41">
        <v>148.03</v>
      </c>
      <c r="G41" t="s">
        <v>1436</v>
      </c>
      <c r="H41">
        <f>_xlfn.XLOOKUP(E41,K:K,L:L)</f>
        <v>2</v>
      </c>
      <c r="K41" s="1">
        <v>45947</v>
      </c>
      <c r="L41">
        <v>10</v>
      </c>
      <c r="O41" s="1">
        <v>45947</v>
      </c>
      <c r="P41">
        <v>27</v>
      </c>
      <c r="Q41">
        <v>19721.869999999995</v>
      </c>
      <c r="R41">
        <f t="shared" si="0"/>
        <v>10</v>
      </c>
      <c r="S41">
        <v>10</v>
      </c>
    </row>
    <row r="42" spans="1:19" x14ac:dyDescent="0.3">
      <c r="A42" t="s">
        <v>92</v>
      </c>
      <c r="B42">
        <v>20602122132</v>
      </c>
      <c r="C42" t="s">
        <v>140</v>
      </c>
      <c r="D42" t="s">
        <v>27</v>
      </c>
      <c r="E42" s="1">
        <v>45909</v>
      </c>
      <c r="F42">
        <v>302.90000000000003</v>
      </c>
      <c r="G42" t="s">
        <v>1436</v>
      </c>
      <c r="H42">
        <f>_xlfn.XLOOKUP(E42,K:K,L:L)</f>
        <v>2</v>
      </c>
      <c r="K42" s="39">
        <v>45948</v>
      </c>
      <c r="L42">
        <v>10</v>
      </c>
      <c r="O42" s="1">
        <v>45948</v>
      </c>
      <c r="P42">
        <v>12</v>
      </c>
      <c r="Q42">
        <v>9094.35</v>
      </c>
      <c r="R42">
        <f t="shared" si="0"/>
        <v>10</v>
      </c>
      <c r="S42">
        <v>10</v>
      </c>
    </row>
    <row r="43" spans="1:19" x14ac:dyDescent="0.3">
      <c r="A43" t="s">
        <v>92</v>
      </c>
      <c r="B43">
        <v>20608418009</v>
      </c>
      <c r="C43" t="s">
        <v>141</v>
      </c>
      <c r="D43" t="s">
        <v>7</v>
      </c>
      <c r="E43" s="1">
        <v>45909</v>
      </c>
      <c r="F43">
        <v>1457.26</v>
      </c>
      <c r="G43" t="s">
        <v>1436</v>
      </c>
      <c r="H43">
        <f>_xlfn.XLOOKUP(E43,K:K,L:L)</f>
        <v>2</v>
      </c>
      <c r="K43" s="39">
        <v>45949</v>
      </c>
      <c r="L43">
        <v>10</v>
      </c>
      <c r="O43" s="1">
        <v>45949</v>
      </c>
      <c r="P43">
        <v>2</v>
      </c>
      <c r="Q43">
        <v>523.27</v>
      </c>
      <c r="R43">
        <f t="shared" si="0"/>
        <v>10</v>
      </c>
      <c r="S43">
        <v>10</v>
      </c>
    </row>
    <row r="44" spans="1:19" x14ac:dyDescent="0.3">
      <c r="A44" t="s">
        <v>92</v>
      </c>
      <c r="B44">
        <v>20608555774</v>
      </c>
      <c r="C44" t="s">
        <v>142</v>
      </c>
      <c r="D44" t="s">
        <v>27</v>
      </c>
      <c r="E44" s="1">
        <v>45909</v>
      </c>
      <c r="F44">
        <v>479.94</v>
      </c>
      <c r="G44" t="s">
        <v>1436</v>
      </c>
      <c r="H44">
        <f>_xlfn.XLOOKUP(E44,K:K,L:L)</f>
        <v>2</v>
      </c>
      <c r="K44" s="1">
        <v>45950</v>
      </c>
      <c r="L44">
        <v>11</v>
      </c>
      <c r="O44" s="1">
        <v>45950</v>
      </c>
      <c r="P44">
        <v>26</v>
      </c>
      <c r="Q44">
        <v>20335.22</v>
      </c>
      <c r="R44">
        <f t="shared" si="0"/>
        <v>11</v>
      </c>
      <c r="S44">
        <v>10</v>
      </c>
    </row>
    <row r="45" spans="1:19" x14ac:dyDescent="0.3">
      <c r="A45" t="s">
        <v>92</v>
      </c>
      <c r="B45">
        <v>20610309101</v>
      </c>
      <c r="C45" t="s">
        <v>143</v>
      </c>
      <c r="D45" t="s">
        <v>7</v>
      </c>
      <c r="E45" s="1">
        <v>45909</v>
      </c>
      <c r="F45">
        <v>148.03</v>
      </c>
      <c r="G45" t="s">
        <v>1436</v>
      </c>
      <c r="H45">
        <f>_xlfn.XLOOKUP(E45,K:K,L:L)</f>
        <v>2</v>
      </c>
      <c r="K45" s="1">
        <v>45951</v>
      </c>
      <c r="L45">
        <v>12</v>
      </c>
      <c r="O45" s="1">
        <v>45951</v>
      </c>
      <c r="P45">
        <v>22</v>
      </c>
      <c r="Q45">
        <v>16717.039999999997</v>
      </c>
      <c r="R45">
        <f t="shared" si="0"/>
        <v>12</v>
      </c>
      <c r="S45">
        <v>10</v>
      </c>
    </row>
    <row r="46" spans="1:19" x14ac:dyDescent="0.3">
      <c r="A46" t="s">
        <v>92</v>
      </c>
      <c r="B46">
        <v>20611040157</v>
      </c>
      <c r="C46" t="s">
        <v>144</v>
      </c>
      <c r="D46" t="s">
        <v>7</v>
      </c>
      <c r="E46" s="1">
        <v>45909</v>
      </c>
      <c r="F46">
        <v>148.03</v>
      </c>
      <c r="G46" t="s">
        <v>1436</v>
      </c>
      <c r="H46">
        <f>_xlfn.XLOOKUP(E46,K:K,L:L)</f>
        <v>2</v>
      </c>
      <c r="K46" s="1">
        <v>45952</v>
      </c>
      <c r="L46">
        <v>13</v>
      </c>
      <c r="O46" s="1">
        <v>45952</v>
      </c>
      <c r="P46">
        <v>23</v>
      </c>
      <c r="Q46">
        <v>9155.9800000000014</v>
      </c>
      <c r="R46">
        <f t="shared" si="0"/>
        <v>13</v>
      </c>
      <c r="S46">
        <v>10</v>
      </c>
    </row>
    <row r="47" spans="1:19" x14ac:dyDescent="0.3">
      <c r="A47" t="s">
        <v>92</v>
      </c>
      <c r="B47">
        <v>20611202874</v>
      </c>
      <c r="C47" t="s">
        <v>145</v>
      </c>
      <c r="D47" t="s">
        <v>7</v>
      </c>
      <c r="E47" s="1">
        <v>45909</v>
      </c>
      <c r="F47">
        <v>148.03</v>
      </c>
      <c r="G47" t="s">
        <v>1436</v>
      </c>
      <c r="H47">
        <f>_xlfn.XLOOKUP(E47,K:K,L:L)</f>
        <v>2</v>
      </c>
      <c r="K47" s="1">
        <v>45953</v>
      </c>
      <c r="L47">
        <v>14</v>
      </c>
      <c r="O47" s="1">
        <v>45953</v>
      </c>
      <c r="P47">
        <v>23</v>
      </c>
      <c r="Q47">
        <v>14312.799999999997</v>
      </c>
      <c r="R47">
        <f t="shared" si="0"/>
        <v>14</v>
      </c>
      <c r="S47">
        <v>10</v>
      </c>
    </row>
    <row r="48" spans="1:19" x14ac:dyDescent="0.3">
      <c r="A48" t="s">
        <v>92</v>
      </c>
      <c r="B48">
        <v>20612675580</v>
      </c>
      <c r="C48" t="s">
        <v>146</v>
      </c>
      <c r="D48" t="s">
        <v>54</v>
      </c>
      <c r="E48" s="1">
        <v>45909</v>
      </c>
      <c r="F48">
        <v>455.84</v>
      </c>
      <c r="G48" t="s">
        <v>1436</v>
      </c>
      <c r="H48">
        <f>_xlfn.XLOOKUP(E48,K:K,L:L)</f>
        <v>2</v>
      </c>
      <c r="K48" s="1">
        <v>45954</v>
      </c>
      <c r="L48">
        <v>15</v>
      </c>
      <c r="O48" s="1">
        <v>45954</v>
      </c>
      <c r="P48">
        <v>30</v>
      </c>
      <c r="Q48">
        <v>17593.520000000004</v>
      </c>
      <c r="R48">
        <f t="shared" si="0"/>
        <v>15</v>
      </c>
      <c r="S48">
        <v>10</v>
      </c>
    </row>
    <row r="49" spans="1:19" x14ac:dyDescent="0.3">
      <c r="A49" t="s">
        <v>92</v>
      </c>
      <c r="B49">
        <v>20613125915</v>
      </c>
      <c r="C49" t="s">
        <v>147</v>
      </c>
      <c r="D49" t="s">
        <v>54</v>
      </c>
      <c r="E49" s="1">
        <v>45909</v>
      </c>
      <c r="F49">
        <v>816.51</v>
      </c>
      <c r="G49" t="s">
        <v>1436</v>
      </c>
      <c r="H49">
        <f>_xlfn.XLOOKUP(E49,K:K,L:L)</f>
        <v>2</v>
      </c>
      <c r="K49" s="39">
        <v>45955</v>
      </c>
      <c r="L49">
        <v>15</v>
      </c>
      <c r="O49" s="1">
        <v>45955</v>
      </c>
      <c r="P49">
        <v>6</v>
      </c>
      <c r="Q49">
        <v>3206.42</v>
      </c>
      <c r="R49">
        <f t="shared" si="0"/>
        <v>15</v>
      </c>
      <c r="S49">
        <v>10</v>
      </c>
    </row>
    <row r="50" spans="1:19" x14ac:dyDescent="0.3">
      <c r="A50" t="s">
        <v>92</v>
      </c>
      <c r="B50">
        <v>20613343572</v>
      </c>
      <c r="C50" t="s">
        <v>148</v>
      </c>
      <c r="D50" t="s">
        <v>149</v>
      </c>
      <c r="E50" s="1">
        <v>45909</v>
      </c>
      <c r="F50">
        <v>528.43000000000006</v>
      </c>
      <c r="G50" t="s">
        <v>1436</v>
      </c>
      <c r="H50">
        <f>_xlfn.XLOOKUP(E50,K:K,L:L)</f>
        <v>2</v>
      </c>
      <c r="K50" s="39">
        <v>45956</v>
      </c>
      <c r="L50">
        <v>15</v>
      </c>
      <c r="O50" s="1">
        <v>45957</v>
      </c>
      <c r="P50">
        <v>22</v>
      </c>
      <c r="Q50">
        <v>14624.430000000004</v>
      </c>
      <c r="R50">
        <f t="shared" si="0"/>
        <v>16</v>
      </c>
      <c r="S50">
        <v>10</v>
      </c>
    </row>
    <row r="51" spans="1:19" x14ac:dyDescent="0.3">
      <c r="A51" t="s">
        <v>92</v>
      </c>
      <c r="B51">
        <v>20613695231</v>
      </c>
      <c r="C51" t="s">
        <v>150</v>
      </c>
      <c r="D51" t="s">
        <v>7</v>
      </c>
      <c r="E51" s="1">
        <v>45909</v>
      </c>
      <c r="F51">
        <v>277.78999999999996</v>
      </c>
      <c r="G51" t="s">
        <v>1436</v>
      </c>
      <c r="H51">
        <f>_xlfn.XLOOKUP(E51,K:K,L:L)</f>
        <v>2</v>
      </c>
      <c r="K51" s="1">
        <v>45957</v>
      </c>
      <c r="L51">
        <v>16</v>
      </c>
      <c r="O51" s="1">
        <v>45958</v>
      </c>
      <c r="P51">
        <v>19</v>
      </c>
      <c r="Q51">
        <v>18876.530000000002</v>
      </c>
      <c r="R51">
        <f t="shared" si="0"/>
        <v>17</v>
      </c>
      <c r="S51">
        <v>10</v>
      </c>
    </row>
    <row r="52" spans="1:19" x14ac:dyDescent="0.3">
      <c r="A52" t="s">
        <v>92</v>
      </c>
      <c r="B52">
        <v>10258051306</v>
      </c>
      <c r="C52" t="s">
        <v>151</v>
      </c>
      <c r="D52" t="s">
        <v>16</v>
      </c>
      <c r="E52" s="1">
        <v>45909</v>
      </c>
      <c r="F52">
        <v>260.95000000000005</v>
      </c>
      <c r="G52" t="s">
        <v>1436</v>
      </c>
      <c r="H52">
        <f>_xlfn.XLOOKUP(E52,K:K,L:L)</f>
        <v>2</v>
      </c>
      <c r="K52" s="1">
        <v>45958</v>
      </c>
      <c r="L52">
        <v>17</v>
      </c>
      <c r="O52" s="1">
        <v>45959</v>
      </c>
      <c r="P52">
        <v>19</v>
      </c>
      <c r="Q52">
        <v>9942.41</v>
      </c>
      <c r="R52">
        <f t="shared" si="0"/>
        <v>18</v>
      </c>
      <c r="S52">
        <v>10</v>
      </c>
    </row>
    <row r="53" spans="1:19" x14ac:dyDescent="0.3">
      <c r="A53" t="s">
        <v>92</v>
      </c>
      <c r="B53">
        <v>10442282451</v>
      </c>
      <c r="C53" t="s">
        <v>152</v>
      </c>
      <c r="D53" t="s">
        <v>153</v>
      </c>
      <c r="E53" s="1">
        <v>45909</v>
      </c>
      <c r="F53">
        <v>526.25</v>
      </c>
      <c r="G53" t="s">
        <v>1436</v>
      </c>
      <c r="H53">
        <f>_xlfn.XLOOKUP(E53,K:K,L:L)</f>
        <v>2</v>
      </c>
      <c r="K53" s="1">
        <v>45959</v>
      </c>
      <c r="L53">
        <v>18</v>
      </c>
      <c r="O53" s="1">
        <v>45960</v>
      </c>
      <c r="P53">
        <v>9</v>
      </c>
      <c r="Q53">
        <v>5233.9800000000005</v>
      </c>
      <c r="R53">
        <f t="shared" si="0"/>
        <v>19</v>
      </c>
      <c r="S53">
        <v>10</v>
      </c>
    </row>
    <row r="54" spans="1:19" x14ac:dyDescent="0.3">
      <c r="A54" t="s">
        <v>92</v>
      </c>
      <c r="B54">
        <v>20478730021</v>
      </c>
      <c r="C54" t="s">
        <v>154</v>
      </c>
      <c r="D54" t="s">
        <v>16</v>
      </c>
      <c r="E54" s="1">
        <v>45909</v>
      </c>
      <c r="F54">
        <v>261.20000000000005</v>
      </c>
      <c r="G54" t="s">
        <v>1436</v>
      </c>
      <c r="H54">
        <f>_xlfn.XLOOKUP(E54,K:K,L:L)</f>
        <v>2</v>
      </c>
      <c r="K54" s="1">
        <v>45960</v>
      </c>
      <c r="L54">
        <v>19</v>
      </c>
      <c r="O54" s="1">
        <v>45961</v>
      </c>
      <c r="P54">
        <v>16</v>
      </c>
      <c r="Q54">
        <v>9228.57</v>
      </c>
      <c r="R54">
        <f t="shared" si="0"/>
        <v>20</v>
      </c>
      <c r="S54">
        <v>10</v>
      </c>
    </row>
    <row r="55" spans="1:19" x14ac:dyDescent="0.3">
      <c r="A55" t="s">
        <v>92</v>
      </c>
      <c r="B55">
        <v>20481285217</v>
      </c>
      <c r="C55" t="s">
        <v>155</v>
      </c>
      <c r="D55" t="s">
        <v>16</v>
      </c>
      <c r="E55" s="1">
        <v>45909</v>
      </c>
      <c r="F55">
        <v>322.01</v>
      </c>
      <c r="G55" t="s">
        <v>1436</v>
      </c>
      <c r="H55">
        <f>_xlfn.XLOOKUP(E55,K:K,L:L)</f>
        <v>2</v>
      </c>
      <c r="K55" s="1">
        <v>45961</v>
      </c>
      <c r="L55">
        <v>20</v>
      </c>
      <c r="O55" s="1">
        <v>45962</v>
      </c>
      <c r="P55">
        <v>2</v>
      </c>
      <c r="Q55">
        <v>709.46</v>
      </c>
      <c r="R55">
        <f t="shared" si="0"/>
        <v>20</v>
      </c>
      <c r="S55">
        <v>10</v>
      </c>
    </row>
    <row r="56" spans="1:19" x14ac:dyDescent="0.3">
      <c r="A56" t="s">
        <v>92</v>
      </c>
      <c r="B56">
        <v>20502985664</v>
      </c>
      <c r="C56" t="s">
        <v>156</v>
      </c>
      <c r="D56" t="s">
        <v>65</v>
      </c>
      <c r="E56" s="1">
        <v>45909</v>
      </c>
      <c r="F56">
        <v>149.35000000000002</v>
      </c>
      <c r="G56" t="s">
        <v>1436</v>
      </c>
      <c r="H56">
        <f>_xlfn.XLOOKUP(E56,K:K,L:L)</f>
        <v>2</v>
      </c>
      <c r="K56" s="39">
        <v>45962</v>
      </c>
      <c r="L56">
        <v>20</v>
      </c>
      <c r="O56" s="1">
        <v>45964</v>
      </c>
      <c r="P56">
        <v>8</v>
      </c>
      <c r="Q56">
        <v>3153.8699999999994</v>
      </c>
      <c r="R56">
        <f>_xlfn.XLOOKUP(O56,K:K,L:L)</f>
        <v>21</v>
      </c>
      <c r="S56">
        <v>10</v>
      </c>
    </row>
    <row r="57" spans="1:19" x14ac:dyDescent="0.3">
      <c r="A57" t="s">
        <v>92</v>
      </c>
      <c r="B57">
        <v>20554590293</v>
      </c>
      <c r="C57" t="s">
        <v>157</v>
      </c>
      <c r="D57" t="s">
        <v>16</v>
      </c>
      <c r="E57" s="1">
        <v>45909</v>
      </c>
      <c r="F57">
        <v>297.96000000000004</v>
      </c>
      <c r="G57" t="s">
        <v>1436</v>
      </c>
      <c r="H57">
        <f>_xlfn.XLOOKUP(E57,K:K,L:L)</f>
        <v>2</v>
      </c>
      <c r="K57" s="39">
        <v>45963</v>
      </c>
      <c r="L57">
        <v>20</v>
      </c>
    </row>
    <row r="58" spans="1:19" x14ac:dyDescent="0.3">
      <c r="A58" t="s">
        <v>92</v>
      </c>
      <c r="B58">
        <v>20608354418</v>
      </c>
      <c r="C58" t="s">
        <v>158</v>
      </c>
      <c r="D58" t="s">
        <v>114</v>
      </c>
      <c r="E58" s="1">
        <v>45909</v>
      </c>
      <c r="F58">
        <v>289.43</v>
      </c>
      <c r="G58" t="s">
        <v>1436</v>
      </c>
      <c r="H58">
        <f>_xlfn.XLOOKUP(E58,K:K,L:L)</f>
        <v>2</v>
      </c>
      <c r="K58" s="1">
        <v>45964</v>
      </c>
      <c r="L58">
        <v>21</v>
      </c>
    </row>
    <row r="59" spans="1:19" x14ac:dyDescent="0.3">
      <c r="A59" t="s">
        <v>92</v>
      </c>
      <c r="B59">
        <v>20533209883</v>
      </c>
      <c r="C59" t="s">
        <v>159</v>
      </c>
      <c r="D59" t="s">
        <v>160</v>
      </c>
      <c r="E59" s="1">
        <v>45909</v>
      </c>
      <c r="F59">
        <v>1323.2200000000003</v>
      </c>
      <c r="G59" t="s">
        <v>1436</v>
      </c>
      <c r="H59">
        <f>_xlfn.XLOOKUP(E59,K:K,L:L)</f>
        <v>2</v>
      </c>
      <c r="K59" s="1">
        <v>45965</v>
      </c>
      <c r="L59">
        <v>22</v>
      </c>
    </row>
    <row r="60" spans="1:19" x14ac:dyDescent="0.3">
      <c r="A60" t="s">
        <v>92</v>
      </c>
      <c r="B60">
        <v>20602392113</v>
      </c>
      <c r="C60" t="s">
        <v>161</v>
      </c>
      <c r="D60" t="s">
        <v>162</v>
      </c>
      <c r="E60" s="1">
        <v>45909</v>
      </c>
      <c r="F60">
        <v>160.15</v>
      </c>
      <c r="G60" t="s">
        <v>1436</v>
      </c>
      <c r="H60">
        <f>_xlfn.XLOOKUP(E60,K:K,L:L)</f>
        <v>2</v>
      </c>
      <c r="K60" s="1">
        <v>45966</v>
      </c>
      <c r="L60">
        <v>23</v>
      </c>
    </row>
    <row r="61" spans="1:19" x14ac:dyDescent="0.3">
      <c r="A61" t="s">
        <v>92</v>
      </c>
      <c r="B61">
        <v>20612249581</v>
      </c>
      <c r="C61" t="s">
        <v>163</v>
      </c>
      <c r="D61" t="s">
        <v>164</v>
      </c>
      <c r="E61" s="1">
        <v>45909</v>
      </c>
      <c r="F61">
        <v>393.91999999999996</v>
      </c>
      <c r="G61" t="s">
        <v>1436</v>
      </c>
      <c r="H61">
        <f>_xlfn.XLOOKUP(E61,K:K,L:L)</f>
        <v>2</v>
      </c>
      <c r="K61" s="1">
        <v>45967</v>
      </c>
      <c r="L61">
        <v>1</v>
      </c>
    </row>
    <row r="62" spans="1:19" x14ac:dyDescent="0.3">
      <c r="A62" t="s">
        <v>92</v>
      </c>
      <c r="B62">
        <v>20613608851</v>
      </c>
      <c r="C62" t="s">
        <v>165</v>
      </c>
      <c r="D62" t="s">
        <v>162</v>
      </c>
      <c r="E62" s="1">
        <v>45909</v>
      </c>
      <c r="F62">
        <v>476.1</v>
      </c>
      <c r="G62" t="s">
        <v>1436</v>
      </c>
      <c r="H62">
        <f>_xlfn.XLOOKUP(E62,K:K,L:L)</f>
        <v>2</v>
      </c>
      <c r="K62" s="1">
        <v>45968</v>
      </c>
      <c r="L62">
        <v>2</v>
      </c>
    </row>
    <row r="63" spans="1:19" x14ac:dyDescent="0.3">
      <c r="A63" t="s">
        <v>92</v>
      </c>
      <c r="B63">
        <v>20610167650</v>
      </c>
      <c r="C63" t="s">
        <v>166</v>
      </c>
      <c r="D63" t="s">
        <v>167</v>
      </c>
      <c r="E63" s="1">
        <v>45909</v>
      </c>
      <c r="F63">
        <v>880.21</v>
      </c>
      <c r="G63" t="s">
        <v>1436</v>
      </c>
      <c r="H63">
        <f>_xlfn.XLOOKUP(E63,K:K,L:L)</f>
        <v>2</v>
      </c>
      <c r="K63" s="39">
        <v>45969</v>
      </c>
      <c r="L63">
        <v>2</v>
      </c>
    </row>
    <row r="64" spans="1:19" x14ac:dyDescent="0.3">
      <c r="A64" t="s">
        <v>92</v>
      </c>
      <c r="B64">
        <v>10442446089</v>
      </c>
      <c r="C64" t="s">
        <v>168</v>
      </c>
      <c r="D64" t="s">
        <v>169</v>
      </c>
      <c r="E64" s="1">
        <v>45909</v>
      </c>
      <c r="F64">
        <v>202.94</v>
      </c>
      <c r="G64" t="s">
        <v>1436</v>
      </c>
      <c r="H64">
        <f>_xlfn.XLOOKUP(E64,K:K,L:L)</f>
        <v>2</v>
      </c>
      <c r="K64" s="39">
        <v>45970</v>
      </c>
      <c r="L64">
        <v>2</v>
      </c>
    </row>
    <row r="65" spans="1:12" x14ac:dyDescent="0.3">
      <c r="A65" t="s">
        <v>92</v>
      </c>
      <c r="B65">
        <v>20610010645</v>
      </c>
      <c r="C65" t="s">
        <v>170</v>
      </c>
      <c r="D65" t="s">
        <v>171</v>
      </c>
      <c r="E65" s="1">
        <v>45909</v>
      </c>
      <c r="F65">
        <v>496.64</v>
      </c>
      <c r="G65" t="s">
        <v>1436</v>
      </c>
      <c r="H65">
        <f>_xlfn.XLOOKUP(E65,K:K,L:L)</f>
        <v>2</v>
      </c>
      <c r="K65" s="1">
        <v>45971</v>
      </c>
      <c r="L65">
        <v>3</v>
      </c>
    </row>
    <row r="66" spans="1:12" x14ac:dyDescent="0.3">
      <c r="A66" t="s">
        <v>92</v>
      </c>
      <c r="B66">
        <v>20612796182</v>
      </c>
      <c r="C66" t="s">
        <v>172</v>
      </c>
      <c r="D66" t="s">
        <v>173</v>
      </c>
      <c r="E66" s="1">
        <v>45909</v>
      </c>
      <c r="F66">
        <v>531.1</v>
      </c>
      <c r="G66" t="s">
        <v>1436</v>
      </c>
      <c r="H66">
        <f>_xlfn.XLOOKUP(E66,K:K,L:L)</f>
        <v>2</v>
      </c>
      <c r="K66" s="1">
        <v>45972</v>
      </c>
      <c r="L66">
        <v>4</v>
      </c>
    </row>
    <row r="67" spans="1:12" x14ac:dyDescent="0.3">
      <c r="A67" t="s">
        <v>92</v>
      </c>
      <c r="B67">
        <v>20600908937</v>
      </c>
      <c r="C67" t="s">
        <v>174</v>
      </c>
      <c r="D67" t="s">
        <v>175</v>
      </c>
      <c r="E67" s="1">
        <v>45909</v>
      </c>
      <c r="F67">
        <v>873.18999999999994</v>
      </c>
      <c r="G67" t="s">
        <v>1436</v>
      </c>
      <c r="H67">
        <f>_xlfn.XLOOKUP(E67,K:K,L:L)</f>
        <v>2</v>
      </c>
      <c r="K67" s="1">
        <v>45973</v>
      </c>
      <c r="L67">
        <v>5</v>
      </c>
    </row>
    <row r="68" spans="1:12" x14ac:dyDescent="0.3">
      <c r="A68" t="s">
        <v>6</v>
      </c>
      <c r="B68">
        <v>20101364403</v>
      </c>
      <c r="C68" t="s">
        <v>8</v>
      </c>
      <c r="D68" t="s">
        <v>7</v>
      </c>
      <c r="E68" s="1">
        <v>45909</v>
      </c>
      <c r="F68">
        <v>129.76</v>
      </c>
      <c r="G68" t="s">
        <v>1436</v>
      </c>
      <c r="H68">
        <f>_xlfn.XLOOKUP(E68,K:K,L:L)</f>
        <v>2</v>
      </c>
      <c r="K68" s="1">
        <v>45974</v>
      </c>
      <c r="L68">
        <v>6</v>
      </c>
    </row>
    <row r="69" spans="1:12" x14ac:dyDescent="0.3">
      <c r="A69" t="s">
        <v>6</v>
      </c>
      <c r="B69">
        <v>20562649906</v>
      </c>
      <c r="C69" t="s">
        <v>9</v>
      </c>
      <c r="D69" t="s">
        <v>7</v>
      </c>
      <c r="E69" s="1">
        <v>45909</v>
      </c>
      <c r="F69">
        <v>142.74</v>
      </c>
      <c r="G69" t="s">
        <v>1436</v>
      </c>
      <c r="H69">
        <f>_xlfn.XLOOKUP(E69,K:K,L:L)</f>
        <v>2</v>
      </c>
      <c r="K69" s="1">
        <v>45975</v>
      </c>
      <c r="L69">
        <v>7</v>
      </c>
    </row>
    <row r="70" spans="1:12" x14ac:dyDescent="0.3">
      <c r="A70" t="s">
        <v>93</v>
      </c>
      <c r="B70">
        <v>20372190028</v>
      </c>
      <c r="C70" t="s">
        <v>176</v>
      </c>
      <c r="D70" t="s">
        <v>177</v>
      </c>
      <c r="E70" s="1">
        <v>45909</v>
      </c>
      <c r="F70">
        <v>5735.0199999999995</v>
      </c>
      <c r="G70" t="s">
        <v>1436</v>
      </c>
      <c r="H70">
        <f>_xlfn.XLOOKUP(E70,K:K,L:L)</f>
        <v>2</v>
      </c>
      <c r="K70" s="39">
        <v>45976</v>
      </c>
      <c r="L70">
        <v>7</v>
      </c>
    </row>
    <row r="71" spans="1:12" x14ac:dyDescent="0.3">
      <c r="A71" t="s">
        <v>92</v>
      </c>
      <c r="B71">
        <v>10079437048</v>
      </c>
      <c r="C71" t="s">
        <v>178</v>
      </c>
      <c r="D71" t="s">
        <v>7</v>
      </c>
      <c r="E71" s="1">
        <v>45910</v>
      </c>
      <c r="F71">
        <v>162.83000000000001</v>
      </c>
      <c r="G71" t="s">
        <v>1436</v>
      </c>
      <c r="H71">
        <f>_xlfn.XLOOKUP(E71,K:K,L:L)</f>
        <v>3</v>
      </c>
      <c r="K71" s="39">
        <v>45977</v>
      </c>
      <c r="L71">
        <v>7</v>
      </c>
    </row>
    <row r="72" spans="1:12" x14ac:dyDescent="0.3">
      <c r="A72" t="s">
        <v>92</v>
      </c>
      <c r="B72">
        <v>10093825000</v>
      </c>
      <c r="C72" t="s">
        <v>179</v>
      </c>
      <c r="D72" t="s">
        <v>7</v>
      </c>
      <c r="E72" s="1">
        <v>45910</v>
      </c>
      <c r="F72">
        <v>364.72999999999996</v>
      </c>
      <c r="G72" t="s">
        <v>1436</v>
      </c>
      <c r="H72">
        <f>_xlfn.XLOOKUP(E72,K:K,L:L)</f>
        <v>3</v>
      </c>
      <c r="K72" s="1">
        <v>45978</v>
      </c>
      <c r="L72">
        <v>8</v>
      </c>
    </row>
    <row r="73" spans="1:12" x14ac:dyDescent="0.3">
      <c r="A73" t="s">
        <v>92</v>
      </c>
      <c r="B73">
        <v>10178221278</v>
      </c>
      <c r="C73" t="s">
        <v>180</v>
      </c>
      <c r="D73" t="s">
        <v>7</v>
      </c>
      <c r="E73" s="1">
        <v>45910</v>
      </c>
      <c r="F73">
        <v>148.03</v>
      </c>
      <c r="G73" t="s">
        <v>1436</v>
      </c>
      <c r="H73">
        <f>_xlfn.XLOOKUP(E73,K:K,L:L)</f>
        <v>3</v>
      </c>
      <c r="K73" s="1">
        <v>45979</v>
      </c>
      <c r="L73">
        <v>9</v>
      </c>
    </row>
    <row r="74" spans="1:12" x14ac:dyDescent="0.3">
      <c r="A74" t="s">
        <v>92</v>
      </c>
      <c r="B74">
        <v>10296193921</v>
      </c>
      <c r="C74" t="s">
        <v>181</v>
      </c>
      <c r="D74" t="s">
        <v>7</v>
      </c>
      <c r="E74" s="1">
        <v>45910</v>
      </c>
      <c r="F74">
        <v>148.03</v>
      </c>
      <c r="G74" t="s">
        <v>1436</v>
      </c>
      <c r="H74">
        <f>_xlfn.XLOOKUP(E74,K:K,L:L)</f>
        <v>3</v>
      </c>
      <c r="K74" s="1">
        <v>45980</v>
      </c>
      <c r="L74">
        <v>10</v>
      </c>
    </row>
    <row r="75" spans="1:12" x14ac:dyDescent="0.3">
      <c r="A75" t="s">
        <v>92</v>
      </c>
      <c r="B75">
        <v>10452440208</v>
      </c>
      <c r="C75" t="s">
        <v>182</v>
      </c>
      <c r="D75" t="s">
        <v>7</v>
      </c>
      <c r="E75" s="1">
        <v>45910</v>
      </c>
      <c r="F75">
        <v>1168.83</v>
      </c>
      <c r="G75" t="s">
        <v>1436</v>
      </c>
      <c r="H75">
        <f>_xlfn.XLOOKUP(E75,K:K,L:L)</f>
        <v>3</v>
      </c>
      <c r="K75" s="1">
        <v>45981</v>
      </c>
      <c r="L75">
        <v>11</v>
      </c>
    </row>
    <row r="76" spans="1:12" x14ac:dyDescent="0.3">
      <c r="A76" t="s">
        <v>92</v>
      </c>
      <c r="B76">
        <v>10460172514</v>
      </c>
      <c r="C76" t="s">
        <v>183</v>
      </c>
      <c r="D76" t="s">
        <v>7</v>
      </c>
      <c r="E76" s="1">
        <v>45910</v>
      </c>
      <c r="F76">
        <v>129.76</v>
      </c>
      <c r="G76" t="s">
        <v>1436</v>
      </c>
      <c r="H76">
        <f>_xlfn.XLOOKUP(E76,K:K,L:L)</f>
        <v>3</v>
      </c>
      <c r="K76" s="1">
        <v>45982</v>
      </c>
      <c r="L76">
        <v>12</v>
      </c>
    </row>
    <row r="77" spans="1:12" x14ac:dyDescent="0.3">
      <c r="A77" t="s">
        <v>92</v>
      </c>
      <c r="B77">
        <v>20445768139</v>
      </c>
      <c r="C77" t="s">
        <v>184</v>
      </c>
      <c r="D77" t="s">
        <v>7</v>
      </c>
      <c r="E77" s="1">
        <v>45910</v>
      </c>
      <c r="F77">
        <v>172</v>
      </c>
      <c r="G77" t="s">
        <v>1436</v>
      </c>
      <c r="H77">
        <f>_xlfn.XLOOKUP(E77,K:K,L:L)</f>
        <v>3</v>
      </c>
      <c r="K77" s="39">
        <v>45983</v>
      </c>
      <c r="L77">
        <v>12</v>
      </c>
    </row>
    <row r="78" spans="1:12" x14ac:dyDescent="0.3">
      <c r="A78" t="s">
        <v>92</v>
      </c>
      <c r="B78">
        <v>20478156228</v>
      </c>
      <c r="C78" t="s">
        <v>185</v>
      </c>
      <c r="D78" t="s">
        <v>54</v>
      </c>
      <c r="E78" s="1">
        <v>45910</v>
      </c>
      <c r="F78">
        <v>393.02</v>
      </c>
      <c r="G78" t="s">
        <v>1436</v>
      </c>
      <c r="H78">
        <f>_xlfn.XLOOKUP(E78,K:K,L:L)</f>
        <v>3</v>
      </c>
      <c r="K78" s="39">
        <v>45984</v>
      </c>
      <c r="L78">
        <v>12</v>
      </c>
    </row>
    <row r="79" spans="1:12" x14ac:dyDescent="0.3">
      <c r="A79" t="s">
        <v>92</v>
      </c>
      <c r="B79">
        <v>20487716538</v>
      </c>
      <c r="C79" t="s">
        <v>186</v>
      </c>
      <c r="D79" t="s">
        <v>7</v>
      </c>
      <c r="E79" s="1">
        <v>45910</v>
      </c>
      <c r="F79">
        <v>162.83000000000001</v>
      </c>
      <c r="G79" t="s">
        <v>1436</v>
      </c>
      <c r="H79">
        <f>_xlfn.XLOOKUP(E79,K:K,L:L)</f>
        <v>3</v>
      </c>
      <c r="K79" s="1">
        <v>45985</v>
      </c>
      <c r="L79">
        <v>13</v>
      </c>
    </row>
    <row r="80" spans="1:12" x14ac:dyDescent="0.3">
      <c r="A80" t="s">
        <v>92</v>
      </c>
      <c r="B80">
        <v>20526575394</v>
      </c>
      <c r="C80" t="s">
        <v>187</v>
      </c>
      <c r="D80" t="s">
        <v>7</v>
      </c>
      <c r="E80" s="1">
        <v>45910</v>
      </c>
      <c r="F80">
        <v>308.06</v>
      </c>
      <c r="G80" t="s">
        <v>1436</v>
      </c>
      <c r="H80">
        <f>_xlfn.XLOOKUP(E80,K:K,L:L)</f>
        <v>3</v>
      </c>
      <c r="K80" s="1">
        <v>45986</v>
      </c>
      <c r="L80">
        <v>14</v>
      </c>
    </row>
    <row r="81" spans="1:12" x14ac:dyDescent="0.3">
      <c r="A81" t="s">
        <v>92</v>
      </c>
      <c r="B81">
        <v>20545263344</v>
      </c>
      <c r="C81" t="s">
        <v>188</v>
      </c>
      <c r="D81" t="s">
        <v>7</v>
      </c>
      <c r="E81" s="1">
        <v>45910</v>
      </c>
      <c r="F81">
        <v>260.27999999999997</v>
      </c>
      <c r="G81" t="s">
        <v>1436</v>
      </c>
      <c r="H81">
        <f>_xlfn.XLOOKUP(E81,K:K,L:L)</f>
        <v>3</v>
      </c>
      <c r="K81" s="1">
        <v>45987</v>
      </c>
      <c r="L81">
        <v>15</v>
      </c>
    </row>
    <row r="82" spans="1:12" x14ac:dyDescent="0.3">
      <c r="A82" t="s">
        <v>92</v>
      </c>
      <c r="B82">
        <v>20554037756</v>
      </c>
      <c r="C82" t="s">
        <v>189</v>
      </c>
      <c r="D82" t="s">
        <v>7</v>
      </c>
      <c r="E82" s="1">
        <v>45910</v>
      </c>
      <c r="F82">
        <v>148.03</v>
      </c>
      <c r="G82" t="s">
        <v>1436</v>
      </c>
      <c r="H82">
        <f>_xlfn.XLOOKUP(E82,K:K,L:L)</f>
        <v>3</v>
      </c>
      <c r="K82" s="1">
        <v>45988</v>
      </c>
      <c r="L82">
        <v>16</v>
      </c>
    </row>
    <row r="83" spans="1:12" x14ac:dyDescent="0.3">
      <c r="A83" t="s">
        <v>92</v>
      </c>
      <c r="B83">
        <v>20573126883</v>
      </c>
      <c r="C83" t="s">
        <v>190</v>
      </c>
      <c r="D83" t="s">
        <v>27</v>
      </c>
      <c r="E83" s="1">
        <v>45910</v>
      </c>
      <c r="F83">
        <v>138.48000000000002</v>
      </c>
      <c r="G83" t="s">
        <v>1436</v>
      </c>
      <c r="H83">
        <f>_xlfn.XLOOKUP(E83,K:K,L:L)</f>
        <v>3</v>
      </c>
      <c r="K83" s="1">
        <v>45989</v>
      </c>
      <c r="L83">
        <v>17</v>
      </c>
    </row>
    <row r="84" spans="1:12" x14ac:dyDescent="0.3">
      <c r="A84" t="s">
        <v>92</v>
      </c>
      <c r="B84">
        <v>20601146682</v>
      </c>
      <c r="C84" t="s">
        <v>191</v>
      </c>
      <c r="D84" t="s">
        <v>27</v>
      </c>
      <c r="E84" s="1">
        <v>45910</v>
      </c>
      <c r="F84">
        <v>411.65</v>
      </c>
      <c r="G84" t="s">
        <v>1436</v>
      </c>
      <c r="H84">
        <f>_xlfn.XLOOKUP(E84,K:K,L:L)</f>
        <v>3</v>
      </c>
      <c r="K84" s="39">
        <v>45990</v>
      </c>
      <c r="L84">
        <v>17</v>
      </c>
    </row>
    <row r="85" spans="1:12" x14ac:dyDescent="0.3">
      <c r="A85" t="s">
        <v>92</v>
      </c>
      <c r="B85">
        <v>20601590396</v>
      </c>
      <c r="C85" t="s">
        <v>192</v>
      </c>
      <c r="D85" t="s">
        <v>27</v>
      </c>
      <c r="E85" s="1">
        <v>45910</v>
      </c>
      <c r="F85">
        <v>297.52</v>
      </c>
      <c r="G85" t="s">
        <v>1436</v>
      </c>
      <c r="H85">
        <f>_xlfn.XLOOKUP(E85,K:K,L:L)</f>
        <v>3</v>
      </c>
      <c r="K85" s="39">
        <v>45991</v>
      </c>
      <c r="L85">
        <v>17</v>
      </c>
    </row>
    <row r="86" spans="1:12" x14ac:dyDescent="0.3">
      <c r="A86" t="s">
        <v>92</v>
      </c>
      <c r="B86">
        <v>20601792908</v>
      </c>
      <c r="C86" t="s">
        <v>193</v>
      </c>
      <c r="D86" t="s">
        <v>27</v>
      </c>
      <c r="E86" s="1">
        <v>45910</v>
      </c>
      <c r="F86">
        <v>260.81</v>
      </c>
      <c r="G86" t="s">
        <v>1436</v>
      </c>
      <c r="H86">
        <f>_xlfn.XLOOKUP(E86,K:K,L:L)</f>
        <v>3</v>
      </c>
      <c r="K86" s="1">
        <v>45992</v>
      </c>
      <c r="L86">
        <v>18</v>
      </c>
    </row>
    <row r="87" spans="1:12" x14ac:dyDescent="0.3">
      <c r="A87" t="s">
        <v>92</v>
      </c>
      <c r="B87">
        <v>20602289924</v>
      </c>
      <c r="C87" t="s">
        <v>194</v>
      </c>
      <c r="D87" t="s">
        <v>27</v>
      </c>
      <c r="E87" s="1">
        <v>45910</v>
      </c>
      <c r="F87">
        <v>121.13000000000001</v>
      </c>
      <c r="G87" t="s">
        <v>1436</v>
      </c>
      <c r="H87">
        <f>_xlfn.XLOOKUP(E87,K:K,L:L)</f>
        <v>3</v>
      </c>
      <c r="K87" s="1">
        <v>45993</v>
      </c>
      <c r="L87">
        <v>19</v>
      </c>
    </row>
    <row r="88" spans="1:12" x14ac:dyDescent="0.3">
      <c r="A88" t="s">
        <v>92</v>
      </c>
      <c r="B88">
        <v>20602559000</v>
      </c>
      <c r="C88" t="s">
        <v>195</v>
      </c>
      <c r="D88" t="s">
        <v>196</v>
      </c>
      <c r="E88" s="1">
        <v>45910</v>
      </c>
      <c r="F88">
        <v>1410.7800000000002</v>
      </c>
      <c r="G88" t="s">
        <v>1436</v>
      </c>
      <c r="H88">
        <f>_xlfn.XLOOKUP(E88,K:K,L:L)</f>
        <v>3</v>
      </c>
      <c r="K88" s="1">
        <v>45994</v>
      </c>
      <c r="L88">
        <v>20</v>
      </c>
    </row>
    <row r="89" spans="1:12" x14ac:dyDescent="0.3">
      <c r="A89" t="s">
        <v>92</v>
      </c>
      <c r="B89">
        <v>20602648223</v>
      </c>
      <c r="C89" t="s">
        <v>197</v>
      </c>
      <c r="D89" t="s">
        <v>27</v>
      </c>
      <c r="E89" s="1">
        <v>45910</v>
      </c>
      <c r="F89">
        <v>612.86000000000013</v>
      </c>
      <c r="G89" t="s">
        <v>1436</v>
      </c>
      <c r="H89">
        <f>_xlfn.XLOOKUP(E89,K:K,L:L)</f>
        <v>3</v>
      </c>
      <c r="K89" s="1">
        <v>45995</v>
      </c>
      <c r="L89">
        <v>21</v>
      </c>
    </row>
    <row r="90" spans="1:12" x14ac:dyDescent="0.3">
      <c r="A90" t="s">
        <v>92</v>
      </c>
      <c r="B90">
        <v>20605189149</v>
      </c>
      <c r="C90" t="s">
        <v>198</v>
      </c>
      <c r="D90" t="s">
        <v>27</v>
      </c>
      <c r="E90" s="1">
        <v>45910</v>
      </c>
      <c r="F90">
        <v>303.06000000000006</v>
      </c>
      <c r="G90" t="s">
        <v>1436</v>
      </c>
      <c r="H90">
        <f>_xlfn.XLOOKUP(E90,K:K,L:L)</f>
        <v>3</v>
      </c>
      <c r="K90" s="1">
        <v>45996</v>
      </c>
      <c r="L90">
        <v>22</v>
      </c>
    </row>
    <row r="91" spans="1:12" x14ac:dyDescent="0.3">
      <c r="A91" t="s">
        <v>92</v>
      </c>
      <c r="B91">
        <v>20605590021</v>
      </c>
      <c r="C91" t="s">
        <v>199</v>
      </c>
      <c r="D91" t="s">
        <v>7</v>
      </c>
      <c r="E91" s="1">
        <v>45910</v>
      </c>
      <c r="F91">
        <v>261.99</v>
      </c>
      <c r="G91" t="s">
        <v>1436</v>
      </c>
      <c r="H91">
        <f>_xlfn.XLOOKUP(E91,K:K,L:L)</f>
        <v>3</v>
      </c>
      <c r="K91" s="39">
        <v>45997</v>
      </c>
      <c r="L91">
        <v>1</v>
      </c>
    </row>
    <row r="92" spans="1:12" x14ac:dyDescent="0.3">
      <c r="A92" t="s">
        <v>92</v>
      </c>
      <c r="B92">
        <v>20605895159</v>
      </c>
      <c r="C92" t="s">
        <v>200</v>
      </c>
      <c r="D92" t="s">
        <v>7</v>
      </c>
      <c r="E92" s="1">
        <v>45910</v>
      </c>
      <c r="F92">
        <v>216.02</v>
      </c>
      <c r="G92" t="s">
        <v>1436</v>
      </c>
      <c r="H92">
        <f>_xlfn.XLOOKUP(E92,K:K,L:L)</f>
        <v>3</v>
      </c>
      <c r="K92" s="39">
        <v>45998</v>
      </c>
      <c r="L92">
        <v>1</v>
      </c>
    </row>
    <row r="93" spans="1:12" x14ac:dyDescent="0.3">
      <c r="A93" t="s">
        <v>92</v>
      </c>
      <c r="B93">
        <v>20606560177</v>
      </c>
      <c r="C93" t="s">
        <v>201</v>
      </c>
      <c r="D93" t="s">
        <v>7</v>
      </c>
      <c r="E93" s="1">
        <v>45910</v>
      </c>
      <c r="F93">
        <v>629.23</v>
      </c>
      <c r="G93" t="s">
        <v>1436</v>
      </c>
      <c r="H93">
        <f>_xlfn.XLOOKUP(E93,K:K,L:L)</f>
        <v>3</v>
      </c>
      <c r="K93" s="1">
        <v>45999</v>
      </c>
      <c r="L93">
        <v>1</v>
      </c>
    </row>
    <row r="94" spans="1:12" x14ac:dyDescent="0.3">
      <c r="A94" t="s">
        <v>92</v>
      </c>
      <c r="B94">
        <v>20607772291</v>
      </c>
      <c r="C94" t="s">
        <v>202</v>
      </c>
      <c r="D94" t="s">
        <v>7</v>
      </c>
      <c r="E94" s="1">
        <v>45910</v>
      </c>
      <c r="F94">
        <v>129.76</v>
      </c>
      <c r="G94" t="s">
        <v>1436</v>
      </c>
      <c r="H94">
        <f>_xlfn.XLOOKUP(E94,K:K,L:L)</f>
        <v>3</v>
      </c>
      <c r="K94" s="1">
        <v>46000</v>
      </c>
      <c r="L94">
        <v>1</v>
      </c>
    </row>
    <row r="95" spans="1:12" x14ac:dyDescent="0.3">
      <c r="A95" t="s">
        <v>92</v>
      </c>
      <c r="B95">
        <v>20608209019</v>
      </c>
      <c r="C95" t="s">
        <v>203</v>
      </c>
      <c r="D95" t="s">
        <v>138</v>
      </c>
      <c r="E95" s="1">
        <v>45910</v>
      </c>
      <c r="F95">
        <v>526.38</v>
      </c>
      <c r="G95" t="s">
        <v>1436</v>
      </c>
      <c r="H95">
        <f>_xlfn.XLOOKUP(E95,K:K,L:L)</f>
        <v>3</v>
      </c>
      <c r="K95" s="1">
        <v>46001</v>
      </c>
      <c r="L95">
        <v>1</v>
      </c>
    </row>
    <row r="96" spans="1:12" x14ac:dyDescent="0.3">
      <c r="A96" t="s">
        <v>92</v>
      </c>
      <c r="B96">
        <v>20608318225</v>
      </c>
      <c r="C96" t="s">
        <v>204</v>
      </c>
      <c r="D96" t="s">
        <v>27</v>
      </c>
      <c r="E96" s="1">
        <v>45910</v>
      </c>
      <c r="F96">
        <v>260.81</v>
      </c>
      <c r="G96" t="s">
        <v>1436</v>
      </c>
      <c r="H96">
        <f>_xlfn.XLOOKUP(E96,K:K,L:L)</f>
        <v>3</v>
      </c>
      <c r="K96" s="1">
        <v>46002</v>
      </c>
      <c r="L96">
        <v>1</v>
      </c>
    </row>
    <row r="97" spans="1:12" x14ac:dyDescent="0.3">
      <c r="A97" t="s">
        <v>92</v>
      </c>
      <c r="B97">
        <v>20608587820</v>
      </c>
      <c r="C97" t="s">
        <v>205</v>
      </c>
      <c r="D97" t="s">
        <v>206</v>
      </c>
      <c r="E97" s="1">
        <v>45910</v>
      </c>
      <c r="F97">
        <v>660.9</v>
      </c>
      <c r="G97" t="s">
        <v>1436</v>
      </c>
      <c r="H97">
        <f>_xlfn.XLOOKUP(E97,K:K,L:L)</f>
        <v>3</v>
      </c>
      <c r="K97" s="1">
        <v>46003</v>
      </c>
      <c r="L97">
        <v>1</v>
      </c>
    </row>
    <row r="98" spans="1:12" x14ac:dyDescent="0.3">
      <c r="A98" t="s">
        <v>92</v>
      </c>
      <c r="B98">
        <v>20609349761</v>
      </c>
      <c r="C98" t="s">
        <v>207</v>
      </c>
      <c r="D98" t="s">
        <v>7</v>
      </c>
      <c r="E98" s="1">
        <v>45910</v>
      </c>
      <c r="F98">
        <v>148.03</v>
      </c>
      <c r="G98" t="s">
        <v>1436</v>
      </c>
      <c r="H98">
        <f>_xlfn.XLOOKUP(E98,K:K,L:L)</f>
        <v>3</v>
      </c>
      <c r="K98" s="39">
        <v>46004</v>
      </c>
      <c r="L98">
        <v>1</v>
      </c>
    </row>
    <row r="99" spans="1:12" x14ac:dyDescent="0.3">
      <c r="A99" t="s">
        <v>92</v>
      </c>
      <c r="B99">
        <v>20610315624</v>
      </c>
      <c r="C99" t="s">
        <v>208</v>
      </c>
      <c r="D99" t="s">
        <v>42</v>
      </c>
      <c r="E99" s="1">
        <v>45910</v>
      </c>
      <c r="F99">
        <v>796.57999999999993</v>
      </c>
      <c r="G99" t="s">
        <v>1436</v>
      </c>
      <c r="H99">
        <f>_xlfn.XLOOKUP(E99,K:K,L:L)</f>
        <v>3</v>
      </c>
      <c r="K99" s="39">
        <v>46005</v>
      </c>
      <c r="L99">
        <v>1</v>
      </c>
    </row>
    <row r="100" spans="1:12" x14ac:dyDescent="0.3">
      <c r="A100" t="s">
        <v>92</v>
      </c>
      <c r="B100">
        <v>20610355499</v>
      </c>
      <c r="C100" t="s">
        <v>209</v>
      </c>
      <c r="D100" t="s">
        <v>7</v>
      </c>
      <c r="E100" s="1">
        <v>45910</v>
      </c>
      <c r="F100">
        <v>148.03</v>
      </c>
      <c r="G100" t="s">
        <v>1436</v>
      </c>
      <c r="H100">
        <f>_xlfn.XLOOKUP(E100,K:K,L:L)</f>
        <v>3</v>
      </c>
      <c r="K100" s="1">
        <v>46006</v>
      </c>
      <c r="L100">
        <v>2</v>
      </c>
    </row>
    <row r="101" spans="1:12" x14ac:dyDescent="0.3">
      <c r="A101" t="s">
        <v>92</v>
      </c>
      <c r="B101">
        <v>20610493654</v>
      </c>
      <c r="C101" t="s">
        <v>210</v>
      </c>
      <c r="D101" t="s">
        <v>211</v>
      </c>
      <c r="E101" s="1">
        <v>45910</v>
      </c>
      <c r="F101">
        <v>982.02</v>
      </c>
      <c r="G101" t="s">
        <v>1436</v>
      </c>
      <c r="H101">
        <f>_xlfn.XLOOKUP(E101,K:K,L:L)</f>
        <v>3</v>
      </c>
      <c r="K101" s="1">
        <v>46007</v>
      </c>
      <c r="L101">
        <v>3</v>
      </c>
    </row>
    <row r="102" spans="1:12" x14ac:dyDescent="0.3">
      <c r="A102" t="s">
        <v>92</v>
      </c>
      <c r="B102">
        <v>20610957731</v>
      </c>
      <c r="C102" t="s">
        <v>212</v>
      </c>
      <c r="D102" t="s">
        <v>7</v>
      </c>
      <c r="E102" s="1">
        <v>45910</v>
      </c>
      <c r="F102">
        <v>148.03</v>
      </c>
      <c r="G102" t="s">
        <v>1436</v>
      </c>
      <c r="H102">
        <f>_xlfn.XLOOKUP(E102,K:K,L:L)</f>
        <v>3</v>
      </c>
      <c r="K102" s="1">
        <v>46008</v>
      </c>
      <c r="L102">
        <v>4</v>
      </c>
    </row>
    <row r="103" spans="1:12" x14ac:dyDescent="0.3">
      <c r="A103" t="s">
        <v>92</v>
      </c>
      <c r="B103">
        <v>20611174391</v>
      </c>
      <c r="C103" t="s">
        <v>213</v>
      </c>
      <c r="D103" t="s">
        <v>7</v>
      </c>
      <c r="E103" s="1">
        <v>45910</v>
      </c>
      <c r="F103">
        <v>148.03</v>
      </c>
      <c r="G103" t="s">
        <v>1436</v>
      </c>
      <c r="H103">
        <f>_xlfn.XLOOKUP(E103,K:K,L:L)</f>
        <v>3</v>
      </c>
      <c r="K103" s="1">
        <v>46009</v>
      </c>
      <c r="L103">
        <v>5</v>
      </c>
    </row>
    <row r="104" spans="1:12" x14ac:dyDescent="0.3">
      <c r="A104" t="s">
        <v>92</v>
      </c>
      <c r="B104">
        <v>20611425628</v>
      </c>
      <c r="C104" t="s">
        <v>214</v>
      </c>
      <c r="D104" t="s">
        <v>27</v>
      </c>
      <c r="E104" s="1">
        <v>45910</v>
      </c>
      <c r="F104">
        <v>526.58000000000004</v>
      </c>
      <c r="G104" t="s">
        <v>1436</v>
      </c>
      <c r="H104">
        <f>_xlfn.XLOOKUP(E104,K:K,L:L)</f>
        <v>3</v>
      </c>
      <c r="K104" s="1">
        <v>46010</v>
      </c>
      <c r="L104">
        <v>6</v>
      </c>
    </row>
    <row r="105" spans="1:12" x14ac:dyDescent="0.3">
      <c r="A105" t="s">
        <v>92</v>
      </c>
      <c r="B105">
        <v>20611977353</v>
      </c>
      <c r="C105" t="s">
        <v>215</v>
      </c>
      <c r="D105" t="s">
        <v>7</v>
      </c>
      <c r="E105" s="1">
        <v>45910</v>
      </c>
      <c r="F105">
        <v>441.19000000000005</v>
      </c>
      <c r="G105" t="s">
        <v>1436</v>
      </c>
      <c r="H105">
        <f>_xlfn.XLOOKUP(E105,K:K,L:L)</f>
        <v>3</v>
      </c>
      <c r="K105" s="39">
        <v>46011</v>
      </c>
      <c r="L105">
        <v>6</v>
      </c>
    </row>
    <row r="106" spans="1:12" x14ac:dyDescent="0.3">
      <c r="A106" t="s">
        <v>92</v>
      </c>
      <c r="B106">
        <v>20612335932</v>
      </c>
      <c r="C106" t="s">
        <v>216</v>
      </c>
      <c r="D106" t="s">
        <v>27</v>
      </c>
      <c r="E106" s="1">
        <v>45910</v>
      </c>
      <c r="F106">
        <v>807.83999999999992</v>
      </c>
      <c r="G106" t="s">
        <v>1436</v>
      </c>
      <c r="H106">
        <f>_xlfn.XLOOKUP(E106,K:K,L:L)</f>
        <v>3</v>
      </c>
      <c r="K106" s="39">
        <v>46012</v>
      </c>
      <c r="L106">
        <v>6</v>
      </c>
    </row>
    <row r="107" spans="1:12" x14ac:dyDescent="0.3">
      <c r="A107" t="s">
        <v>92</v>
      </c>
      <c r="B107">
        <v>20603533535</v>
      </c>
      <c r="C107" t="s">
        <v>217</v>
      </c>
      <c r="D107" t="s">
        <v>114</v>
      </c>
      <c r="E107" s="1">
        <v>45910</v>
      </c>
      <c r="F107">
        <v>263.26</v>
      </c>
      <c r="G107" t="s">
        <v>1436</v>
      </c>
      <c r="H107">
        <f>_xlfn.XLOOKUP(E107,K:K,L:L)</f>
        <v>3</v>
      </c>
      <c r="K107" s="1">
        <v>46013</v>
      </c>
      <c r="L107">
        <v>7</v>
      </c>
    </row>
    <row r="108" spans="1:12" x14ac:dyDescent="0.3">
      <c r="A108" t="s">
        <v>92</v>
      </c>
      <c r="B108">
        <v>20608767712</v>
      </c>
      <c r="C108" t="s">
        <v>218</v>
      </c>
      <c r="D108" t="s">
        <v>114</v>
      </c>
      <c r="E108" s="1">
        <v>45910</v>
      </c>
      <c r="F108">
        <v>263.26</v>
      </c>
      <c r="G108" t="s">
        <v>1436</v>
      </c>
      <c r="H108">
        <f>_xlfn.XLOOKUP(E108,K:K,L:L)</f>
        <v>3</v>
      </c>
      <c r="K108" s="1">
        <v>46014</v>
      </c>
      <c r="L108">
        <v>8</v>
      </c>
    </row>
    <row r="109" spans="1:12" x14ac:dyDescent="0.3">
      <c r="A109" t="s">
        <v>92</v>
      </c>
      <c r="B109">
        <v>20612889989</v>
      </c>
      <c r="C109" t="s">
        <v>219</v>
      </c>
      <c r="D109" t="s">
        <v>114</v>
      </c>
      <c r="E109" s="1">
        <v>45910</v>
      </c>
      <c r="F109">
        <v>263.26</v>
      </c>
      <c r="G109" t="s">
        <v>1436</v>
      </c>
      <c r="H109">
        <f>_xlfn.XLOOKUP(E109,K:K,L:L)</f>
        <v>3</v>
      </c>
      <c r="K109" s="1">
        <v>46015</v>
      </c>
      <c r="L109">
        <v>9</v>
      </c>
    </row>
    <row r="110" spans="1:12" x14ac:dyDescent="0.3">
      <c r="A110" t="s">
        <v>92</v>
      </c>
      <c r="B110">
        <v>20122683355</v>
      </c>
      <c r="C110" t="s">
        <v>220</v>
      </c>
      <c r="D110" t="s">
        <v>160</v>
      </c>
      <c r="E110" s="1">
        <v>45910</v>
      </c>
      <c r="F110">
        <v>1077.31</v>
      </c>
      <c r="G110" t="s">
        <v>1436</v>
      </c>
      <c r="H110">
        <f>_xlfn.XLOOKUP(E110,K:K,L:L)</f>
        <v>3</v>
      </c>
      <c r="K110" s="1">
        <v>46016</v>
      </c>
      <c r="L110">
        <v>10</v>
      </c>
    </row>
    <row r="111" spans="1:12" x14ac:dyDescent="0.3">
      <c r="A111" t="s">
        <v>92</v>
      </c>
      <c r="B111">
        <v>20610503579</v>
      </c>
      <c r="C111" t="s">
        <v>221</v>
      </c>
      <c r="D111" t="s">
        <v>164</v>
      </c>
      <c r="E111" s="1">
        <v>45910</v>
      </c>
      <c r="F111">
        <v>2251.21</v>
      </c>
      <c r="G111" t="s">
        <v>1436</v>
      </c>
      <c r="H111">
        <f>_xlfn.XLOOKUP(E111,K:K,L:L)</f>
        <v>3</v>
      </c>
      <c r="K111" s="1">
        <v>46017</v>
      </c>
      <c r="L111">
        <v>11</v>
      </c>
    </row>
    <row r="112" spans="1:12" x14ac:dyDescent="0.3">
      <c r="A112" t="s">
        <v>92</v>
      </c>
      <c r="B112">
        <v>20601277949</v>
      </c>
      <c r="C112" t="s">
        <v>222</v>
      </c>
      <c r="D112" t="s">
        <v>119</v>
      </c>
      <c r="E112" s="1">
        <v>45910</v>
      </c>
      <c r="F112">
        <v>439.23</v>
      </c>
      <c r="G112" t="s">
        <v>1436</v>
      </c>
      <c r="H112">
        <f>_xlfn.XLOOKUP(E112,K:K,L:L)</f>
        <v>3</v>
      </c>
      <c r="K112" s="39">
        <v>46018</v>
      </c>
      <c r="L112">
        <v>11</v>
      </c>
    </row>
    <row r="113" spans="1:12" x14ac:dyDescent="0.3">
      <c r="A113" t="s">
        <v>92</v>
      </c>
      <c r="B113">
        <v>20613515969</v>
      </c>
      <c r="C113" t="s">
        <v>223</v>
      </c>
      <c r="D113" t="s">
        <v>38</v>
      </c>
      <c r="E113" s="1">
        <v>45910</v>
      </c>
      <c r="F113">
        <v>266.08000000000004</v>
      </c>
      <c r="G113" t="s">
        <v>1436</v>
      </c>
      <c r="H113">
        <f>_xlfn.XLOOKUP(E113,K:K,L:L)</f>
        <v>3</v>
      </c>
      <c r="K113" s="39">
        <v>46019</v>
      </c>
      <c r="L113">
        <v>11</v>
      </c>
    </row>
    <row r="114" spans="1:12" x14ac:dyDescent="0.3">
      <c r="A114" t="s">
        <v>92</v>
      </c>
      <c r="B114">
        <v>20602044638</v>
      </c>
      <c r="C114" t="s">
        <v>224</v>
      </c>
      <c r="D114" t="s">
        <v>225</v>
      </c>
      <c r="E114" s="1">
        <v>45910</v>
      </c>
      <c r="F114">
        <v>1365.33</v>
      </c>
      <c r="G114" t="s">
        <v>1436</v>
      </c>
      <c r="H114">
        <f>_xlfn.XLOOKUP(E114,K:K,L:L)</f>
        <v>3</v>
      </c>
      <c r="K114" s="1">
        <v>46020</v>
      </c>
      <c r="L114">
        <v>12</v>
      </c>
    </row>
    <row r="115" spans="1:12" x14ac:dyDescent="0.3">
      <c r="A115" t="s">
        <v>6</v>
      </c>
      <c r="B115">
        <v>20563578824</v>
      </c>
      <c r="C115" t="s">
        <v>10</v>
      </c>
      <c r="D115" t="s">
        <v>7</v>
      </c>
      <c r="E115" s="1">
        <v>45910</v>
      </c>
      <c r="F115">
        <v>443.85</v>
      </c>
      <c r="G115" t="s">
        <v>1436</v>
      </c>
      <c r="H115">
        <f>_xlfn.XLOOKUP(E115,K:K,L:L)</f>
        <v>3</v>
      </c>
      <c r="K115" s="1">
        <v>46021</v>
      </c>
      <c r="L115">
        <v>13</v>
      </c>
    </row>
    <row r="116" spans="1:12" x14ac:dyDescent="0.3">
      <c r="A116" t="s">
        <v>6</v>
      </c>
      <c r="B116">
        <v>20400581925</v>
      </c>
      <c r="C116" t="s">
        <v>11</v>
      </c>
      <c r="D116" t="s">
        <v>12</v>
      </c>
      <c r="E116" s="1">
        <v>45910</v>
      </c>
      <c r="F116">
        <v>2530.64</v>
      </c>
      <c r="G116" t="s">
        <v>1436</v>
      </c>
      <c r="H116">
        <f>_xlfn.XLOOKUP(E116,K:K,L:L)</f>
        <v>3</v>
      </c>
      <c r="K116" s="1">
        <v>46022</v>
      </c>
      <c r="L116">
        <v>14</v>
      </c>
    </row>
    <row r="117" spans="1:12" x14ac:dyDescent="0.3">
      <c r="A117" t="s">
        <v>93</v>
      </c>
      <c r="B117">
        <v>10710945221</v>
      </c>
      <c r="C117" t="s">
        <v>226</v>
      </c>
      <c r="D117" t="s">
        <v>175</v>
      </c>
      <c r="E117" s="1">
        <v>45910</v>
      </c>
      <c r="F117">
        <v>135.68</v>
      </c>
      <c r="G117" t="s">
        <v>1436</v>
      </c>
      <c r="H117">
        <f>_xlfn.XLOOKUP(E117,K:K,L:L)</f>
        <v>3</v>
      </c>
      <c r="K117" s="1">
        <v>46023</v>
      </c>
      <c r="L117">
        <v>15</v>
      </c>
    </row>
    <row r="118" spans="1:12" x14ac:dyDescent="0.3">
      <c r="A118" t="s">
        <v>93</v>
      </c>
      <c r="B118">
        <v>20600038819</v>
      </c>
      <c r="C118" t="s">
        <v>227</v>
      </c>
      <c r="D118" t="s">
        <v>228</v>
      </c>
      <c r="E118" s="1">
        <v>45910</v>
      </c>
      <c r="F118">
        <v>195.17000000000002</v>
      </c>
      <c r="G118" t="s">
        <v>1436</v>
      </c>
      <c r="H118">
        <f>_xlfn.XLOOKUP(E118,K:K,L:L)</f>
        <v>3</v>
      </c>
      <c r="K118" s="1">
        <v>46024</v>
      </c>
      <c r="L118">
        <v>16</v>
      </c>
    </row>
    <row r="119" spans="1:12" x14ac:dyDescent="0.3">
      <c r="A119" t="s">
        <v>93</v>
      </c>
      <c r="B119">
        <v>20100574773</v>
      </c>
      <c r="C119" t="s">
        <v>229</v>
      </c>
      <c r="D119" t="s">
        <v>230</v>
      </c>
      <c r="E119" s="1">
        <v>45910</v>
      </c>
      <c r="F119">
        <v>690.03000000000009</v>
      </c>
      <c r="G119" t="s">
        <v>1436</v>
      </c>
      <c r="H119">
        <f>_xlfn.XLOOKUP(E119,K:K,L:L)</f>
        <v>3</v>
      </c>
      <c r="K119" s="39">
        <v>46025</v>
      </c>
      <c r="L119">
        <v>16</v>
      </c>
    </row>
    <row r="120" spans="1:12" x14ac:dyDescent="0.3">
      <c r="A120" t="s">
        <v>92</v>
      </c>
      <c r="B120">
        <v>10062261752</v>
      </c>
      <c r="C120" t="s">
        <v>231</v>
      </c>
      <c r="D120" t="s">
        <v>27</v>
      </c>
      <c r="E120" s="1">
        <v>45911</v>
      </c>
      <c r="F120">
        <v>94.4</v>
      </c>
      <c r="G120" t="s">
        <v>1436</v>
      </c>
      <c r="H120">
        <f>_xlfn.XLOOKUP(E120,K:K,L:L)</f>
        <v>4</v>
      </c>
      <c r="K120" s="39">
        <v>46026</v>
      </c>
      <c r="L120">
        <v>16</v>
      </c>
    </row>
    <row r="121" spans="1:12" x14ac:dyDescent="0.3">
      <c r="A121" t="s">
        <v>92</v>
      </c>
      <c r="B121">
        <v>10246912934</v>
      </c>
      <c r="C121" t="s">
        <v>232</v>
      </c>
      <c r="D121" t="s">
        <v>27</v>
      </c>
      <c r="E121" s="1">
        <v>45911</v>
      </c>
      <c r="F121">
        <v>461.85</v>
      </c>
      <c r="G121" t="s">
        <v>1436</v>
      </c>
      <c r="H121">
        <f>_xlfn.XLOOKUP(E121,K:K,L:L)</f>
        <v>4</v>
      </c>
      <c r="K121" s="1">
        <v>45662</v>
      </c>
      <c r="L121">
        <v>17</v>
      </c>
    </row>
    <row r="122" spans="1:12" x14ac:dyDescent="0.3">
      <c r="A122" t="s">
        <v>92</v>
      </c>
      <c r="B122">
        <v>10296520018</v>
      </c>
      <c r="C122" t="s">
        <v>233</v>
      </c>
      <c r="D122" t="s">
        <v>54</v>
      </c>
      <c r="E122" s="1">
        <v>45911</v>
      </c>
      <c r="F122">
        <v>393.02</v>
      </c>
      <c r="G122" t="s">
        <v>1436</v>
      </c>
      <c r="H122">
        <f>_xlfn.XLOOKUP(E122,K:K,L:L)</f>
        <v>4</v>
      </c>
      <c r="K122" s="1">
        <v>45663</v>
      </c>
      <c r="L122">
        <v>18</v>
      </c>
    </row>
    <row r="123" spans="1:12" x14ac:dyDescent="0.3">
      <c r="A123" t="s">
        <v>92</v>
      </c>
      <c r="B123">
        <v>10464654581</v>
      </c>
      <c r="C123" t="s">
        <v>234</v>
      </c>
      <c r="D123" t="s">
        <v>7</v>
      </c>
      <c r="E123" s="1">
        <v>45911</v>
      </c>
      <c r="F123">
        <v>148.03</v>
      </c>
      <c r="G123" t="s">
        <v>1436</v>
      </c>
      <c r="H123">
        <f>_xlfn.XLOOKUP(E123,K:K,L:L)</f>
        <v>4</v>
      </c>
      <c r="K123" s="1">
        <v>45664</v>
      </c>
      <c r="L123">
        <v>19</v>
      </c>
    </row>
    <row r="124" spans="1:12" x14ac:dyDescent="0.3">
      <c r="A124" t="s">
        <v>92</v>
      </c>
      <c r="B124">
        <v>20207931471</v>
      </c>
      <c r="C124" t="s">
        <v>235</v>
      </c>
      <c r="D124" t="s">
        <v>7</v>
      </c>
      <c r="E124" s="1">
        <v>45911</v>
      </c>
      <c r="F124">
        <v>495.11</v>
      </c>
      <c r="G124" t="s">
        <v>1436</v>
      </c>
      <c r="H124">
        <f>_xlfn.XLOOKUP(E124,K:K,L:L)</f>
        <v>4</v>
      </c>
      <c r="K124" s="1">
        <v>45665</v>
      </c>
      <c r="L124">
        <v>20</v>
      </c>
    </row>
    <row r="125" spans="1:12" x14ac:dyDescent="0.3">
      <c r="A125" t="s">
        <v>92</v>
      </c>
      <c r="B125">
        <v>20259263230</v>
      </c>
      <c r="C125" t="s">
        <v>236</v>
      </c>
      <c r="D125" t="s">
        <v>7</v>
      </c>
      <c r="E125" s="1">
        <v>45911</v>
      </c>
      <c r="F125">
        <v>148.03</v>
      </c>
      <c r="G125" t="s">
        <v>1436</v>
      </c>
      <c r="H125">
        <f>_xlfn.XLOOKUP(E125,K:K,L:L)</f>
        <v>4</v>
      </c>
      <c r="K125" s="1">
        <v>45666</v>
      </c>
      <c r="L125">
        <v>21</v>
      </c>
    </row>
    <row r="126" spans="1:12" x14ac:dyDescent="0.3">
      <c r="A126" t="s">
        <v>92</v>
      </c>
      <c r="B126">
        <v>20452573394</v>
      </c>
      <c r="C126" t="s">
        <v>237</v>
      </c>
      <c r="D126" t="s">
        <v>54</v>
      </c>
      <c r="E126" s="1">
        <v>45911</v>
      </c>
      <c r="F126">
        <v>820.63000000000011</v>
      </c>
      <c r="G126" t="s">
        <v>1436</v>
      </c>
      <c r="H126">
        <f>_xlfn.XLOOKUP(E126,K:K,L:L)</f>
        <v>4</v>
      </c>
      <c r="K126" s="39">
        <v>45667</v>
      </c>
      <c r="L126">
        <v>21</v>
      </c>
    </row>
    <row r="127" spans="1:12" x14ac:dyDescent="0.3">
      <c r="A127" t="s">
        <v>92</v>
      </c>
      <c r="B127">
        <v>20480036132</v>
      </c>
      <c r="C127" t="s">
        <v>238</v>
      </c>
      <c r="D127" t="s">
        <v>7</v>
      </c>
      <c r="E127" s="1">
        <v>45911</v>
      </c>
      <c r="F127">
        <v>875.76</v>
      </c>
      <c r="G127" t="s">
        <v>1436</v>
      </c>
      <c r="H127">
        <f>_xlfn.XLOOKUP(E127,K:K,L:L)</f>
        <v>4</v>
      </c>
      <c r="K127" s="39">
        <v>45668</v>
      </c>
      <c r="L127">
        <v>21</v>
      </c>
    </row>
    <row r="128" spans="1:12" x14ac:dyDescent="0.3">
      <c r="A128" t="s">
        <v>92</v>
      </c>
      <c r="B128">
        <v>20505322917</v>
      </c>
      <c r="C128" t="s">
        <v>239</v>
      </c>
      <c r="D128" t="s">
        <v>7</v>
      </c>
      <c r="E128" s="1">
        <v>45911</v>
      </c>
      <c r="F128">
        <v>277.78999999999996</v>
      </c>
      <c r="G128" t="s">
        <v>1436</v>
      </c>
      <c r="H128">
        <f>_xlfn.XLOOKUP(E128,K:K,L:L)</f>
        <v>4</v>
      </c>
      <c r="K128" s="58">
        <v>45669</v>
      </c>
      <c r="L128">
        <v>22</v>
      </c>
    </row>
    <row r="129" spans="1:8" x14ac:dyDescent="0.3">
      <c r="A129" t="s">
        <v>92</v>
      </c>
      <c r="B129">
        <v>20539625722</v>
      </c>
      <c r="C129" t="s">
        <v>240</v>
      </c>
      <c r="D129" t="s">
        <v>7</v>
      </c>
      <c r="E129" s="1">
        <v>45911</v>
      </c>
      <c r="F129">
        <v>129.76</v>
      </c>
      <c r="G129" t="s">
        <v>1436</v>
      </c>
      <c r="H129">
        <f>_xlfn.XLOOKUP(E129,K:K,L:L)</f>
        <v>4</v>
      </c>
    </row>
    <row r="130" spans="1:8" x14ac:dyDescent="0.3">
      <c r="A130" t="s">
        <v>92</v>
      </c>
      <c r="B130">
        <v>20556808768</v>
      </c>
      <c r="C130" t="s">
        <v>241</v>
      </c>
      <c r="D130" t="s">
        <v>27</v>
      </c>
      <c r="E130" s="1">
        <v>45911</v>
      </c>
      <c r="F130">
        <v>457.62</v>
      </c>
      <c r="G130" t="s">
        <v>1436</v>
      </c>
      <c r="H130">
        <f>_xlfn.XLOOKUP(E130,K:K,L:L)</f>
        <v>4</v>
      </c>
    </row>
    <row r="131" spans="1:8" x14ac:dyDescent="0.3">
      <c r="A131" t="s">
        <v>92</v>
      </c>
      <c r="B131">
        <v>20600907655</v>
      </c>
      <c r="C131" t="s">
        <v>242</v>
      </c>
      <c r="D131" t="s">
        <v>7</v>
      </c>
      <c r="E131" s="1">
        <v>45911</v>
      </c>
      <c r="F131">
        <v>148.03</v>
      </c>
      <c r="G131" t="s">
        <v>1436</v>
      </c>
      <c r="H131">
        <f>_xlfn.XLOOKUP(E131,K:K,L:L)</f>
        <v>4</v>
      </c>
    </row>
    <row r="132" spans="1:8" x14ac:dyDescent="0.3">
      <c r="A132" t="s">
        <v>92</v>
      </c>
      <c r="B132">
        <v>20602812619</v>
      </c>
      <c r="C132" t="s">
        <v>243</v>
      </c>
      <c r="D132" t="s">
        <v>7</v>
      </c>
      <c r="E132" s="1">
        <v>45911</v>
      </c>
      <c r="F132">
        <v>628.84999999999991</v>
      </c>
      <c r="G132" t="s">
        <v>1436</v>
      </c>
      <c r="H132">
        <f>_xlfn.XLOOKUP(E132,K:K,L:L)</f>
        <v>4</v>
      </c>
    </row>
    <row r="133" spans="1:8" x14ac:dyDescent="0.3">
      <c r="A133" t="s">
        <v>92</v>
      </c>
      <c r="B133">
        <v>20603611552</v>
      </c>
      <c r="C133" t="s">
        <v>244</v>
      </c>
      <c r="D133" t="s">
        <v>42</v>
      </c>
      <c r="E133" s="1">
        <v>45911</v>
      </c>
      <c r="F133">
        <v>1444.3</v>
      </c>
      <c r="G133" t="s">
        <v>1436</v>
      </c>
      <c r="H133">
        <f>_xlfn.XLOOKUP(E133,K:K,L:L)</f>
        <v>4</v>
      </c>
    </row>
    <row r="134" spans="1:8" x14ac:dyDescent="0.3">
      <c r="A134" t="s">
        <v>92</v>
      </c>
      <c r="B134">
        <v>20603720131</v>
      </c>
      <c r="C134" t="s">
        <v>245</v>
      </c>
      <c r="D134" t="s">
        <v>7</v>
      </c>
      <c r="E134" s="1">
        <v>45911</v>
      </c>
      <c r="F134">
        <v>277.78999999999996</v>
      </c>
      <c r="G134" t="s">
        <v>1436</v>
      </c>
      <c r="H134">
        <f>_xlfn.XLOOKUP(E134,K:K,L:L)</f>
        <v>4</v>
      </c>
    </row>
    <row r="135" spans="1:8" x14ac:dyDescent="0.3">
      <c r="A135" t="s">
        <v>92</v>
      </c>
      <c r="B135">
        <v>20605402314</v>
      </c>
      <c r="C135" t="s">
        <v>246</v>
      </c>
      <c r="D135" t="s">
        <v>27</v>
      </c>
      <c r="E135" s="1">
        <v>45911</v>
      </c>
      <c r="F135">
        <v>947.01</v>
      </c>
      <c r="G135" t="s">
        <v>1436</v>
      </c>
      <c r="H135">
        <f>_xlfn.XLOOKUP(E135,K:K,L:L)</f>
        <v>4</v>
      </c>
    </row>
    <row r="136" spans="1:8" x14ac:dyDescent="0.3">
      <c r="A136" t="s">
        <v>92</v>
      </c>
      <c r="B136">
        <v>20606507870</v>
      </c>
      <c r="C136" t="s">
        <v>247</v>
      </c>
      <c r="D136" t="s">
        <v>7</v>
      </c>
      <c r="E136" s="1">
        <v>45911</v>
      </c>
      <c r="F136">
        <v>148.03</v>
      </c>
      <c r="G136" t="s">
        <v>1436</v>
      </c>
      <c r="H136">
        <f>_xlfn.XLOOKUP(E136,K:K,L:L)</f>
        <v>4</v>
      </c>
    </row>
    <row r="137" spans="1:8" x14ac:dyDescent="0.3">
      <c r="A137" t="s">
        <v>92</v>
      </c>
      <c r="B137">
        <v>20606800097</v>
      </c>
      <c r="C137" t="s">
        <v>248</v>
      </c>
      <c r="D137" t="s">
        <v>27</v>
      </c>
      <c r="E137" s="1">
        <v>45911</v>
      </c>
      <c r="F137">
        <v>286.89999999999998</v>
      </c>
      <c r="G137" t="s">
        <v>1436</v>
      </c>
      <c r="H137">
        <f>_xlfn.XLOOKUP(E137,K:K,L:L)</f>
        <v>4</v>
      </c>
    </row>
    <row r="138" spans="1:8" x14ac:dyDescent="0.3">
      <c r="A138" t="s">
        <v>92</v>
      </c>
      <c r="B138">
        <v>20607392791</v>
      </c>
      <c r="C138" t="s">
        <v>249</v>
      </c>
      <c r="D138" t="s">
        <v>7</v>
      </c>
      <c r="E138" s="1">
        <v>45911</v>
      </c>
      <c r="F138">
        <v>148.03</v>
      </c>
      <c r="G138" t="s">
        <v>1436</v>
      </c>
      <c r="H138">
        <f>_xlfn.XLOOKUP(E138,K:K,L:L)</f>
        <v>4</v>
      </c>
    </row>
    <row r="139" spans="1:8" x14ac:dyDescent="0.3">
      <c r="A139" t="s">
        <v>92</v>
      </c>
      <c r="B139">
        <v>20607929191</v>
      </c>
      <c r="C139" t="s">
        <v>250</v>
      </c>
      <c r="D139" t="s">
        <v>27</v>
      </c>
      <c r="E139" s="1">
        <v>45911</v>
      </c>
      <c r="F139">
        <v>1430.1399999999999</v>
      </c>
      <c r="G139" t="s">
        <v>1436</v>
      </c>
      <c r="H139">
        <f>_xlfn.XLOOKUP(E139,K:K,L:L)</f>
        <v>4</v>
      </c>
    </row>
    <row r="140" spans="1:8" x14ac:dyDescent="0.3">
      <c r="A140" t="s">
        <v>92</v>
      </c>
      <c r="B140">
        <v>20608491369</v>
      </c>
      <c r="C140" t="s">
        <v>251</v>
      </c>
      <c r="D140" t="s">
        <v>27</v>
      </c>
      <c r="E140" s="1">
        <v>45911</v>
      </c>
      <c r="F140">
        <v>260.81</v>
      </c>
      <c r="G140" t="s">
        <v>1436</v>
      </c>
      <c r="H140">
        <f>_xlfn.XLOOKUP(E140,K:K,L:L)</f>
        <v>4</v>
      </c>
    </row>
    <row r="141" spans="1:8" x14ac:dyDescent="0.3">
      <c r="A141" t="s">
        <v>92</v>
      </c>
      <c r="B141">
        <v>20608526278</v>
      </c>
      <c r="C141" t="s">
        <v>252</v>
      </c>
      <c r="D141" t="s">
        <v>138</v>
      </c>
      <c r="E141" s="1">
        <v>45911</v>
      </c>
      <c r="F141">
        <v>736.1</v>
      </c>
      <c r="G141" t="s">
        <v>1436</v>
      </c>
      <c r="H141">
        <f>_xlfn.XLOOKUP(E141,K:K,L:L)</f>
        <v>4</v>
      </c>
    </row>
    <row r="142" spans="1:8" x14ac:dyDescent="0.3">
      <c r="A142" t="s">
        <v>92</v>
      </c>
      <c r="B142">
        <v>20609164507</v>
      </c>
      <c r="C142" t="s">
        <v>253</v>
      </c>
      <c r="D142" t="s">
        <v>7</v>
      </c>
      <c r="E142" s="1">
        <v>45911</v>
      </c>
      <c r="F142">
        <v>368.75</v>
      </c>
      <c r="G142" t="s">
        <v>1436</v>
      </c>
      <c r="H142">
        <f>_xlfn.XLOOKUP(E142,K:K,L:L)</f>
        <v>4</v>
      </c>
    </row>
    <row r="143" spans="1:8" x14ac:dyDescent="0.3">
      <c r="A143" t="s">
        <v>92</v>
      </c>
      <c r="B143">
        <v>20610173641</v>
      </c>
      <c r="C143" t="s">
        <v>254</v>
      </c>
      <c r="D143" t="s">
        <v>27</v>
      </c>
      <c r="E143" s="1">
        <v>45911</v>
      </c>
      <c r="F143">
        <v>131.70999999999998</v>
      </c>
      <c r="G143" t="s">
        <v>1436</v>
      </c>
      <c r="H143">
        <f>_xlfn.XLOOKUP(E143,K:K,L:L)</f>
        <v>4</v>
      </c>
    </row>
    <row r="144" spans="1:8" x14ac:dyDescent="0.3">
      <c r="A144" t="s">
        <v>92</v>
      </c>
      <c r="B144">
        <v>20611807440</v>
      </c>
      <c r="C144" t="s">
        <v>255</v>
      </c>
      <c r="D144" t="s">
        <v>7</v>
      </c>
      <c r="E144" s="1">
        <v>45911</v>
      </c>
      <c r="F144">
        <v>847.74</v>
      </c>
      <c r="G144" t="s">
        <v>1436</v>
      </c>
      <c r="H144">
        <f>_xlfn.XLOOKUP(E144,K:K,L:L)</f>
        <v>4</v>
      </c>
    </row>
    <row r="145" spans="1:8" x14ac:dyDescent="0.3">
      <c r="A145" t="s">
        <v>92</v>
      </c>
      <c r="B145">
        <v>20612868094</v>
      </c>
      <c r="C145" t="s">
        <v>256</v>
      </c>
      <c r="D145" t="s">
        <v>54</v>
      </c>
      <c r="E145" s="1">
        <v>45911</v>
      </c>
      <c r="F145">
        <v>393.02</v>
      </c>
      <c r="G145" t="s">
        <v>1436</v>
      </c>
      <c r="H145">
        <f>_xlfn.XLOOKUP(E145,K:K,L:L)</f>
        <v>4</v>
      </c>
    </row>
    <row r="146" spans="1:8" x14ac:dyDescent="0.3">
      <c r="A146" t="s">
        <v>92</v>
      </c>
      <c r="B146">
        <v>20613007441</v>
      </c>
      <c r="C146" t="s">
        <v>257</v>
      </c>
      <c r="D146" t="s">
        <v>54</v>
      </c>
      <c r="E146" s="1">
        <v>45911</v>
      </c>
      <c r="F146">
        <v>475.90000000000009</v>
      </c>
      <c r="G146" t="s">
        <v>1436</v>
      </c>
      <c r="H146">
        <f>_xlfn.XLOOKUP(E146,K:K,L:L)</f>
        <v>4</v>
      </c>
    </row>
    <row r="147" spans="1:8" x14ac:dyDescent="0.3">
      <c r="A147" t="s">
        <v>92</v>
      </c>
      <c r="B147">
        <v>10096577759</v>
      </c>
      <c r="C147" t="s">
        <v>258</v>
      </c>
      <c r="D147" t="s">
        <v>16</v>
      </c>
      <c r="E147" s="1">
        <v>45911</v>
      </c>
      <c r="F147">
        <v>392.38</v>
      </c>
      <c r="G147" t="s">
        <v>1436</v>
      </c>
      <c r="H147">
        <f>_xlfn.XLOOKUP(E147,K:K,L:L)</f>
        <v>4</v>
      </c>
    </row>
    <row r="148" spans="1:8" x14ac:dyDescent="0.3">
      <c r="A148" t="s">
        <v>92</v>
      </c>
      <c r="B148">
        <v>20603177933</v>
      </c>
      <c r="C148" t="s">
        <v>259</v>
      </c>
      <c r="D148" t="s">
        <v>65</v>
      </c>
      <c r="E148" s="1">
        <v>45911</v>
      </c>
      <c r="F148">
        <v>20.399999999999999</v>
      </c>
      <c r="G148" t="s">
        <v>1436</v>
      </c>
      <c r="H148">
        <f>_xlfn.XLOOKUP(E148,K:K,L:L)</f>
        <v>4</v>
      </c>
    </row>
    <row r="149" spans="1:8" x14ac:dyDescent="0.3">
      <c r="A149" t="s">
        <v>92</v>
      </c>
      <c r="B149">
        <v>20603759100</v>
      </c>
      <c r="C149" t="s">
        <v>260</v>
      </c>
      <c r="D149" t="s">
        <v>261</v>
      </c>
      <c r="E149" s="1">
        <v>45911</v>
      </c>
      <c r="F149">
        <v>393.53999999999996</v>
      </c>
      <c r="G149" t="s">
        <v>1436</v>
      </c>
      <c r="H149">
        <f>_xlfn.XLOOKUP(E149,K:K,L:L)</f>
        <v>4</v>
      </c>
    </row>
    <row r="150" spans="1:8" x14ac:dyDescent="0.3">
      <c r="A150" t="s">
        <v>92</v>
      </c>
      <c r="B150">
        <v>20605570047</v>
      </c>
      <c r="C150" t="s">
        <v>262</v>
      </c>
      <c r="D150" t="s">
        <v>16</v>
      </c>
      <c r="E150" s="1">
        <v>45911</v>
      </c>
      <c r="F150">
        <v>346.9</v>
      </c>
      <c r="G150" t="s">
        <v>1436</v>
      </c>
      <c r="H150">
        <f>_xlfn.XLOOKUP(E150,K:K,L:L)</f>
        <v>4</v>
      </c>
    </row>
    <row r="151" spans="1:8" x14ac:dyDescent="0.3">
      <c r="A151" t="s">
        <v>92</v>
      </c>
      <c r="B151">
        <v>20609450712</v>
      </c>
      <c r="C151" t="s">
        <v>263</v>
      </c>
      <c r="D151" t="s">
        <v>114</v>
      </c>
      <c r="E151" s="1">
        <v>45911</v>
      </c>
      <c r="F151">
        <v>263.26</v>
      </c>
      <c r="G151" t="s">
        <v>1436</v>
      </c>
      <c r="H151">
        <f>_xlfn.XLOOKUP(E151,K:K,L:L)</f>
        <v>4</v>
      </c>
    </row>
    <row r="152" spans="1:8" x14ac:dyDescent="0.3">
      <c r="A152" t="s">
        <v>92</v>
      </c>
      <c r="B152">
        <v>20610906371</v>
      </c>
      <c r="C152" t="s">
        <v>264</v>
      </c>
      <c r="D152" t="s">
        <v>265</v>
      </c>
      <c r="E152" s="1">
        <v>45911</v>
      </c>
      <c r="F152">
        <v>345.19000000000005</v>
      </c>
      <c r="G152" t="s">
        <v>1436</v>
      </c>
      <c r="H152">
        <f>_xlfn.XLOOKUP(E152,K:K,L:L)</f>
        <v>4</v>
      </c>
    </row>
    <row r="153" spans="1:8" x14ac:dyDescent="0.3">
      <c r="A153" t="s">
        <v>92</v>
      </c>
      <c r="B153">
        <v>20470871475</v>
      </c>
      <c r="C153" t="s">
        <v>266</v>
      </c>
      <c r="D153" t="s">
        <v>162</v>
      </c>
      <c r="E153" s="1">
        <v>45911</v>
      </c>
      <c r="F153">
        <v>150.81</v>
      </c>
      <c r="G153" t="s">
        <v>1436</v>
      </c>
      <c r="H153">
        <f>_xlfn.XLOOKUP(E153,K:K,L:L)</f>
        <v>4</v>
      </c>
    </row>
    <row r="154" spans="1:8" x14ac:dyDescent="0.3">
      <c r="A154" t="s">
        <v>92</v>
      </c>
      <c r="B154">
        <v>20606636050</v>
      </c>
      <c r="C154" t="s">
        <v>267</v>
      </c>
      <c r="D154" t="s">
        <v>119</v>
      </c>
      <c r="E154" s="1">
        <v>45911</v>
      </c>
      <c r="F154">
        <v>305.58</v>
      </c>
      <c r="G154" t="s">
        <v>1436</v>
      </c>
      <c r="H154">
        <f>_xlfn.XLOOKUP(E154,K:K,L:L)</f>
        <v>4</v>
      </c>
    </row>
    <row r="155" spans="1:8" x14ac:dyDescent="0.3">
      <c r="A155" t="s">
        <v>92</v>
      </c>
      <c r="B155">
        <v>20608204807</v>
      </c>
      <c r="C155" t="s">
        <v>268</v>
      </c>
      <c r="D155" t="s">
        <v>269</v>
      </c>
      <c r="E155" s="1">
        <v>45911</v>
      </c>
      <c r="F155">
        <v>443.90999999999997</v>
      </c>
      <c r="G155" t="s">
        <v>1436</v>
      </c>
      <c r="H155">
        <f>_xlfn.XLOOKUP(E155,K:K,L:L)</f>
        <v>4</v>
      </c>
    </row>
    <row r="156" spans="1:8" x14ac:dyDescent="0.3">
      <c r="A156" t="s">
        <v>92</v>
      </c>
      <c r="B156">
        <v>20611039825</v>
      </c>
      <c r="C156" t="s">
        <v>270</v>
      </c>
      <c r="D156" t="s">
        <v>119</v>
      </c>
      <c r="E156" s="1">
        <v>45911</v>
      </c>
      <c r="F156">
        <v>267.88</v>
      </c>
      <c r="G156" t="s">
        <v>1436</v>
      </c>
      <c r="H156">
        <f>_xlfn.XLOOKUP(E156,K:K,L:L)</f>
        <v>4</v>
      </c>
    </row>
    <row r="157" spans="1:8" x14ac:dyDescent="0.3">
      <c r="A157" t="s">
        <v>92</v>
      </c>
      <c r="B157">
        <v>20612906123</v>
      </c>
      <c r="C157" t="s">
        <v>271</v>
      </c>
      <c r="D157" t="s">
        <v>272</v>
      </c>
      <c r="E157" s="1">
        <v>45911</v>
      </c>
      <c r="F157">
        <v>536.72</v>
      </c>
      <c r="G157" t="s">
        <v>1436</v>
      </c>
      <c r="H157">
        <f>_xlfn.XLOOKUP(E157,K:K,L:L)</f>
        <v>4</v>
      </c>
    </row>
    <row r="158" spans="1:8" x14ac:dyDescent="0.3">
      <c r="A158" t="s">
        <v>92</v>
      </c>
      <c r="B158">
        <v>20603940696</v>
      </c>
      <c r="C158" t="s">
        <v>273</v>
      </c>
      <c r="D158" t="s">
        <v>274</v>
      </c>
      <c r="E158" s="1">
        <v>45911</v>
      </c>
      <c r="F158">
        <v>735.71</v>
      </c>
      <c r="G158" t="s">
        <v>1436</v>
      </c>
      <c r="H158">
        <f>_xlfn.XLOOKUP(E158,K:K,L:L)</f>
        <v>4</v>
      </c>
    </row>
    <row r="159" spans="1:8" x14ac:dyDescent="0.3">
      <c r="A159" t="s">
        <v>6</v>
      </c>
      <c r="B159">
        <v>20449318693</v>
      </c>
      <c r="C159" t="s">
        <v>13</v>
      </c>
      <c r="D159" t="s">
        <v>7</v>
      </c>
      <c r="E159" s="1">
        <v>45911</v>
      </c>
      <c r="F159">
        <v>208.82999999999998</v>
      </c>
      <c r="G159" t="s">
        <v>1436</v>
      </c>
      <c r="H159">
        <f>_xlfn.XLOOKUP(E159,K:K,L:L)</f>
        <v>4</v>
      </c>
    </row>
    <row r="160" spans="1:8" x14ac:dyDescent="0.3">
      <c r="A160" t="s">
        <v>6</v>
      </c>
      <c r="B160">
        <v>20451800184</v>
      </c>
      <c r="C160" t="s">
        <v>14</v>
      </c>
      <c r="D160" t="s">
        <v>7</v>
      </c>
      <c r="E160" s="1">
        <v>45911</v>
      </c>
      <c r="F160">
        <v>137.80000000000001</v>
      </c>
      <c r="G160" t="s">
        <v>1436</v>
      </c>
      <c r="H160">
        <f>_xlfn.XLOOKUP(E160,K:K,L:L)</f>
        <v>4</v>
      </c>
    </row>
    <row r="161" spans="1:8" x14ac:dyDescent="0.3">
      <c r="A161" t="s">
        <v>6</v>
      </c>
      <c r="B161">
        <v>20606794143</v>
      </c>
      <c r="C161" t="s">
        <v>15</v>
      </c>
      <c r="D161" t="s">
        <v>16</v>
      </c>
      <c r="E161" s="1">
        <v>45911</v>
      </c>
      <c r="F161">
        <v>298.10000000000002</v>
      </c>
      <c r="G161" t="s">
        <v>1436</v>
      </c>
      <c r="H161">
        <f>_xlfn.XLOOKUP(E161,K:K,L:L)</f>
        <v>4</v>
      </c>
    </row>
    <row r="162" spans="1:8" x14ac:dyDescent="0.3">
      <c r="A162" t="s">
        <v>6</v>
      </c>
      <c r="B162">
        <v>20498129065</v>
      </c>
      <c r="C162" t="s">
        <v>17</v>
      </c>
      <c r="D162" t="s">
        <v>18</v>
      </c>
      <c r="E162" s="1">
        <v>45911</v>
      </c>
      <c r="F162">
        <v>495.6</v>
      </c>
      <c r="G162" t="s">
        <v>1436</v>
      </c>
      <c r="H162">
        <f>_xlfn.XLOOKUP(E162,K:K,L:L)</f>
        <v>4</v>
      </c>
    </row>
    <row r="163" spans="1:8" x14ac:dyDescent="0.3">
      <c r="A163" t="s">
        <v>93</v>
      </c>
      <c r="B163">
        <v>20155770881</v>
      </c>
      <c r="C163" t="s">
        <v>275</v>
      </c>
      <c r="D163" t="s">
        <v>276</v>
      </c>
      <c r="E163" s="1">
        <v>45911</v>
      </c>
      <c r="F163">
        <v>5006.3900000000003</v>
      </c>
      <c r="G163" t="s">
        <v>1436</v>
      </c>
      <c r="H163">
        <f>_xlfn.XLOOKUP(E163,K:K,L:L)</f>
        <v>4</v>
      </c>
    </row>
    <row r="164" spans="1:8" x14ac:dyDescent="0.3">
      <c r="A164" t="s">
        <v>92</v>
      </c>
      <c r="B164">
        <v>10097470559</v>
      </c>
      <c r="C164" t="s">
        <v>277</v>
      </c>
      <c r="D164" t="s">
        <v>7</v>
      </c>
      <c r="E164" s="1">
        <v>45912</v>
      </c>
      <c r="F164">
        <v>1295.4000000000001</v>
      </c>
      <c r="G164" t="s">
        <v>1436</v>
      </c>
      <c r="H164">
        <f>_xlfn.XLOOKUP(E164,K:K,L:L)</f>
        <v>5</v>
      </c>
    </row>
    <row r="165" spans="1:8" x14ac:dyDescent="0.3">
      <c r="A165" t="s">
        <v>92</v>
      </c>
      <c r="B165">
        <v>20108213630</v>
      </c>
      <c r="C165" t="s">
        <v>278</v>
      </c>
      <c r="D165" t="s">
        <v>7</v>
      </c>
      <c r="E165" s="1">
        <v>45912</v>
      </c>
      <c r="F165">
        <v>278.07</v>
      </c>
      <c r="G165" t="s">
        <v>1436</v>
      </c>
      <c r="H165">
        <f>_xlfn.XLOOKUP(E165,K:K,L:L)</f>
        <v>5</v>
      </c>
    </row>
    <row r="166" spans="1:8" x14ac:dyDescent="0.3">
      <c r="A166" t="s">
        <v>92</v>
      </c>
      <c r="B166">
        <v>20393693119</v>
      </c>
      <c r="C166" t="s">
        <v>279</v>
      </c>
      <c r="D166" t="s">
        <v>7</v>
      </c>
      <c r="E166" s="1">
        <v>45912</v>
      </c>
      <c r="F166">
        <v>3767.46</v>
      </c>
      <c r="G166" t="s">
        <v>1436</v>
      </c>
      <c r="H166">
        <f>_xlfn.XLOOKUP(E166,K:K,L:L)</f>
        <v>5</v>
      </c>
    </row>
    <row r="167" spans="1:8" x14ac:dyDescent="0.3">
      <c r="A167" t="s">
        <v>92</v>
      </c>
      <c r="B167">
        <v>20451592131</v>
      </c>
      <c r="C167" t="s">
        <v>280</v>
      </c>
      <c r="D167" t="s">
        <v>7</v>
      </c>
      <c r="E167" s="1">
        <v>45912</v>
      </c>
      <c r="F167">
        <v>196.69</v>
      </c>
      <c r="G167" t="s">
        <v>1436</v>
      </c>
      <c r="H167">
        <f>_xlfn.XLOOKUP(E167,K:K,L:L)</f>
        <v>5</v>
      </c>
    </row>
    <row r="168" spans="1:8" x14ac:dyDescent="0.3">
      <c r="A168" t="s">
        <v>92</v>
      </c>
      <c r="B168">
        <v>20495669999</v>
      </c>
      <c r="C168" t="s">
        <v>281</v>
      </c>
      <c r="D168" t="s">
        <v>54</v>
      </c>
      <c r="E168" s="1">
        <v>45912</v>
      </c>
      <c r="F168">
        <v>393.15</v>
      </c>
      <c r="G168" t="s">
        <v>1436</v>
      </c>
      <c r="H168">
        <f>_xlfn.XLOOKUP(E168,K:K,L:L)</f>
        <v>5</v>
      </c>
    </row>
    <row r="169" spans="1:8" x14ac:dyDescent="0.3">
      <c r="A169" t="s">
        <v>92</v>
      </c>
      <c r="B169">
        <v>20510156812</v>
      </c>
      <c r="C169" t="s">
        <v>282</v>
      </c>
      <c r="D169" t="s">
        <v>27</v>
      </c>
      <c r="E169" s="1">
        <v>45912</v>
      </c>
      <c r="F169">
        <v>692.77</v>
      </c>
      <c r="G169" t="s">
        <v>1436</v>
      </c>
      <c r="H169">
        <f>_xlfn.XLOOKUP(E169,K:K,L:L)</f>
        <v>5</v>
      </c>
    </row>
    <row r="170" spans="1:8" x14ac:dyDescent="0.3">
      <c r="A170" t="s">
        <v>92</v>
      </c>
      <c r="B170">
        <v>20513336676</v>
      </c>
      <c r="C170" t="s">
        <v>283</v>
      </c>
      <c r="D170" t="s">
        <v>27</v>
      </c>
      <c r="E170" s="1">
        <v>45912</v>
      </c>
      <c r="F170">
        <v>277.11</v>
      </c>
      <c r="G170" t="s">
        <v>1436</v>
      </c>
      <c r="H170">
        <f>_xlfn.XLOOKUP(E170,K:K,L:L)</f>
        <v>5</v>
      </c>
    </row>
    <row r="171" spans="1:8" x14ac:dyDescent="0.3">
      <c r="A171" t="s">
        <v>92</v>
      </c>
      <c r="B171">
        <v>20602829198</v>
      </c>
      <c r="C171" t="s">
        <v>284</v>
      </c>
      <c r="D171" t="s">
        <v>7</v>
      </c>
      <c r="E171" s="1">
        <v>45912</v>
      </c>
      <c r="F171">
        <v>148.16999999999999</v>
      </c>
      <c r="G171" t="s">
        <v>1436</v>
      </c>
      <c r="H171">
        <f>_xlfn.XLOOKUP(E171,K:K,L:L)</f>
        <v>5</v>
      </c>
    </row>
    <row r="172" spans="1:8" x14ac:dyDescent="0.3">
      <c r="A172" t="s">
        <v>92</v>
      </c>
      <c r="B172">
        <v>20602926703</v>
      </c>
      <c r="C172" t="s">
        <v>285</v>
      </c>
      <c r="D172" t="s">
        <v>7</v>
      </c>
      <c r="E172" s="1">
        <v>45912</v>
      </c>
      <c r="F172">
        <v>150.81</v>
      </c>
      <c r="G172" t="s">
        <v>1436</v>
      </c>
      <c r="H172">
        <f>_xlfn.XLOOKUP(E172,K:K,L:L)</f>
        <v>5</v>
      </c>
    </row>
    <row r="173" spans="1:8" x14ac:dyDescent="0.3">
      <c r="A173" t="s">
        <v>92</v>
      </c>
      <c r="B173">
        <v>20603082941</v>
      </c>
      <c r="C173" t="s">
        <v>286</v>
      </c>
      <c r="D173" t="s">
        <v>27</v>
      </c>
      <c r="E173" s="1">
        <v>45912</v>
      </c>
      <c r="F173">
        <v>260.94</v>
      </c>
      <c r="G173" t="s">
        <v>1436</v>
      </c>
      <c r="H173">
        <f>_xlfn.XLOOKUP(E173,K:K,L:L)</f>
        <v>5</v>
      </c>
    </row>
    <row r="174" spans="1:8" x14ac:dyDescent="0.3">
      <c r="A174" t="s">
        <v>92</v>
      </c>
      <c r="B174">
        <v>20603257058</v>
      </c>
      <c r="C174" t="s">
        <v>287</v>
      </c>
      <c r="D174" t="s">
        <v>27</v>
      </c>
      <c r="E174" s="1">
        <v>45912</v>
      </c>
      <c r="F174">
        <v>5878.41</v>
      </c>
      <c r="G174" t="s">
        <v>1436</v>
      </c>
      <c r="H174">
        <f>_xlfn.XLOOKUP(E174,K:K,L:L)</f>
        <v>5</v>
      </c>
    </row>
    <row r="175" spans="1:8" x14ac:dyDescent="0.3">
      <c r="A175" t="s">
        <v>92</v>
      </c>
      <c r="B175">
        <v>20603751044</v>
      </c>
      <c r="C175" t="s">
        <v>288</v>
      </c>
      <c r="D175" t="s">
        <v>54</v>
      </c>
      <c r="E175" s="1">
        <v>45912</v>
      </c>
      <c r="F175">
        <v>479.74</v>
      </c>
      <c r="G175" t="s">
        <v>1436</v>
      </c>
      <c r="H175">
        <f>_xlfn.XLOOKUP(E175,K:K,L:L)</f>
        <v>5</v>
      </c>
    </row>
    <row r="176" spans="1:8" x14ac:dyDescent="0.3">
      <c r="A176" t="s">
        <v>92</v>
      </c>
      <c r="B176">
        <v>20605639136</v>
      </c>
      <c r="C176" t="s">
        <v>289</v>
      </c>
      <c r="D176" t="s">
        <v>7</v>
      </c>
      <c r="E176" s="1">
        <v>45912</v>
      </c>
      <c r="F176">
        <v>280.7</v>
      </c>
      <c r="G176" t="s">
        <v>1436</v>
      </c>
      <c r="H176">
        <f>_xlfn.XLOOKUP(E176,K:K,L:L)</f>
        <v>5</v>
      </c>
    </row>
    <row r="177" spans="1:8" x14ac:dyDescent="0.3">
      <c r="A177" t="s">
        <v>92</v>
      </c>
      <c r="B177">
        <v>20606395681</v>
      </c>
      <c r="C177" t="s">
        <v>290</v>
      </c>
      <c r="D177" t="s">
        <v>138</v>
      </c>
      <c r="E177" s="1">
        <v>45912</v>
      </c>
      <c r="F177">
        <v>579.16999999999996</v>
      </c>
      <c r="G177" t="s">
        <v>1436</v>
      </c>
      <c r="H177">
        <f>_xlfn.XLOOKUP(E177,K:K,L:L)</f>
        <v>5</v>
      </c>
    </row>
    <row r="178" spans="1:8" x14ac:dyDescent="0.3">
      <c r="A178" t="s">
        <v>92</v>
      </c>
      <c r="B178">
        <v>20606545551</v>
      </c>
      <c r="C178" t="s">
        <v>291</v>
      </c>
      <c r="D178" t="s">
        <v>7</v>
      </c>
      <c r="E178" s="1">
        <v>45912</v>
      </c>
      <c r="F178">
        <v>250.85000000000002</v>
      </c>
      <c r="G178" t="s">
        <v>1436</v>
      </c>
      <c r="H178">
        <f>_xlfn.XLOOKUP(E178,K:K,L:L)</f>
        <v>5</v>
      </c>
    </row>
    <row r="179" spans="1:8" x14ac:dyDescent="0.3">
      <c r="A179" t="s">
        <v>92</v>
      </c>
      <c r="B179">
        <v>20607031682</v>
      </c>
      <c r="C179" t="s">
        <v>292</v>
      </c>
      <c r="D179" t="s">
        <v>54</v>
      </c>
      <c r="E179" s="1">
        <v>45912</v>
      </c>
      <c r="F179">
        <v>393.15</v>
      </c>
      <c r="G179" t="s">
        <v>1436</v>
      </c>
      <c r="H179">
        <f>_xlfn.XLOOKUP(E179,K:K,L:L)</f>
        <v>5</v>
      </c>
    </row>
    <row r="180" spans="1:8" x14ac:dyDescent="0.3">
      <c r="A180" t="s">
        <v>92</v>
      </c>
      <c r="B180">
        <v>20607058831</v>
      </c>
      <c r="C180" t="s">
        <v>293</v>
      </c>
      <c r="D180" t="s">
        <v>7</v>
      </c>
      <c r="E180" s="1">
        <v>45912</v>
      </c>
      <c r="F180">
        <v>196.69</v>
      </c>
      <c r="G180" t="s">
        <v>1436</v>
      </c>
      <c r="H180">
        <f>_xlfn.XLOOKUP(E180,K:K,L:L)</f>
        <v>5</v>
      </c>
    </row>
    <row r="181" spans="1:8" x14ac:dyDescent="0.3">
      <c r="A181" t="s">
        <v>92</v>
      </c>
      <c r="B181">
        <v>20607154423</v>
      </c>
      <c r="C181" t="s">
        <v>294</v>
      </c>
      <c r="D181" t="s">
        <v>138</v>
      </c>
      <c r="E181" s="1">
        <v>45912</v>
      </c>
      <c r="F181">
        <v>605.74</v>
      </c>
      <c r="G181" t="s">
        <v>1436</v>
      </c>
      <c r="H181">
        <f>_xlfn.XLOOKUP(E181,K:K,L:L)</f>
        <v>5</v>
      </c>
    </row>
    <row r="182" spans="1:8" x14ac:dyDescent="0.3">
      <c r="A182" t="s">
        <v>92</v>
      </c>
      <c r="B182">
        <v>20607894958</v>
      </c>
      <c r="C182" t="s">
        <v>295</v>
      </c>
      <c r="D182" t="s">
        <v>138</v>
      </c>
      <c r="E182" s="1">
        <v>45912</v>
      </c>
      <c r="F182">
        <v>574.79</v>
      </c>
      <c r="G182" t="s">
        <v>1436</v>
      </c>
      <c r="H182">
        <f>_xlfn.XLOOKUP(E182,K:K,L:L)</f>
        <v>5</v>
      </c>
    </row>
    <row r="183" spans="1:8" x14ac:dyDescent="0.3">
      <c r="A183" t="s">
        <v>92</v>
      </c>
      <c r="B183">
        <v>20609009021</v>
      </c>
      <c r="C183" t="s">
        <v>296</v>
      </c>
      <c r="D183" t="s">
        <v>7</v>
      </c>
      <c r="E183" s="1">
        <v>45912</v>
      </c>
      <c r="F183">
        <v>148.16999999999999</v>
      </c>
      <c r="G183" t="s">
        <v>1436</v>
      </c>
      <c r="H183">
        <f>_xlfn.XLOOKUP(E183,K:K,L:L)</f>
        <v>5</v>
      </c>
    </row>
    <row r="184" spans="1:8" x14ac:dyDescent="0.3">
      <c r="A184" t="s">
        <v>92</v>
      </c>
      <c r="B184">
        <v>20609154676</v>
      </c>
      <c r="C184" t="s">
        <v>297</v>
      </c>
      <c r="D184" t="s">
        <v>138</v>
      </c>
      <c r="E184" s="1">
        <v>45912</v>
      </c>
      <c r="F184">
        <v>526.51</v>
      </c>
      <c r="G184" t="s">
        <v>1436</v>
      </c>
      <c r="H184">
        <f>_xlfn.XLOOKUP(E184,K:K,L:L)</f>
        <v>5</v>
      </c>
    </row>
    <row r="185" spans="1:8" x14ac:dyDescent="0.3">
      <c r="A185" t="s">
        <v>92</v>
      </c>
      <c r="B185">
        <v>20610855912</v>
      </c>
      <c r="C185" t="s">
        <v>298</v>
      </c>
      <c r="D185" t="s">
        <v>27</v>
      </c>
      <c r="E185" s="1">
        <v>45912</v>
      </c>
      <c r="F185">
        <v>519.98</v>
      </c>
      <c r="G185" t="s">
        <v>1436</v>
      </c>
      <c r="H185">
        <f>_xlfn.XLOOKUP(E185,K:K,L:L)</f>
        <v>5</v>
      </c>
    </row>
    <row r="186" spans="1:8" x14ac:dyDescent="0.3">
      <c r="A186" t="s">
        <v>92</v>
      </c>
      <c r="B186">
        <v>20613076680</v>
      </c>
      <c r="C186" t="s">
        <v>299</v>
      </c>
      <c r="D186" t="s">
        <v>138</v>
      </c>
      <c r="E186" s="1">
        <v>45912</v>
      </c>
      <c r="F186">
        <v>526.51</v>
      </c>
      <c r="G186" t="s">
        <v>1436</v>
      </c>
      <c r="H186">
        <f>_xlfn.XLOOKUP(E186,K:K,L:L)</f>
        <v>5</v>
      </c>
    </row>
    <row r="187" spans="1:8" x14ac:dyDescent="0.3">
      <c r="A187" t="s">
        <v>92</v>
      </c>
      <c r="B187">
        <v>20506204683</v>
      </c>
      <c r="C187" t="s">
        <v>300</v>
      </c>
      <c r="D187" t="s">
        <v>65</v>
      </c>
      <c r="E187" s="1">
        <v>45912</v>
      </c>
      <c r="F187">
        <v>2913.71</v>
      </c>
      <c r="G187" t="s">
        <v>1436</v>
      </c>
      <c r="H187">
        <f>_xlfn.XLOOKUP(E187,K:K,L:L)</f>
        <v>5</v>
      </c>
    </row>
    <row r="188" spans="1:8" x14ac:dyDescent="0.3">
      <c r="A188" t="s">
        <v>92</v>
      </c>
      <c r="B188">
        <v>20600888103</v>
      </c>
      <c r="C188" t="s">
        <v>301</v>
      </c>
      <c r="D188" t="s">
        <v>302</v>
      </c>
      <c r="E188" s="1">
        <v>45912</v>
      </c>
      <c r="F188">
        <v>978.96</v>
      </c>
      <c r="G188" t="s">
        <v>1436</v>
      </c>
      <c r="H188">
        <f>_xlfn.XLOOKUP(E188,K:K,L:L)</f>
        <v>5</v>
      </c>
    </row>
    <row r="189" spans="1:8" x14ac:dyDescent="0.3">
      <c r="A189" t="s">
        <v>92</v>
      </c>
      <c r="B189">
        <v>20605882359</v>
      </c>
      <c r="C189" t="s">
        <v>303</v>
      </c>
      <c r="D189" t="s">
        <v>65</v>
      </c>
      <c r="E189" s="1">
        <v>45912</v>
      </c>
      <c r="F189">
        <v>131.05000000000001</v>
      </c>
      <c r="G189" t="s">
        <v>1436</v>
      </c>
      <c r="H189">
        <f>_xlfn.XLOOKUP(E189,K:K,L:L)</f>
        <v>5</v>
      </c>
    </row>
    <row r="190" spans="1:8" x14ac:dyDescent="0.3">
      <c r="A190" t="s">
        <v>92</v>
      </c>
      <c r="B190">
        <v>20608194534</v>
      </c>
      <c r="C190" t="s">
        <v>304</v>
      </c>
      <c r="D190" t="s">
        <v>16</v>
      </c>
      <c r="E190" s="1">
        <v>45912</v>
      </c>
      <c r="F190">
        <v>487.95000000000005</v>
      </c>
      <c r="G190" t="s">
        <v>1436</v>
      </c>
      <c r="H190">
        <f>_xlfn.XLOOKUP(E190,K:K,L:L)</f>
        <v>5</v>
      </c>
    </row>
    <row r="191" spans="1:8" x14ac:dyDescent="0.3">
      <c r="A191" t="s">
        <v>92</v>
      </c>
      <c r="B191">
        <v>20477419390</v>
      </c>
      <c r="C191" t="s">
        <v>305</v>
      </c>
      <c r="D191" t="s">
        <v>306</v>
      </c>
      <c r="E191" s="1">
        <v>45912</v>
      </c>
      <c r="F191">
        <v>527.92000000000007</v>
      </c>
      <c r="G191" t="s">
        <v>1436</v>
      </c>
      <c r="H191">
        <f>_xlfn.XLOOKUP(E191,K:K,L:L)</f>
        <v>5</v>
      </c>
    </row>
    <row r="192" spans="1:8" x14ac:dyDescent="0.3">
      <c r="A192" t="s">
        <v>92</v>
      </c>
      <c r="B192">
        <v>20543608271</v>
      </c>
      <c r="C192" t="s">
        <v>307</v>
      </c>
      <c r="D192" t="s">
        <v>162</v>
      </c>
      <c r="E192" s="1">
        <v>45912</v>
      </c>
      <c r="F192">
        <v>145.42000000000002</v>
      </c>
      <c r="G192" t="s">
        <v>1436</v>
      </c>
      <c r="H192">
        <f>_xlfn.XLOOKUP(E192,K:K,L:L)</f>
        <v>5</v>
      </c>
    </row>
    <row r="193" spans="1:8" x14ac:dyDescent="0.3">
      <c r="A193" t="s">
        <v>92</v>
      </c>
      <c r="B193">
        <v>20602083030</v>
      </c>
      <c r="C193" t="s">
        <v>308</v>
      </c>
      <c r="D193" t="s">
        <v>58</v>
      </c>
      <c r="E193" s="1">
        <v>45912</v>
      </c>
      <c r="F193">
        <v>264.02999999999997</v>
      </c>
      <c r="G193" t="s">
        <v>1436</v>
      </c>
      <c r="H193">
        <f>_xlfn.XLOOKUP(E193,K:K,L:L)</f>
        <v>5</v>
      </c>
    </row>
    <row r="194" spans="1:8" x14ac:dyDescent="0.3">
      <c r="A194" t="s">
        <v>92</v>
      </c>
      <c r="B194">
        <v>10418000703</v>
      </c>
      <c r="C194" t="s">
        <v>309</v>
      </c>
      <c r="D194" t="s">
        <v>310</v>
      </c>
      <c r="E194" s="1">
        <v>45912</v>
      </c>
      <c r="F194">
        <v>574</v>
      </c>
      <c r="G194" t="s">
        <v>1436</v>
      </c>
      <c r="H194">
        <f>_xlfn.XLOOKUP(E194,K:K,L:L)</f>
        <v>5</v>
      </c>
    </row>
    <row r="195" spans="1:8" x14ac:dyDescent="0.3">
      <c r="A195" t="s">
        <v>92</v>
      </c>
      <c r="B195">
        <v>20607576484</v>
      </c>
      <c r="C195" t="s">
        <v>311</v>
      </c>
      <c r="D195" t="s">
        <v>18</v>
      </c>
      <c r="E195" s="1">
        <v>45912</v>
      </c>
      <c r="F195">
        <v>101.41</v>
      </c>
      <c r="G195" t="s">
        <v>1436</v>
      </c>
      <c r="H195">
        <f>_xlfn.XLOOKUP(E195,K:K,L:L)</f>
        <v>5</v>
      </c>
    </row>
    <row r="196" spans="1:8" x14ac:dyDescent="0.3">
      <c r="A196" t="s">
        <v>92</v>
      </c>
      <c r="B196">
        <v>20602549241</v>
      </c>
      <c r="C196" t="s">
        <v>312</v>
      </c>
      <c r="D196" t="s">
        <v>313</v>
      </c>
      <c r="E196" s="1">
        <v>45912</v>
      </c>
      <c r="F196">
        <v>220.68</v>
      </c>
      <c r="G196" t="s">
        <v>1436</v>
      </c>
      <c r="H196">
        <f>_xlfn.XLOOKUP(E196,K:K,L:L)</f>
        <v>5</v>
      </c>
    </row>
    <row r="197" spans="1:8" x14ac:dyDescent="0.3">
      <c r="A197" t="s">
        <v>92</v>
      </c>
      <c r="B197">
        <v>20543073491</v>
      </c>
      <c r="C197" t="s">
        <v>314</v>
      </c>
      <c r="D197" t="s">
        <v>175</v>
      </c>
      <c r="E197" s="1">
        <v>45912</v>
      </c>
      <c r="F197">
        <v>330.51</v>
      </c>
      <c r="G197" t="s">
        <v>1436</v>
      </c>
      <c r="H197">
        <f>_xlfn.XLOOKUP(E197,K:K,L:L)</f>
        <v>5</v>
      </c>
    </row>
    <row r="198" spans="1:8" x14ac:dyDescent="0.3">
      <c r="A198" t="s">
        <v>6</v>
      </c>
      <c r="B198">
        <v>20602466737</v>
      </c>
      <c r="C198" t="s">
        <v>19</v>
      </c>
      <c r="D198" t="s">
        <v>7</v>
      </c>
      <c r="E198" s="1">
        <v>45912</v>
      </c>
      <c r="F198">
        <v>539.31999999999994</v>
      </c>
      <c r="G198" t="s">
        <v>1436</v>
      </c>
      <c r="H198">
        <f>_xlfn.XLOOKUP(E198,K:K,L:L)</f>
        <v>5</v>
      </c>
    </row>
    <row r="199" spans="1:8" x14ac:dyDescent="0.3">
      <c r="A199" t="s">
        <v>6</v>
      </c>
      <c r="B199">
        <v>20272827681</v>
      </c>
      <c r="C199" t="s">
        <v>20</v>
      </c>
      <c r="D199" t="s">
        <v>21</v>
      </c>
      <c r="E199" s="1">
        <v>45912</v>
      </c>
      <c r="F199">
        <v>1004.55</v>
      </c>
      <c r="G199" t="s">
        <v>1436</v>
      </c>
      <c r="H199">
        <f>_xlfn.XLOOKUP(E199,K:K,L:L)</f>
        <v>5</v>
      </c>
    </row>
    <row r="200" spans="1:8" x14ac:dyDescent="0.3">
      <c r="A200" t="s">
        <v>93</v>
      </c>
      <c r="B200">
        <v>20198459748</v>
      </c>
      <c r="C200" t="s">
        <v>315</v>
      </c>
      <c r="D200" t="s">
        <v>316</v>
      </c>
      <c r="E200" s="1">
        <v>45912</v>
      </c>
      <c r="F200">
        <v>3859.25</v>
      </c>
      <c r="G200" t="s">
        <v>1436</v>
      </c>
      <c r="H200">
        <f>_xlfn.XLOOKUP(E200,K:K,L:L)</f>
        <v>5</v>
      </c>
    </row>
    <row r="201" spans="1:8" x14ac:dyDescent="0.3">
      <c r="A201" t="s">
        <v>93</v>
      </c>
      <c r="B201">
        <v>20494179262</v>
      </c>
      <c r="C201" t="s">
        <v>317</v>
      </c>
      <c r="D201" t="s">
        <v>276</v>
      </c>
      <c r="E201" s="1">
        <v>45912</v>
      </c>
      <c r="F201">
        <v>130.96</v>
      </c>
      <c r="G201" t="s">
        <v>1436</v>
      </c>
      <c r="H201">
        <f>_xlfn.XLOOKUP(E201,K:K,L:L)</f>
        <v>5</v>
      </c>
    </row>
    <row r="202" spans="1:8" x14ac:dyDescent="0.3">
      <c r="A202" t="s">
        <v>93</v>
      </c>
      <c r="B202">
        <v>20554078789</v>
      </c>
      <c r="C202" t="s">
        <v>318</v>
      </c>
      <c r="D202" t="s">
        <v>319</v>
      </c>
      <c r="E202" s="1">
        <v>45912</v>
      </c>
      <c r="F202">
        <v>1560.0800000000002</v>
      </c>
      <c r="G202" t="s">
        <v>1436</v>
      </c>
      <c r="H202">
        <f>_xlfn.XLOOKUP(E202,K:K,L:L)</f>
        <v>5</v>
      </c>
    </row>
    <row r="203" spans="1:8" x14ac:dyDescent="0.3">
      <c r="A203" t="s">
        <v>92</v>
      </c>
      <c r="B203">
        <v>20117182640</v>
      </c>
      <c r="C203" t="s">
        <v>320</v>
      </c>
      <c r="D203" t="s">
        <v>7</v>
      </c>
      <c r="E203" s="1">
        <v>45913</v>
      </c>
      <c r="F203">
        <v>129.88999999999999</v>
      </c>
      <c r="G203" t="s">
        <v>1436</v>
      </c>
      <c r="H203">
        <f>_xlfn.XLOOKUP(E203,K:K,L:L)</f>
        <v>5</v>
      </c>
    </row>
    <row r="204" spans="1:8" x14ac:dyDescent="0.3">
      <c r="A204" t="s">
        <v>92</v>
      </c>
      <c r="B204">
        <v>20550010900</v>
      </c>
      <c r="C204" t="s">
        <v>321</v>
      </c>
      <c r="D204" t="s">
        <v>322</v>
      </c>
      <c r="E204" s="1">
        <v>45913</v>
      </c>
      <c r="F204">
        <v>264.67</v>
      </c>
      <c r="G204" t="s">
        <v>1436</v>
      </c>
      <c r="H204">
        <f>_xlfn.XLOOKUP(E204,K:K,L:L)</f>
        <v>5</v>
      </c>
    </row>
    <row r="205" spans="1:8" x14ac:dyDescent="0.3">
      <c r="A205" t="s">
        <v>92</v>
      </c>
      <c r="B205">
        <v>20610120874</v>
      </c>
      <c r="C205" t="s">
        <v>323</v>
      </c>
      <c r="D205" t="s">
        <v>302</v>
      </c>
      <c r="E205" s="1">
        <v>45913</v>
      </c>
      <c r="F205">
        <v>420.47</v>
      </c>
      <c r="G205" t="s">
        <v>1436</v>
      </c>
      <c r="H205">
        <f>_xlfn.XLOOKUP(E205,K:K,L:L)</f>
        <v>5</v>
      </c>
    </row>
    <row r="206" spans="1:8" x14ac:dyDescent="0.3">
      <c r="A206" t="s">
        <v>6</v>
      </c>
      <c r="B206">
        <v>20601443831</v>
      </c>
      <c r="C206" t="s">
        <v>22</v>
      </c>
      <c r="D206" t="s">
        <v>7</v>
      </c>
      <c r="E206" s="1">
        <v>45913</v>
      </c>
      <c r="F206">
        <v>129.88999999999999</v>
      </c>
      <c r="G206" t="s">
        <v>1436</v>
      </c>
      <c r="H206">
        <f>_xlfn.XLOOKUP(E206,K:K,L:L)</f>
        <v>5</v>
      </c>
    </row>
    <row r="207" spans="1:8" x14ac:dyDescent="0.3">
      <c r="A207" t="s">
        <v>92</v>
      </c>
      <c r="B207">
        <v>10218025451</v>
      </c>
      <c r="C207" t="s">
        <v>324</v>
      </c>
      <c r="D207" t="s">
        <v>7</v>
      </c>
      <c r="E207" s="1">
        <v>45914</v>
      </c>
      <c r="F207">
        <v>148.16999999999999</v>
      </c>
      <c r="G207" t="s">
        <v>1436</v>
      </c>
      <c r="H207">
        <f>_xlfn.XLOOKUP(E207,K:K,L:L)</f>
        <v>5</v>
      </c>
    </row>
    <row r="208" spans="1:8" x14ac:dyDescent="0.3">
      <c r="A208" t="s">
        <v>92</v>
      </c>
      <c r="B208">
        <v>20606470054</v>
      </c>
      <c r="C208" t="s">
        <v>325</v>
      </c>
      <c r="D208" t="s">
        <v>54</v>
      </c>
      <c r="E208" s="1">
        <v>45914</v>
      </c>
      <c r="F208">
        <v>393.4</v>
      </c>
      <c r="G208" t="s">
        <v>1436</v>
      </c>
      <c r="H208">
        <f>_xlfn.XLOOKUP(E208,K:K,L:L)</f>
        <v>5</v>
      </c>
    </row>
    <row r="209" spans="1:8" x14ac:dyDescent="0.3">
      <c r="A209" t="s">
        <v>92</v>
      </c>
      <c r="B209">
        <v>20610622080</v>
      </c>
      <c r="C209" t="s">
        <v>326</v>
      </c>
      <c r="D209" t="s">
        <v>7</v>
      </c>
      <c r="E209" s="1">
        <v>45914</v>
      </c>
      <c r="F209">
        <v>148.16999999999999</v>
      </c>
      <c r="G209" t="s">
        <v>1436</v>
      </c>
      <c r="H209">
        <f>_xlfn.XLOOKUP(E209,K:K,L:L)</f>
        <v>5</v>
      </c>
    </row>
    <row r="210" spans="1:8" x14ac:dyDescent="0.3">
      <c r="A210" t="s">
        <v>6</v>
      </c>
      <c r="B210">
        <v>20549673491</v>
      </c>
      <c r="C210" t="s">
        <v>23</v>
      </c>
      <c r="D210" t="s">
        <v>24</v>
      </c>
      <c r="E210" s="1">
        <v>45914</v>
      </c>
      <c r="F210">
        <v>390.4</v>
      </c>
      <c r="G210" t="s">
        <v>1436</v>
      </c>
      <c r="H210">
        <f>_xlfn.XLOOKUP(E210,K:K,L:L)</f>
        <v>5</v>
      </c>
    </row>
    <row r="211" spans="1:8" x14ac:dyDescent="0.3">
      <c r="A211" t="s">
        <v>93</v>
      </c>
      <c r="B211">
        <v>20603338481</v>
      </c>
      <c r="C211" t="s">
        <v>327</v>
      </c>
      <c r="D211" t="s">
        <v>328</v>
      </c>
      <c r="E211" s="1">
        <v>45914</v>
      </c>
      <c r="F211">
        <v>221.82</v>
      </c>
      <c r="G211" t="s">
        <v>1436</v>
      </c>
      <c r="H211">
        <f>_xlfn.XLOOKUP(E211,K:K,L:L)</f>
        <v>5</v>
      </c>
    </row>
    <row r="212" spans="1:8" x14ac:dyDescent="0.3">
      <c r="A212" t="s">
        <v>92</v>
      </c>
      <c r="B212">
        <v>10293974875</v>
      </c>
      <c r="C212" t="s">
        <v>329</v>
      </c>
      <c r="D212" t="s">
        <v>206</v>
      </c>
      <c r="E212" s="1">
        <v>45915</v>
      </c>
      <c r="F212">
        <v>661.53</v>
      </c>
      <c r="G212" t="s">
        <v>1436</v>
      </c>
      <c r="H212">
        <f>_xlfn.XLOOKUP(E212,K:K,L:L)</f>
        <v>6</v>
      </c>
    </row>
    <row r="213" spans="1:8" x14ac:dyDescent="0.3">
      <c r="A213" t="s">
        <v>92</v>
      </c>
      <c r="B213">
        <v>20517418545</v>
      </c>
      <c r="C213" t="s">
        <v>330</v>
      </c>
      <c r="D213" t="s">
        <v>27</v>
      </c>
      <c r="E213" s="1">
        <v>45915</v>
      </c>
      <c r="F213">
        <v>229.61</v>
      </c>
      <c r="G213" t="s">
        <v>1436</v>
      </c>
      <c r="H213">
        <f>_xlfn.XLOOKUP(E213,K:K,L:L)</f>
        <v>6</v>
      </c>
    </row>
    <row r="214" spans="1:8" x14ac:dyDescent="0.3">
      <c r="A214" t="s">
        <v>92</v>
      </c>
      <c r="B214">
        <v>20524079586</v>
      </c>
      <c r="C214" t="s">
        <v>331</v>
      </c>
      <c r="D214" t="s">
        <v>7</v>
      </c>
      <c r="E214" s="1">
        <v>45915</v>
      </c>
      <c r="F214">
        <v>278.07</v>
      </c>
      <c r="G214" t="s">
        <v>1436</v>
      </c>
      <c r="H214">
        <f>_xlfn.XLOOKUP(E214,K:K,L:L)</f>
        <v>6</v>
      </c>
    </row>
    <row r="215" spans="1:8" x14ac:dyDescent="0.3">
      <c r="A215" t="s">
        <v>92</v>
      </c>
      <c r="B215">
        <v>20543398790</v>
      </c>
      <c r="C215" t="s">
        <v>332</v>
      </c>
      <c r="D215" t="s">
        <v>27</v>
      </c>
      <c r="E215" s="1">
        <v>45915</v>
      </c>
      <c r="F215">
        <v>693.11</v>
      </c>
      <c r="G215" t="s">
        <v>1436</v>
      </c>
      <c r="H215">
        <f>_xlfn.XLOOKUP(E215,K:K,L:L)</f>
        <v>6</v>
      </c>
    </row>
    <row r="216" spans="1:8" x14ac:dyDescent="0.3">
      <c r="A216" t="s">
        <v>92</v>
      </c>
      <c r="B216">
        <v>20549204075</v>
      </c>
      <c r="C216" t="s">
        <v>333</v>
      </c>
      <c r="D216" t="s">
        <v>27</v>
      </c>
      <c r="E216" s="1">
        <v>45915</v>
      </c>
      <c r="F216">
        <v>1582.29</v>
      </c>
      <c r="G216" t="s">
        <v>1436</v>
      </c>
      <c r="H216">
        <f>_xlfn.XLOOKUP(E216,K:K,L:L)</f>
        <v>6</v>
      </c>
    </row>
    <row r="217" spans="1:8" x14ac:dyDescent="0.3">
      <c r="A217" t="s">
        <v>92</v>
      </c>
      <c r="B217">
        <v>20559311198</v>
      </c>
      <c r="C217" t="s">
        <v>334</v>
      </c>
      <c r="D217" t="s">
        <v>7</v>
      </c>
      <c r="E217" s="1">
        <v>45915</v>
      </c>
      <c r="F217">
        <v>148.16999999999999</v>
      </c>
      <c r="G217" t="s">
        <v>1436</v>
      </c>
      <c r="H217">
        <f>_xlfn.XLOOKUP(E217,K:K,L:L)</f>
        <v>6</v>
      </c>
    </row>
    <row r="218" spans="1:8" x14ac:dyDescent="0.3">
      <c r="A218" t="s">
        <v>92</v>
      </c>
      <c r="B218">
        <v>20603902425</v>
      </c>
      <c r="C218" t="s">
        <v>335</v>
      </c>
      <c r="D218" t="s">
        <v>54</v>
      </c>
      <c r="E218" s="1">
        <v>45915</v>
      </c>
      <c r="F218">
        <v>393.4</v>
      </c>
      <c r="G218" t="s">
        <v>1436</v>
      </c>
      <c r="H218">
        <f>_xlfn.XLOOKUP(E218,K:K,L:L)</f>
        <v>6</v>
      </c>
    </row>
    <row r="219" spans="1:8" x14ac:dyDescent="0.3">
      <c r="A219" t="s">
        <v>92</v>
      </c>
      <c r="B219">
        <v>20604810575</v>
      </c>
      <c r="C219" t="s">
        <v>336</v>
      </c>
      <c r="D219" t="s">
        <v>27</v>
      </c>
      <c r="E219" s="1">
        <v>45915</v>
      </c>
      <c r="F219">
        <v>287.19</v>
      </c>
      <c r="G219" t="s">
        <v>1436</v>
      </c>
      <c r="H219">
        <f>_xlfn.XLOOKUP(E219,K:K,L:L)</f>
        <v>6</v>
      </c>
    </row>
    <row r="220" spans="1:8" x14ac:dyDescent="0.3">
      <c r="A220" t="s">
        <v>92</v>
      </c>
      <c r="B220">
        <v>20605441077</v>
      </c>
      <c r="C220" t="s">
        <v>337</v>
      </c>
      <c r="D220" t="s">
        <v>7</v>
      </c>
      <c r="E220" s="1">
        <v>45915</v>
      </c>
      <c r="F220">
        <v>244.48</v>
      </c>
      <c r="G220" t="s">
        <v>1436</v>
      </c>
      <c r="H220">
        <f>_xlfn.XLOOKUP(E220,K:K,L:L)</f>
        <v>6</v>
      </c>
    </row>
    <row r="221" spans="1:8" x14ac:dyDescent="0.3">
      <c r="A221" t="s">
        <v>92</v>
      </c>
      <c r="B221">
        <v>20605947728</v>
      </c>
      <c r="C221" t="s">
        <v>338</v>
      </c>
      <c r="D221" t="s">
        <v>27</v>
      </c>
      <c r="E221" s="1">
        <v>45915</v>
      </c>
      <c r="F221">
        <v>261.07</v>
      </c>
      <c r="G221" t="s">
        <v>1436</v>
      </c>
      <c r="H221">
        <f>_xlfn.XLOOKUP(E221,K:K,L:L)</f>
        <v>6</v>
      </c>
    </row>
    <row r="222" spans="1:8" x14ac:dyDescent="0.3">
      <c r="A222" t="s">
        <v>92</v>
      </c>
      <c r="B222">
        <v>20608740288</v>
      </c>
      <c r="C222" t="s">
        <v>339</v>
      </c>
      <c r="D222" t="s">
        <v>206</v>
      </c>
      <c r="E222" s="1">
        <v>45915</v>
      </c>
      <c r="F222">
        <v>581.82999999999993</v>
      </c>
      <c r="G222" t="s">
        <v>1436</v>
      </c>
      <c r="H222">
        <f>_xlfn.XLOOKUP(E222,K:K,L:L)</f>
        <v>6</v>
      </c>
    </row>
    <row r="223" spans="1:8" x14ac:dyDescent="0.3">
      <c r="A223" t="s">
        <v>92</v>
      </c>
      <c r="B223">
        <v>20609715007</v>
      </c>
      <c r="C223" t="s">
        <v>340</v>
      </c>
      <c r="D223" t="s">
        <v>27</v>
      </c>
      <c r="E223" s="1">
        <v>45915</v>
      </c>
      <c r="F223">
        <v>261.07</v>
      </c>
      <c r="G223" t="s">
        <v>1436</v>
      </c>
      <c r="H223">
        <f>_xlfn.XLOOKUP(E223,K:K,L:L)</f>
        <v>6</v>
      </c>
    </row>
    <row r="224" spans="1:8" x14ac:dyDescent="0.3">
      <c r="A224" t="s">
        <v>92</v>
      </c>
      <c r="B224">
        <v>20611262966</v>
      </c>
      <c r="C224" t="s">
        <v>341</v>
      </c>
      <c r="D224" t="s">
        <v>138</v>
      </c>
      <c r="E224" s="1">
        <v>45915</v>
      </c>
      <c r="F224">
        <v>699.43000000000006</v>
      </c>
      <c r="G224" t="s">
        <v>1436</v>
      </c>
      <c r="H224">
        <f>_xlfn.XLOOKUP(E224,K:K,L:L)</f>
        <v>6</v>
      </c>
    </row>
    <row r="225" spans="1:8" x14ac:dyDescent="0.3">
      <c r="A225" t="s">
        <v>92</v>
      </c>
      <c r="B225">
        <v>20610234101</v>
      </c>
      <c r="C225" t="s">
        <v>342</v>
      </c>
      <c r="D225" t="s">
        <v>265</v>
      </c>
      <c r="E225" s="1">
        <v>45915</v>
      </c>
      <c r="F225">
        <v>4435.6499999999996</v>
      </c>
      <c r="G225" t="s">
        <v>1436</v>
      </c>
      <c r="H225">
        <f>_xlfn.XLOOKUP(E225,K:K,L:L)</f>
        <v>6</v>
      </c>
    </row>
    <row r="226" spans="1:8" x14ac:dyDescent="0.3">
      <c r="A226" t="s">
        <v>92</v>
      </c>
      <c r="B226">
        <v>10072623873</v>
      </c>
      <c r="C226" t="s">
        <v>343</v>
      </c>
      <c r="D226" t="s">
        <v>162</v>
      </c>
      <c r="E226" s="1">
        <v>45915</v>
      </c>
      <c r="F226">
        <v>262.71000000000004</v>
      </c>
      <c r="G226" t="s">
        <v>1436</v>
      </c>
      <c r="H226">
        <f>_xlfn.XLOOKUP(E226,K:K,L:L)</f>
        <v>6</v>
      </c>
    </row>
    <row r="227" spans="1:8" x14ac:dyDescent="0.3">
      <c r="A227" t="s">
        <v>92</v>
      </c>
      <c r="B227">
        <v>10418892612</v>
      </c>
      <c r="C227" t="s">
        <v>344</v>
      </c>
      <c r="D227" t="s">
        <v>162</v>
      </c>
      <c r="E227" s="1">
        <v>45915</v>
      </c>
      <c r="F227">
        <v>128.01</v>
      </c>
      <c r="G227" t="s">
        <v>1436</v>
      </c>
      <c r="H227">
        <f>_xlfn.XLOOKUP(E227,K:K,L:L)</f>
        <v>6</v>
      </c>
    </row>
    <row r="228" spans="1:8" x14ac:dyDescent="0.3">
      <c r="A228" t="s">
        <v>6</v>
      </c>
      <c r="B228">
        <v>10336768735</v>
      </c>
      <c r="C228" t="s">
        <v>25</v>
      </c>
      <c r="D228" t="s">
        <v>7</v>
      </c>
      <c r="E228" s="1">
        <v>45915</v>
      </c>
      <c r="F228">
        <v>129.88999999999999</v>
      </c>
      <c r="G228" t="s">
        <v>1436</v>
      </c>
      <c r="H228">
        <f>_xlfn.XLOOKUP(E228,K:K,L:L)</f>
        <v>6</v>
      </c>
    </row>
    <row r="229" spans="1:8" x14ac:dyDescent="0.3">
      <c r="A229" t="s">
        <v>93</v>
      </c>
      <c r="B229">
        <v>20551703712</v>
      </c>
      <c r="C229" t="s">
        <v>84</v>
      </c>
      <c r="D229" t="s">
        <v>345</v>
      </c>
      <c r="E229" s="1">
        <v>45915</v>
      </c>
      <c r="F229">
        <v>362.58000000000004</v>
      </c>
      <c r="G229" t="s">
        <v>1436</v>
      </c>
      <c r="H229">
        <f>_xlfn.XLOOKUP(E229,K:K,L:L)</f>
        <v>6</v>
      </c>
    </row>
    <row r="230" spans="1:8" x14ac:dyDescent="0.3">
      <c r="A230" t="s">
        <v>93</v>
      </c>
      <c r="B230">
        <v>20204156060</v>
      </c>
      <c r="C230" t="s">
        <v>346</v>
      </c>
      <c r="D230" t="s">
        <v>347</v>
      </c>
      <c r="E230" s="1">
        <v>45915</v>
      </c>
      <c r="F230">
        <v>1388.59</v>
      </c>
      <c r="G230" t="s">
        <v>1436</v>
      </c>
      <c r="H230">
        <f>_xlfn.XLOOKUP(E230,K:K,L:L)</f>
        <v>6</v>
      </c>
    </row>
    <row r="231" spans="1:8" x14ac:dyDescent="0.3">
      <c r="A231" t="s">
        <v>92</v>
      </c>
      <c r="B231">
        <v>10292472477</v>
      </c>
      <c r="C231" t="s">
        <v>348</v>
      </c>
      <c r="D231" t="s">
        <v>7</v>
      </c>
      <c r="E231" s="1">
        <v>45916</v>
      </c>
      <c r="F231">
        <v>278.34000000000003</v>
      </c>
      <c r="G231" t="s">
        <v>1436</v>
      </c>
      <c r="H231">
        <f>_xlfn.XLOOKUP(E231,K:K,L:L)</f>
        <v>7</v>
      </c>
    </row>
    <row r="232" spans="1:8" x14ac:dyDescent="0.3">
      <c r="A232" t="s">
        <v>92</v>
      </c>
      <c r="B232">
        <v>10462120031</v>
      </c>
      <c r="C232" t="s">
        <v>349</v>
      </c>
      <c r="D232" t="s">
        <v>7</v>
      </c>
      <c r="E232" s="1">
        <v>45916</v>
      </c>
      <c r="F232">
        <v>148.32</v>
      </c>
      <c r="G232" t="s">
        <v>1436</v>
      </c>
      <c r="H232">
        <f>_xlfn.XLOOKUP(E232,K:K,L:L)</f>
        <v>7</v>
      </c>
    </row>
    <row r="233" spans="1:8" x14ac:dyDescent="0.3">
      <c r="A233" t="s">
        <v>92</v>
      </c>
      <c r="B233">
        <v>20480594143</v>
      </c>
      <c r="C233" t="s">
        <v>350</v>
      </c>
      <c r="D233" t="s">
        <v>7</v>
      </c>
      <c r="E233" s="1">
        <v>45916</v>
      </c>
      <c r="F233">
        <v>148.32</v>
      </c>
      <c r="G233" t="s">
        <v>1436</v>
      </c>
      <c r="H233">
        <f>_xlfn.XLOOKUP(E233,K:K,L:L)</f>
        <v>7</v>
      </c>
    </row>
    <row r="234" spans="1:8" x14ac:dyDescent="0.3">
      <c r="A234" t="s">
        <v>92</v>
      </c>
      <c r="B234">
        <v>20522135764</v>
      </c>
      <c r="C234" t="s">
        <v>351</v>
      </c>
      <c r="D234" t="s">
        <v>7</v>
      </c>
      <c r="E234" s="1">
        <v>45916</v>
      </c>
      <c r="F234">
        <v>211.72</v>
      </c>
      <c r="G234" t="s">
        <v>1436</v>
      </c>
      <c r="H234">
        <f>_xlfn.XLOOKUP(E234,K:K,L:L)</f>
        <v>7</v>
      </c>
    </row>
    <row r="235" spans="1:8" x14ac:dyDescent="0.3">
      <c r="A235" t="s">
        <v>92</v>
      </c>
      <c r="B235">
        <v>20529442956</v>
      </c>
      <c r="C235" t="s">
        <v>352</v>
      </c>
      <c r="D235" t="s">
        <v>7</v>
      </c>
      <c r="E235" s="1">
        <v>45916</v>
      </c>
      <c r="F235">
        <v>225.34</v>
      </c>
      <c r="G235" t="s">
        <v>1436</v>
      </c>
      <c r="H235">
        <f>_xlfn.XLOOKUP(E235,K:K,L:L)</f>
        <v>7</v>
      </c>
    </row>
    <row r="236" spans="1:8" x14ac:dyDescent="0.3">
      <c r="A236" t="s">
        <v>92</v>
      </c>
      <c r="B236">
        <v>20556395820</v>
      </c>
      <c r="C236" t="s">
        <v>353</v>
      </c>
      <c r="D236" t="s">
        <v>7</v>
      </c>
      <c r="E236" s="1">
        <v>45916</v>
      </c>
      <c r="F236">
        <v>3145.4</v>
      </c>
      <c r="G236" t="s">
        <v>1436</v>
      </c>
      <c r="H236">
        <f>_xlfn.XLOOKUP(E236,K:K,L:L)</f>
        <v>7</v>
      </c>
    </row>
    <row r="237" spans="1:8" x14ac:dyDescent="0.3">
      <c r="A237" t="s">
        <v>92</v>
      </c>
      <c r="B237">
        <v>20600054717</v>
      </c>
      <c r="C237" t="s">
        <v>354</v>
      </c>
      <c r="D237" t="s">
        <v>7</v>
      </c>
      <c r="E237" s="1">
        <v>45916</v>
      </c>
      <c r="F237">
        <v>3073.4500000000003</v>
      </c>
      <c r="G237" t="s">
        <v>1436</v>
      </c>
      <c r="H237">
        <f>_xlfn.XLOOKUP(E237,K:K,L:L)</f>
        <v>7</v>
      </c>
    </row>
    <row r="238" spans="1:8" x14ac:dyDescent="0.3">
      <c r="A238" t="s">
        <v>92</v>
      </c>
      <c r="B238">
        <v>20600472233</v>
      </c>
      <c r="C238" t="s">
        <v>355</v>
      </c>
      <c r="D238" t="s">
        <v>7</v>
      </c>
      <c r="E238" s="1">
        <v>45916</v>
      </c>
      <c r="F238">
        <v>1290.8499999999999</v>
      </c>
      <c r="G238" t="s">
        <v>1436</v>
      </c>
      <c r="H238">
        <f>_xlfn.XLOOKUP(E238,K:K,L:L)</f>
        <v>7</v>
      </c>
    </row>
    <row r="239" spans="1:8" x14ac:dyDescent="0.3">
      <c r="A239" t="s">
        <v>92</v>
      </c>
      <c r="B239">
        <v>20601238676</v>
      </c>
      <c r="C239" t="s">
        <v>356</v>
      </c>
      <c r="D239" t="s">
        <v>54</v>
      </c>
      <c r="E239" s="1">
        <v>45916</v>
      </c>
      <c r="F239">
        <v>433.03000000000009</v>
      </c>
      <c r="G239" t="s">
        <v>1436</v>
      </c>
      <c r="H239">
        <f>_xlfn.XLOOKUP(E239,K:K,L:L)</f>
        <v>7</v>
      </c>
    </row>
    <row r="240" spans="1:8" x14ac:dyDescent="0.3">
      <c r="A240" t="s">
        <v>92</v>
      </c>
      <c r="B240">
        <v>20601886392</v>
      </c>
      <c r="C240" t="s">
        <v>357</v>
      </c>
      <c r="D240" t="s">
        <v>7</v>
      </c>
      <c r="E240" s="1">
        <v>45916</v>
      </c>
      <c r="F240">
        <v>148.32</v>
      </c>
      <c r="G240" t="s">
        <v>1436</v>
      </c>
      <c r="H240">
        <f>_xlfn.XLOOKUP(E240,K:K,L:L)</f>
        <v>7</v>
      </c>
    </row>
    <row r="241" spans="1:8" x14ac:dyDescent="0.3">
      <c r="A241" t="s">
        <v>92</v>
      </c>
      <c r="B241">
        <v>20602659683</v>
      </c>
      <c r="C241" t="s">
        <v>358</v>
      </c>
      <c r="D241" t="s">
        <v>54</v>
      </c>
      <c r="E241" s="1">
        <v>45916</v>
      </c>
      <c r="F241">
        <v>617.18000000000006</v>
      </c>
      <c r="G241" t="s">
        <v>1436</v>
      </c>
      <c r="H241">
        <f>_xlfn.XLOOKUP(E241,K:K,L:L)</f>
        <v>7</v>
      </c>
    </row>
    <row r="242" spans="1:8" x14ac:dyDescent="0.3">
      <c r="A242" t="s">
        <v>92</v>
      </c>
      <c r="B242">
        <v>20602867065</v>
      </c>
      <c r="C242" t="s">
        <v>359</v>
      </c>
      <c r="D242" t="s">
        <v>360</v>
      </c>
      <c r="E242" s="1">
        <v>45916</v>
      </c>
      <c r="F242">
        <v>1072.81</v>
      </c>
      <c r="G242" t="s">
        <v>1436</v>
      </c>
      <c r="H242">
        <f>_xlfn.XLOOKUP(E242,K:K,L:L)</f>
        <v>7</v>
      </c>
    </row>
    <row r="243" spans="1:8" x14ac:dyDescent="0.3">
      <c r="A243" t="s">
        <v>92</v>
      </c>
      <c r="B243">
        <v>20605270817</v>
      </c>
      <c r="C243" t="s">
        <v>361</v>
      </c>
      <c r="D243" t="s">
        <v>27</v>
      </c>
      <c r="E243" s="1">
        <v>45916</v>
      </c>
      <c r="F243">
        <v>261.21000000000004</v>
      </c>
      <c r="G243" t="s">
        <v>1436</v>
      </c>
      <c r="H243">
        <f>_xlfn.XLOOKUP(E243,K:K,L:L)</f>
        <v>7</v>
      </c>
    </row>
    <row r="244" spans="1:8" x14ac:dyDescent="0.3">
      <c r="A244" t="s">
        <v>92</v>
      </c>
      <c r="B244">
        <v>20605352091</v>
      </c>
      <c r="C244" t="s">
        <v>362</v>
      </c>
      <c r="D244" t="s">
        <v>54</v>
      </c>
      <c r="E244" s="1">
        <v>45916</v>
      </c>
      <c r="F244">
        <v>393.67000000000007</v>
      </c>
      <c r="G244" t="s">
        <v>1436</v>
      </c>
      <c r="H244">
        <f>_xlfn.XLOOKUP(E244,K:K,L:L)</f>
        <v>7</v>
      </c>
    </row>
    <row r="245" spans="1:8" x14ac:dyDescent="0.3">
      <c r="A245" t="s">
        <v>92</v>
      </c>
      <c r="B245">
        <v>20605809414</v>
      </c>
      <c r="C245" t="s">
        <v>363</v>
      </c>
      <c r="D245" t="s">
        <v>7</v>
      </c>
      <c r="E245" s="1">
        <v>45916</v>
      </c>
      <c r="F245">
        <v>170.47</v>
      </c>
      <c r="G245" t="s">
        <v>1436</v>
      </c>
      <c r="H245">
        <f>_xlfn.XLOOKUP(E245,K:K,L:L)</f>
        <v>7</v>
      </c>
    </row>
    <row r="246" spans="1:8" x14ac:dyDescent="0.3">
      <c r="A246" t="s">
        <v>92</v>
      </c>
      <c r="B246">
        <v>20609389533</v>
      </c>
      <c r="C246" t="s">
        <v>364</v>
      </c>
      <c r="D246" t="s">
        <v>27</v>
      </c>
      <c r="E246" s="1">
        <v>45916</v>
      </c>
      <c r="F246">
        <v>277.39</v>
      </c>
      <c r="G246" t="s">
        <v>1436</v>
      </c>
      <c r="H246">
        <f>_xlfn.XLOOKUP(E246,K:K,L:L)</f>
        <v>7</v>
      </c>
    </row>
    <row r="247" spans="1:8" x14ac:dyDescent="0.3">
      <c r="A247" t="s">
        <v>92</v>
      </c>
      <c r="B247">
        <v>20611423251</v>
      </c>
      <c r="C247" t="s">
        <v>365</v>
      </c>
      <c r="D247" t="s">
        <v>27</v>
      </c>
      <c r="E247" s="1">
        <v>45916</v>
      </c>
      <c r="F247">
        <v>261.21000000000004</v>
      </c>
      <c r="G247" t="s">
        <v>1436</v>
      </c>
      <c r="H247">
        <f>_xlfn.XLOOKUP(E247,K:K,L:L)</f>
        <v>7</v>
      </c>
    </row>
    <row r="248" spans="1:8" x14ac:dyDescent="0.3">
      <c r="A248" t="s">
        <v>92</v>
      </c>
      <c r="B248">
        <v>20542731851</v>
      </c>
      <c r="C248" t="s">
        <v>366</v>
      </c>
      <c r="D248" t="s">
        <v>114</v>
      </c>
      <c r="E248" s="1">
        <v>45916</v>
      </c>
      <c r="F248">
        <v>263.64</v>
      </c>
      <c r="G248" t="s">
        <v>1436</v>
      </c>
      <c r="H248">
        <f>_xlfn.XLOOKUP(E248,K:K,L:L)</f>
        <v>7</v>
      </c>
    </row>
    <row r="249" spans="1:8" x14ac:dyDescent="0.3">
      <c r="A249" t="s">
        <v>92</v>
      </c>
      <c r="B249">
        <v>20609308746</v>
      </c>
      <c r="C249" t="s">
        <v>367</v>
      </c>
      <c r="D249" t="s">
        <v>65</v>
      </c>
      <c r="E249" s="1">
        <v>45916</v>
      </c>
      <c r="F249">
        <v>164.61</v>
      </c>
      <c r="G249" t="s">
        <v>1436</v>
      </c>
      <c r="H249">
        <f>_xlfn.XLOOKUP(E249,K:K,L:L)</f>
        <v>7</v>
      </c>
    </row>
    <row r="250" spans="1:8" x14ac:dyDescent="0.3">
      <c r="A250" t="s">
        <v>92</v>
      </c>
      <c r="B250">
        <v>20600625692</v>
      </c>
      <c r="C250" t="s">
        <v>368</v>
      </c>
      <c r="D250" t="s">
        <v>58</v>
      </c>
      <c r="E250" s="1">
        <v>45916</v>
      </c>
      <c r="F250">
        <v>533.06999999999994</v>
      </c>
      <c r="G250" t="s">
        <v>1436</v>
      </c>
      <c r="H250">
        <f>_xlfn.XLOOKUP(E250,K:K,L:L)</f>
        <v>7</v>
      </c>
    </row>
    <row r="251" spans="1:8" x14ac:dyDescent="0.3">
      <c r="A251" t="s">
        <v>92</v>
      </c>
      <c r="B251">
        <v>20608676725</v>
      </c>
      <c r="C251" t="s">
        <v>369</v>
      </c>
      <c r="D251" t="s">
        <v>162</v>
      </c>
      <c r="E251" s="1">
        <v>45916</v>
      </c>
      <c r="F251">
        <v>1102.9099999999999</v>
      </c>
      <c r="G251" t="s">
        <v>1436</v>
      </c>
      <c r="H251">
        <f>_xlfn.XLOOKUP(E251,K:K,L:L)</f>
        <v>7</v>
      </c>
    </row>
    <row r="252" spans="1:8" x14ac:dyDescent="0.3">
      <c r="A252" t="s">
        <v>6</v>
      </c>
      <c r="B252">
        <v>20560188324</v>
      </c>
      <c r="C252" t="s">
        <v>26</v>
      </c>
      <c r="D252" t="s">
        <v>27</v>
      </c>
      <c r="E252" s="1">
        <v>45916</v>
      </c>
      <c r="F252">
        <v>560.33000000000004</v>
      </c>
      <c r="G252" t="s">
        <v>1436</v>
      </c>
      <c r="H252">
        <f>_xlfn.XLOOKUP(E252,K:K,L:L)</f>
        <v>7</v>
      </c>
    </row>
    <row r="253" spans="1:8" x14ac:dyDescent="0.3">
      <c r="A253" t="s">
        <v>6</v>
      </c>
      <c r="B253">
        <v>20606970928</v>
      </c>
      <c r="C253" t="s">
        <v>28</v>
      </c>
      <c r="D253" t="s">
        <v>7</v>
      </c>
      <c r="E253" s="1">
        <v>45916</v>
      </c>
      <c r="F253">
        <v>138.07999999999998</v>
      </c>
      <c r="G253" t="s">
        <v>1436</v>
      </c>
      <c r="H253">
        <f>_xlfn.XLOOKUP(E253,K:K,L:L)</f>
        <v>7</v>
      </c>
    </row>
    <row r="254" spans="1:8" x14ac:dyDescent="0.3">
      <c r="A254" t="s">
        <v>93</v>
      </c>
      <c r="B254">
        <v>10071815426</v>
      </c>
      <c r="C254" t="s">
        <v>35</v>
      </c>
      <c r="D254" t="s">
        <v>316</v>
      </c>
      <c r="E254" s="1">
        <v>45916</v>
      </c>
      <c r="F254">
        <v>338.1</v>
      </c>
      <c r="G254" t="s">
        <v>1436</v>
      </c>
      <c r="H254">
        <f>_xlfn.XLOOKUP(E254,K:K,L:L)</f>
        <v>7</v>
      </c>
    </row>
    <row r="255" spans="1:8" x14ac:dyDescent="0.3">
      <c r="A255" t="s">
        <v>93</v>
      </c>
      <c r="B255">
        <v>20510520212</v>
      </c>
      <c r="C255" t="s">
        <v>370</v>
      </c>
      <c r="D255" t="s">
        <v>371</v>
      </c>
      <c r="E255" s="1">
        <v>45916</v>
      </c>
      <c r="F255">
        <v>1013.88</v>
      </c>
      <c r="G255" t="s">
        <v>1436</v>
      </c>
      <c r="H255">
        <f>_xlfn.XLOOKUP(E255,K:K,L:L)</f>
        <v>7</v>
      </c>
    </row>
    <row r="256" spans="1:8" x14ac:dyDescent="0.3">
      <c r="A256" t="s">
        <v>93</v>
      </c>
      <c r="B256">
        <v>20111857467</v>
      </c>
      <c r="C256" t="s">
        <v>372</v>
      </c>
      <c r="D256" t="s">
        <v>373</v>
      </c>
      <c r="E256" s="1">
        <v>45916</v>
      </c>
      <c r="F256">
        <v>1272.45</v>
      </c>
      <c r="G256" t="s">
        <v>1436</v>
      </c>
      <c r="H256">
        <f>_xlfn.XLOOKUP(E256,K:K,L:L)</f>
        <v>7</v>
      </c>
    </row>
    <row r="257" spans="1:8" x14ac:dyDescent="0.3">
      <c r="A257" t="s">
        <v>92</v>
      </c>
      <c r="B257">
        <v>10026192400</v>
      </c>
      <c r="C257" t="s">
        <v>374</v>
      </c>
      <c r="D257" t="s">
        <v>7</v>
      </c>
      <c r="E257" s="1">
        <v>45917</v>
      </c>
      <c r="F257">
        <v>389.61</v>
      </c>
      <c r="G257" t="s">
        <v>1436</v>
      </c>
      <c r="H257">
        <f>_xlfn.XLOOKUP(E257,K:K,L:L)</f>
        <v>8</v>
      </c>
    </row>
    <row r="258" spans="1:8" x14ac:dyDescent="0.3">
      <c r="A258" t="s">
        <v>92</v>
      </c>
      <c r="B258">
        <v>10192313045</v>
      </c>
      <c r="C258" t="s">
        <v>375</v>
      </c>
      <c r="D258" t="s">
        <v>27</v>
      </c>
      <c r="E258" s="1">
        <v>45917</v>
      </c>
      <c r="F258">
        <v>229.85</v>
      </c>
      <c r="G258" t="s">
        <v>1436</v>
      </c>
      <c r="H258">
        <f>_xlfn.XLOOKUP(E258,K:K,L:L)</f>
        <v>8</v>
      </c>
    </row>
    <row r="259" spans="1:8" x14ac:dyDescent="0.3">
      <c r="A259" t="s">
        <v>92</v>
      </c>
      <c r="B259">
        <v>10406333707</v>
      </c>
      <c r="C259" t="s">
        <v>376</v>
      </c>
      <c r="D259" t="s">
        <v>27</v>
      </c>
      <c r="E259" s="1">
        <v>45917</v>
      </c>
      <c r="F259">
        <v>261.34000000000003</v>
      </c>
      <c r="G259" t="s">
        <v>1436</v>
      </c>
      <c r="H259">
        <f>_xlfn.XLOOKUP(E259,K:K,L:L)</f>
        <v>8</v>
      </c>
    </row>
    <row r="260" spans="1:8" x14ac:dyDescent="0.3">
      <c r="A260" t="s">
        <v>92</v>
      </c>
      <c r="B260">
        <v>10471707851</v>
      </c>
      <c r="C260" t="s">
        <v>377</v>
      </c>
      <c r="D260" t="s">
        <v>7</v>
      </c>
      <c r="E260" s="1">
        <v>45917</v>
      </c>
      <c r="F260">
        <v>796.13</v>
      </c>
      <c r="G260" t="s">
        <v>1436</v>
      </c>
      <c r="H260">
        <f>_xlfn.XLOOKUP(E260,K:K,L:L)</f>
        <v>8</v>
      </c>
    </row>
    <row r="261" spans="1:8" x14ac:dyDescent="0.3">
      <c r="A261" t="s">
        <v>92</v>
      </c>
      <c r="B261">
        <v>10802563308</v>
      </c>
      <c r="C261" t="s">
        <v>378</v>
      </c>
      <c r="D261" t="s">
        <v>27</v>
      </c>
      <c r="E261" s="1">
        <v>45917</v>
      </c>
      <c r="F261">
        <v>261.34000000000003</v>
      </c>
      <c r="G261" t="s">
        <v>1436</v>
      </c>
      <c r="H261">
        <f>_xlfn.XLOOKUP(E261,K:K,L:L)</f>
        <v>8</v>
      </c>
    </row>
    <row r="262" spans="1:8" x14ac:dyDescent="0.3">
      <c r="A262" t="s">
        <v>92</v>
      </c>
      <c r="B262">
        <v>10804722179</v>
      </c>
      <c r="C262" t="s">
        <v>379</v>
      </c>
      <c r="D262" t="s">
        <v>206</v>
      </c>
      <c r="E262" s="1">
        <v>45917</v>
      </c>
      <c r="F262">
        <v>1477.85</v>
      </c>
      <c r="G262" t="s">
        <v>1436</v>
      </c>
      <c r="H262">
        <f>_xlfn.XLOOKUP(E262,K:K,L:L)</f>
        <v>8</v>
      </c>
    </row>
    <row r="263" spans="1:8" x14ac:dyDescent="0.3">
      <c r="A263" t="s">
        <v>92</v>
      </c>
      <c r="B263">
        <v>20343493984</v>
      </c>
      <c r="C263" t="s">
        <v>380</v>
      </c>
      <c r="D263" t="s">
        <v>7</v>
      </c>
      <c r="E263" s="1">
        <v>45917</v>
      </c>
      <c r="F263">
        <v>210.01</v>
      </c>
      <c r="G263" t="s">
        <v>1436</v>
      </c>
      <c r="H263">
        <f>_xlfn.XLOOKUP(E263,K:K,L:L)</f>
        <v>8</v>
      </c>
    </row>
    <row r="264" spans="1:8" x14ac:dyDescent="0.3">
      <c r="A264" t="s">
        <v>92</v>
      </c>
      <c r="B264">
        <v>20452624487</v>
      </c>
      <c r="C264" t="s">
        <v>381</v>
      </c>
      <c r="D264" t="s">
        <v>27</v>
      </c>
      <c r="E264" s="1">
        <v>45917</v>
      </c>
      <c r="F264">
        <v>161.87</v>
      </c>
      <c r="G264" t="s">
        <v>1436</v>
      </c>
      <c r="H264">
        <f>_xlfn.XLOOKUP(E264,K:K,L:L)</f>
        <v>8</v>
      </c>
    </row>
    <row r="265" spans="1:8" x14ac:dyDescent="0.3">
      <c r="A265" t="s">
        <v>92</v>
      </c>
      <c r="B265">
        <v>20509607657</v>
      </c>
      <c r="C265" t="s">
        <v>382</v>
      </c>
      <c r="D265" t="s">
        <v>7</v>
      </c>
      <c r="E265" s="1">
        <v>45917</v>
      </c>
      <c r="F265">
        <v>249.39</v>
      </c>
      <c r="G265" t="s">
        <v>1436</v>
      </c>
      <c r="H265">
        <f>_xlfn.XLOOKUP(E265,K:K,L:L)</f>
        <v>8</v>
      </c>
    </row>
    <row r="266" spans="1:8" x14ac:dyDescent="0.3">
      <c r="A266" t="s">
        <v>92</v>
      </c>
      <c r="B266">
        <v>20520774352</v>
      </c>
      <c r="C266" t="s">
        <v>383</v>
      </c>
      <c r="D266" t="s">
        <v>27</v>
      </c>
      <c r="E266" s="1">
        <v>45917</v>
      </c>
      <c r="F266">
        <v>261.34000000000003</v>
      </c>
      <c r="G266" t="s">
        <v>1436</v>
      </c>
      <c r="H266">
        <f>_xlfn.XLOOKUP(E266,K:K,L:L)</f>
        <v>8</v>
      </c>
    </row>
    <row r="267" spans="1:8" x14ac:dyDescent="0.3">
      <c r="A267" t="s">
        <v>92</v>
      </c>
      <c r="B267">
        <v>20545373441</v>
      </c>
      <c r="C267" t="s">
        <v>384</v>
      </c>
      <c r="D267" t="s">
        <v>7</v>
      </c>
      <c r="E267" s="1">
        <v>45917</v>
      </c>
      <c r="F267">
        <v>132.66</v>
      </c>
      <c r="G267" t="s">
        <v>1436</v>
      </c>
      <c r="H267">
        <f>_xlfn.XLOOKUP(E267,K:K,L:L)</f>
        <v>8</v>
      </c>
    </row>
    <row r="268" spans="1:8" x14ac:dyDescent="0.3">
      <c r="A268" t="s">
        <v>92</v>
      </c>
      <c r="B268">
        <v>20600230108</v>
      </c>
      <c r="C268" t="s">
        <v>385</v>
      </c>
      <c r="D268" t="s">
        <v>27</v>
      </c>
      <c r="E268" s="1">
        <v>45917</v>
      </c>
      <c r="F268">
        <v>325.82</v>
      </c>
      <c r="G268" t="s">
        <v>1436</v>
      </c>
      <c r="H268">
        <f>_xlfn.XLOOKUP(E268,K:K,L:L)</f>
        <v>8</v>
      </c>
    </row>
    <row r="269" spans="1:8" x14ac:dyDescent="0.3">
      <c r="A269" t="s">
        <v>92</v>
      </c>
      <c r="B269">
        <v>20602293930</v>
      </c>
      <c r="C269" t="s">
        <v>386</v>
      </c>
      <c r="D269" t="s">
        <v>7</v>
      </c>
      <c r="E269" s="1">
        <v>45917</v>
      </c>
      <c r="F269">
        <v>366.28999999999996</v>
      </c>
      <c r="G269" t="s">
        <v>1436</v>
      </c>
      <c r="H269">
        <f>_xlfn.XLOOKUP(E269,K:K,L:L)</f>
        <v>8</v>
      </c>
    </row>
    <row r="270" spans="1:8" x14ac:dyDescent="0.3">
      <c r="A270" t="s">
        <v>92</v>
      </c>
      <c r="B270">
        <v>20602443885</v>
      </c>
      <c r="C270" t="s">
        <v>387</v>
      </c>
      <c r="D270" t="s">
        <v>7</v>
      </c>
      <c r="E270" s="1">
        <v>45917</v>
      </c>
      <c r="F270">
        <v>148.32</v>
      </c>
      <c r="G270" t="s">
        <v>1436</v>
      </c>
      <c r="H270">
        <f>_xlfn.XLOOKUP(E270,K:K,L:L)</f>
        <v>8</v>
      </c>
    </row>
    <row r="271" spans="1:8" x14ac:dyDescent="0.3">
      <c r="A271" t="s">
        <v>92</v>
      </c>
      <c r="B271">
        <v>20602782264</v>
      </c>
      <c r="C271" t="s">
        <v>388</v>
      </c>
      <c r="D271" t="s">
        <v>42</v>
      </c>
      <c r="E271" s="1">
        <v>45917</v>
      </c>
      <c r="F271">
        <v>776.92999999999984</v>
      </c>
      <c r="G271" t="s">
        <v>1436</v>
      </c>
      <c r="H271">
        <f>_xlfn.XLOOKUP(E271,K:K,L:L)</f>
        <v>8</v>
      </c>
    </row>
    <row r="272" spans="1:8" x14ac:dyDescent="0.3">
      <c r="A272" t="s">
        <v>92</v>
      </c>
      <c r="B272">
        <v>20606820501</v>
      </c>
      <c r="C272" t="s">
        <v>389</v>
      </c>
      <c r="D272" t="s">
        <v>27</v>
      </c>
      <c r="E272" s="1">
        <v>45917</v>
      </c>
      <c r="F272">
        <v>288.23</v>
      </c>
      <c r="G272" t="s">
        <v>1436</v>
      </c>
      <c r="H272">
        <f>_xlfn.XLOOKUP(E272,K:K,L:L)</f>
        <v>8</v>
      </c>
    </row>
    <row r="273" spans="1:8" x14ac:dyDescent="0.3">
      <c r="A273" t="s">
        <v>92</v>
      </c>
      <c r="B273">
        <v>20607944840</v>
      </c>
      <c r="C273" t="s">
        <v>390</v>
      </c>
      <c r="D273" t="s">
        <v>391</v>
      </c>
      <c r="E273" s="1">
        <v>45917</v>
      </c>
      <c r="F273">
        <v>608.25</v>
      </c>
      <c r="G273" t="s">
        <v>1436</v>
      </c>
      <c r="H273">
        <f>_xlfn.XLOOKUP(E273,K:K,L:L)</f>
        <v>8</v>
      </c>
    </row>
    <row r="274" spans="1:8" x14ac:dyDescent="0.3">
      <c r="A274" t="s">
        <v>92</v>
      </c>
      <c r="B274">
        <v>20607980251</v>
      </c>
      <c r="C274" t="s">
        <v>392</v>
      </c>
      <c r="D274" t="s">
        <v>27</v>
      </c>
      <c r="E274" s="1">
        <v>45917</v>
      </c>
      <c r="F274">
        <v>458.30000000000007</v>
      </c>
      <c r="G274" t="s">
        <v>1436</v>
      </c>
      <c r="H274">
        <f>_xlfn.XLOOKUP(E274,K:K,L:L)</f>
        <v>8</v>
      </c>
    </row>
    <row r="275" spans="1:8" x14ac:dyDescent="0.3">
      <c r="A275" t="s">
        <v>92</v>
      </c>
      <c r="B275">
        <v>20608060686</v>
      </c>
      <c r="C275" t="s">
        <v>393</v>
      </c>
      <c r="D275" t="s">
        <v>7</v>
      </c>
      <c r="E275" s="1">
        <v>45917</v>
      </c>
      <c r="F275">
        <v>209.42000000000002</v>
      </c>
      <c r="G275" t="s">
        <v>1436</v>
      </c>
      <c r="H275">
        <f>_xlfn.XLOOKUP(E275,K:K,L:L)</f>
        <v>8</v>
      </c>
    </row>
    <row r="276" spans="1:8" x14ac:dyDescent="0.3">
      <c r="A276" t="s">
        <v>92</v>
      </c>
      <c r="B276">
        <v>20608727338</v>
      </c>
      <c r="C276" t="s">
        <v>394</v>
      </c>
      <c r="D276" t="s">
        <v>27</v>
      </c>
      <c r="E276" s="1">
        <v>45917</v>
      </c>
      <c r="F276">
        <v>346.90000000000003</v>
      </c>
      <c r="G276" t="s">
        <v>1436</v>
      </c>
      <c r="H276">
        <f>_xlfn.XLOOKUP(E276,K:K,L:L)</f>
        <v>8</v>
      </c>
    </row>
    <row r="277" spans="1:8" x14ac:dyDescent="0.3">
      <c r="A277" t="s">
        <v>92</v>
      </c>
      <c r="B277">
        <v>20608844415</v>
      </c>
      <c r="C277" t="s">
        <v>395</v>
      </c>
      <c r="D277" t="s">
        <v>27</v>
      </c>
      <c r="E277" s="1">
        <v>45917</v>
      </c>
      <c r="F277">
        <v>793.78</v>
      </c>
      <c r="G277" t="s">
        <v>1436</v>
      </c>
      <c r="H277">
        <f>_xlfn.XLOOKUP(E277,K:K,L:L)</f>
        <v>8</v>
      </c>
    </row>
    <row r="278" spans="1:8" x14ac:dyDescent="0.3">
      <c r="A278" t="s">
        <v>92</v>
      </c>
      <c r="B278">
        <v>20611853077</v>
      </c>
      <c r="C278" t="s">
        <v>396</v>
      </c>
      <c r="D278" t="s">
        <v>7</v>
      </c>
      <c r="E278" s="1">
        <v>45917</v>
      </c>
      <c r="F278">
        <v>143.02000000000001</v>
      </c>
      <c r="G278" t="s">
        <v>1436</v>
      </c>
      <c r="H278">
        <f>_xlfn.XLOOKUP(E278,K:K,L:L)</f>
        <v>8</v>
      </c>
    </row>
    <row r="279" spans="1:8" x14ac:dyDescent="0.3">
      <c r="A279" t="s">
        <v>92</v>
      </c>
      <c r="B279">
        <v>20612451410</v>
      </c>
      <c r="C279" t="s">
        <v>397</v>
      </c>
      <c r="D279" t="s">
        <v>7</v>
      </c>
      <c r="E279" s="1">
        <v>45917</v>
      </c>
      <c r="F279">
        <v>148.32</v>
      </c>
      <c r="G279" t="s">
        <v>1436</v>
      </c>
      <c r="H279">
        <f>_xlfn.XLOOKUP(E279,K:K,L:L)</f>
        <v>8</v>
      </c>
    </row>
    <row r="280" spans="1:8" x14ac:dyDescent="0.3">
      <c r="A280" t="s">
        <v>92</v>
      </c>
      <c r="B280">
        <v>10011467852</v>
      </c>
      <c r="C280" t="s">
        <v>398</v>
      </c>
      <c r="D280" t="s">
        <v>65</v>
      </c>
      <c r="E280" s="1">
        <v>45917</v>
      </c>
      <c r="F280">
        <v>149.79</v>
      </c>
      <c r="G280" t="s">
        <v>1436</v>
      </c>
      <c r="H280">
        <f>_xlfn.XLOOKUP(E280,K:K,L:L)</f>
        <v>8</v>
      </c>
    </row>
    <row r="281" spans="1:8" x14ac:dyDescent="0.3">
      <c r="A281" t="s">
        <v>92</v>
      </c>
      <c r="B281">
        <v>20334314732</v>
      </c>
      <c r="C281" t="s">
        <v>399</v>
      </c>
      <c r="D281" t="s">
        <v>261</v>
      </c>
      <c r="E281" s="1">
        <v>45917</v>
      </c>
      <c r="F281">
        <v>393.91999999999996</v>
      </c>
      <c r="G281" t="s">
        <v>1436</v>
      </c>
      <c r="H281">
        <f>_xlfn.XLOOKUP(E281,K:K,L:L)</f>
        <v>8</v>
      </c>
    </row>
    <row r="282" spans="1:8" x14ac:dyDescent="0.3">
      <c r="A282" t="s">
        <v>92</v>
      </c>
      <c r="B282">
        <v>20533210385</v>
      </c>
      <c r="C282" t="s">
        <v>400</v>
      </c>
      <c r="D282" t="s">
        <v>401</v>
      </c>
      <c r="E282" s="1">
        <v>45917</v>
      </c>
      <c r="F282">
        <v>1805.68</v>
      </c>
      <c r="G282" t="s">
        <v>1436</v>
      </c>
      <c r="H282">
        <f>_xlfn.XLOOKUP(E282,K:K,L:L)</f>
        <v>8</v>
      </c>
    </row>
    <row r="283" spans="1:8" x14ac:dyDescent="0.3">
      <c r="A283" t="s">
        <v>92</v>
      </c>
      <c r="B283">
        <v>20603283512</v>
      </c>
      <c r="C283" t="s">
        <v>402</v>
      </c>
      <c r="D283" t="s">
        <v>16</v>
      </c>
      <c r="E283" s="1">
        <v>45917</v>
      </c>
      <c r="F283">
        <v>4196.92</v>
      </c>
      <c r="G283" t="s">
        <v>1436</v>
      </c>
      <c r="H283">
        <f>_xlfn.XLOOKUP(E283,K:K,L:L)</f>
        <v>8</v>
      </c>
    </row>
    <row r="284" spans="1:8" x14ac:dyDescent="0.3">
      <c r="A284" t="s">
        <v>92</v>
      </c>
      <c r="B284">
        <v>20606309806</v>
      </c>
      <c r="C284" t="s">
        <v>403</v>
      </c>
      <c r="D284" t="s">
        <v>65</v>
      </c>
      <c r="E284" s="1">
        <v>45917</v>
      </c>
      <c r="F284">
        <v>2000.37</v>
      </c>
      <c r="G284" t="s">
        <v>1436</v>
      </c>
      <c r="H284">
        <f>_xlfn.XLOOKUP(E284,K:K,L:L)</f>
        <v>8</v>
      </c>
    </row>
    <row r="285" spans="1:8" x14ac:dyDescent="0.3">
      <c r="A285" t="s">
        <v>92</v>
      </c>
      <c r="B285">
        <v>20610806873</v>
      </c>
      <c r="C285" t="s">
        <v>404</v>
      </c>
      <c r="D285" t="s">
        <v>405</v>
      </c>
      <c r="E285" s="1">
        <v>45917</v>
      </c>
      <c r="F285">
        <v>798.24999999999989</v>
      </c>
      <c r="G285" t="s">
        <v>1436</v>
      </c>
      <c r="H285">
        <f>_xlfn.XLOOKUP(E285,K:K,L:L)</f>
        <v>8</v>
      </c>
    </row>
    <row r="286" spans="1:8" x14ac:dyDescent="0.3">
      <c r="A286" t="s">
        <v>92</v>
      </c>
      <c r="B286">
        <v>20605735585</v>
      </c>
      <c r="C286" t="s">
        <v>406</v>
      </c>
      <c r="D286" t="s">
        <v>12</v>
      </c>
      <c r="E286" s="1">
        <v>45917</v>
      </c>
      <c r="F286">
        <v>500.25</v>
      </c>
      <c r="G286" t="s">
        <v>1436</v>
      </c>
      <c r="H286">
        <f>_xlfn.XLOOKUP(E286,K:K,L:L)</f>
        <v>8</v>
      </c>
    </row>
    <row r="287" spans="1:8" x14ac:dyDescent="0.3">
      <c r="A287" t="s">
        <v>92</v>
      </c>
      <c r="B287">
        <v>20513790393</v>
      </c>
      <c r="C287" t="s">
        <v>407</v>
      </c>
      <c r="D287" t="s">
        <v>269</v>
      </c>
      <c r="E287" s="1">
        <v>45917</v>
      </c>
      <c r="F287">
        <v>790.79000000000008</v>
      </c>
      <c r="G287" t="s">
        <v>1436</v>
      </c>
      <c r="H287">
        <f>_xlfn.XLOOKUP(E287,K:K,L:L)</f>
        <v>8</v>
      </c>
    </row>
    <row r="288" spans="1:8" x14ac:dyDescent="0.3">
      <c r="A288" t="s">
        <v>92</v>
      </c>
      <c r="B288">
        <v>20609530589</v>
      </c>
      <c r="C288" t="s">
        <v>408</v>
      </c>
      <c r="D288" t="s">
        <v>169</v>
      </c>
      <c r="E288" s="1">
        <v>45917</v>
      </c>
      <c r="F288">
        <v>270.71000000000004</v>
      </c>
      <c r="G288" t="s">
        <v>1436</v>
      </c>
      <c r="H288">
        <f>_xlfn.XLOOKUP(E288,K:K,L:L)</f>
        <v>8</v>
      </c>
    </row>
    <row r="289" spans="1:8" x14ac:dyDescent="0.3">
      <c r="A289" t="s">
        <v>92</v>
      </c>
      <c r="B289">
        <v>20611193891</v>
      </c>
      <c r="C289" t="s">
        <v>409</v>
      </c>
      <c r="D289" t="s">
        <v>313</v>
      </c>
      <c r="E289" s="1">
        <v>45917</v>
      </c>
      <c r="F289">
        <v>268.39999999999998</v>
      </c>
      <c r="G289" t="s">
        <v>1436</v>
      </c>
      <c r="H289">
        <f>_xlfn.XLOOKUP(E289,K:K,L:L)</f>
        <v>8</v>
      </c>
    </row>
    <row r="290" spans="1:8" x14ac:dyDescent="0.3">
      <c r="A290" t="s">
        <v>92</v>
      </c>
      <c r="B290">
        <v>20509889610</v>
      </c>
      <c r="C290" t="s">
        <v>410</v>
      </c>
      <c r="D290" t="s">
        <v>175</v>
      </c>
      <c r="E290" s="1">
        <v>45917</v>
      </c>
      <c r="F290">
        <v>155.06</v>
      </c>
      <c r="G290" t="s">
        <v>1436</v>
      </c>
      <c r="H290">
        <f>_xlfn.XLOOKUP(E290,K:K,L:L)</f>
        <v>8</v>
      </c>
    </row>
    <row r="291" spans="1:8" x14ac:dyDescent="0.3">
      <c r="A291" t="s">
        <v>6</v>
      </c>
      <c r="B291">
        <v>10329385553</v>
      </c>
      <c r="C291" t="s">
        <v>29</v>
      </c>
      <c r="D291" t="s">
        <v>7</v>
      </c>
      <c r="E291" s="1">
        <v>45917</v>
      </c>
      <c r="F291">
        <v>172.60000000000002</v>
      </c>
      <c r="G291" t="s">
        <v>1436</v>
      </c>
      <c r="H291">
        <f>_xlfn.XLOOKUP(E291,K:K,L:L)</f>
        <v>8</v>
      </c>
    </row>
    <row r="292" spans="1:8" x14ac:dyDescent="0.3">
      <c r="A292" t="s">
        <v>6</v>
      </c>
      <c r="B292">
        <v>10454288683</v>
      </c>
      <c r="C292" t="s">
        <v>30</v>
      </c>
      <c r="D292" t="s">
        <v>27</v>
      </c>
      <c r="E292" s="1">
        <v>45917</v>
      </c>
      <c r="F292">
        <v>298.11</v>
      </c>
      <c r="G292" t="s">
        <v>1436</v>
      </c>
      <c r="H292">
        <f>_xlfn.XLOOKUP(E292,K:K,L:L)</f>
        <v>8</v>
      </c>
    </row>
    <row r="293" spans="1:8" x14ac:dyDescent="0.3">
      <c r="A293" t="s">
        <v>6</v>
      </c>
      <c r="B293">
        <v>20481784132</v>
      </c>
      <c r="C293" t="s">
        <v>31</v>
      </c>
      <c r="D293" t="s">
        <v>7</v>
      </c>
      <c r="E293" s="1">
        <v>45917</v>
      </c>
      <c r="F293">
        <v>148.32</v>
      </c>
      <c r="G293" t="s">
        <v>1436</v>
      </c>
      <c r="H293">
        <f>_xlfn.XLOOKUP(E293,K:K,L:L)</f>
        <v>8</v>
      </c>
    </row>
    <row r="294" spans="1:8" x14ac:dyDescent="0.3">
      <c r="A294" t="s">
        <v>6</v>
      </c>
      <c r="B294">
        <v>20609228173</v>
      </c>
      <c r="C294" t="s">
        <v>32</v>
      </c>
      <c r="D294" t="s">
        <v>7</v>
      </c>
      <c r="E294" s="1">
        <v>45917</v>
      </c>
      <c r="F294">
        <v>148.32</v>
      </c>
      <c r="G294" t="s">
        <v>1436</v>
      </c>
      <c r="H294">
        <f>_xlfn.XLOOKUP(E294,K:K,L:L)</f>
        <v>8</v>
      </c>
    </row>
    <row r="295" spans="1:8" x14ac:dyDescent="0.3">
      <c r="A295" t="s">
        <v>6</v>
      </c>
      <c r="B295">
        <v>20611609311</v>
      </c>
      <c r="C295" t="s">
        <v>33</v>
      </c>
      <c r="D295" t="s">
        <v>7</v>
      </c>
      <c r="E295" s="1">
        <v>45917</v>
      </c>
      <c r="F295">
        <v>149.41999999999999</v>
      </c>
      <c r="G295" t="s">
        <v>1436</v>
      </c>
      <c r="H295">
        <f>_xlfn.XLOOKUP(E295,K:K,L:L)</f>
        <v>8</v>
      </c>
    </row>
    <row r="296" spans="1:8" x14ac:dyDescent="0.3">
      <c r="A296" t="s">
        <v>6</v>
      </c>
      <c r="B296">
        <v>20613865609</v>
      </c>
      <c r="C296" t="s">
        <v>34</v>
      </c>
      <c r="D296" t="s">
        <v>7</v>
      </c>
      <c r="E296" s="1">
        <v>45917</v>
      </c>
      <c r="F296">
        <v>230.13</v>
      </c>
      <c r="G296" t="s">
        <v>1436</v>
      </c>
      <c r="H296">
        <f>_xlfn.XLOOKUP(E296,K:K,L:L)</f>
        <v>8</v>
      </c>
    </row>
    <row r="297" spans="1:8" x14ac:dyDescent="0.3">
      <c r="A297" t="s">
        <v>6</v>
      </c>
      <c r="B297">
        <v>10071815426</v>
      </c>
      <c r="C297" t="s">
        <v>35</v>
      </c>
      <c r="D297" t="s">
        <v>36</v>
      </c>
      <c r="E297" s="1">
        <v>45917</v>
      </c>
      <c r="F297">
        <v>820.56999999999994</v>
      </c>
      <c r="G297" t="s">
        <v>1436</v>
      </c>
      <c r="H297">
        <f>_xlfn.XLOOKUP(E297,K:K,L:L)</f>
        <v>8</v>
      </c>
    </row>
    <row r="298" spans="1:8" x14ac:dyDescent="0.3">
      <c r="A298" t="s">
        <v>6</v>
      </c>
      <c r="B298">
        <v>20609754894</v>
      </c>
      <c r="C298" t="s">
        <v>37</v>
      </c>
      <c r="D298" t="s">
        <v>38</v>
      </c>
      <c r="E298" s="1">
        <v>45917</v>
      </c>
      <c r="F298">
        <v>451.03999999999996</v>
      </c>
      <c r="G298" t="s">
        <v>1436</v>
      </c>
      <c r="H298">
        <f>_xlfn.XLOOKUP(E298,K:K,L:L)</f>
        <v>8</v>
      </c>
    </row>
    <row r="299" spans="1:8" x14ac:dyDescent="0.3">
      <c r="A299" t="s">
        <v>93</v>
      </c>
      <c r="B299">
        <v>20602710280</v>
      </c>
      <c r="C299" t="s">
        <v>411</v>
      </c>
      <c r="D299" t="s">
        <v>412</v>
      </c>
      <c r="E299" s="1">
        <v>45917</v>
      </c>
      <c r="F299">
        <v>1075.2</v>
      </c>
      <c r="G299" t="s">
        <v>1436</v>
      </c>
      <c r="H299">
        <f>_xlfn.XLOOKUP(E299,K:K,L:L)</f>
        <v>8</v>
      </c>
    </row>
    <row r="300" spans="1:8" x14ac:dyDescent="0.3">
      <c r="A300" t="s">
        <v>93</v>
      </c>
      <c r="B300">
        <v>20526450851</v>
      </c>
      <c r="C300" t="s">
        <v>413</v>
      </c>
      <c r="D300" t="s">
        <v>414</v>
      </c>
      <c r="E300" s="1">
        <v>45917</v>
      </c>
      <c r="F300">
        <v>313.48</v>
      </c>
      <c r="G300" t="s">
        <v>1436</v>
      </c>
      <c r="H300">
        <f>_xlfn.XLOOKUP(E300,K:K,L:L)</f>
        <v>8</v>
      </c>
    </row>
    <row r="301" spans="1:8" x14ac:dyDescent="0.3">
      <c r="A301" t="s">
        <v>93</v>
      </c>
      <c r="B301">
        <v>20100002206</v>
      </c>
      <c r="C301" t="s">
        <v>415</v>
      </c>
      <c r="D301" t="s">
        <v>416</v>
      </c>
      <c r="E301" s="1">
        <v>45917</v>
      </c>
      <c r="F301">
        <v>877.31999999999994</v>
      </c>
      <c r="G301" t="s">
        <v>1436</v>
      </c>
      <c r="H301">
        <f>_xlfn.XLOOKUP(E301,K:K,L:L)</f>
        <v>8</v>
      </c>
    </row>
    <row r="302" spans="1:8" x14ac:dyDescent="0.3">
      <c r="A302" t="s">
        <v>92</v>
      </c>
      <c r="B302">
        <v>10079521863</v>
      </c>
      <c r="C302" t="s">
        <v>417</v>
      </c>
      <c r="D302" t="s">
        <v>7</v>
      </c>
      <c r="E302" s="1">
        <v>45918</v>
      </c>
      <c r="F302">
        <v>148.32</v>
      </c>
      <c r="G302" t="s">
        <v>1436</v>
      </c>
      <c r="H302">
        <f>_xlfn.XLOOKUP(E302,K:K,L:L)</f>
        <v>9</v>
      </c>
    </row>
    <row r="303" spans="1:8" x14ac:dyDescent="0.3">
      <c r="A303" t="s">
        <v>92</v>
      </c>
      <c r="B303">
        <v>10266846695</v>
      </c>
      <c r="C303" t="s">
        <v>418</v>
      </c>
      <c r="D303" t="s">
        <v>7</v>
      </c>
      <c r="E303" s="1">
        <v>45918</v>
      </c>
      <c r="F303">
        <v>211.72</v>
      </c>
      <c r="G303" t="s">
        <v>1436</v>
      </c>
      <c r="H303">
        <f>_xlfn.XLOOKUP(E303,K:K,L:L)</f>
        <v>9</v>
      </c>
    </row>
    <row r="304" spans="1:8" x14ac:dyDescent="0.3">
      <c r="A304" t="s">
        <v>92</v>
      </c>
      <c r="B304">
        <v>10414641488</v>
      </c>
      <c r="C304" t="s">
        <v>419</v>
      </c>
      <c r="D304" t="s">
        <v>7</v>
      </c>
      <c r="E304" s="1">
        <v>45918</v>
      </c>
      <c r="F304">
        <v>148.32</v>
      </c>
      <c r="G304" t="s">
        <v>1436</v>
      </c>
      <c r="H304">
        <f>_xlfn.XLOOKUP(E304,K:K,L:L)</f>
        <v>9</v>
      </c>
    </row>
    <row r="305" spans="1:8" x14ac:dyDescent="0.3">
      <c r="A305" t="s">
        <v>92</v>
      </c>
      <c r="B305">
        <v>10730370259</v>
      </c>
      <c r="C305" t="s">
        <v>420</v>
      </c>
      <c r="D305" t="s">
        <v>27</v>
      </c>
      <c r="E305" s="1">
        <v>45918</v>
      </c>
      <c r="F305">
        <v>130.66000000000003</v>
      </c>
      <c r="G305" t="s">
        <v>1436</v>
      </c>
      <c r="H305">
        <f>_xlfn.XLOOKUP(E305,K:K,L:L)</f>
        <v>9</v>
      </c>
    </row>
    <row r="306" spans="1:8" x14ac:dyDescent="0.3">
      <c r="A306" t="s">
        <v>92</v>
      </c>
      <c r="B306">
        <v>10766626934</v>
      </c>
      <c r="C306" t="s">
        <v>421</v>
      </c>
      <c r="D306" t="s">
        <v>27</v>
      </c>
      <c r="E306" s="1">
        <v>45918</v>
      </c>
      <c r="F306">
        <v>261.34000000000003</v>
      </c>
      <c r="G306" t="s">
        <v>1436</v>
      </c>
      <c r="H306">
        <f>_xlfn.XLOOKUP(E306,K:K,L:L)</f>
        <v>9</v>
      </c>
    </row>
    <row r="307" spans="1:8" x14ac:dyDescent="0.3">
      <c r="A307" t="s">
        <v>92</v>
      </c>
      <c r="B307">
        <v>20481923949</v>
      </c>
      <c r="C307" t="s">
        <v>422</v>
      </c>
      <c r="D307" t="s">
        <v>7</v>
      </c>
      <c r="E307" s="1">
        <v>45918</v>
      </c>
      <c r="F307">
        <v>148.32</v>
      </c>
      <c r="G307" t="s">
        <v>1436</v>
      </c>
      <c r="H307">
        <f>_xlfn.XLOOKUP(E307,K:K,L:L)</f>
        <v>9</v>
      </c>
    </row>
    <row r="308" spans="1:8" x14ac:dyDescent="0.3">
      <c r="A308" t="s">
        <v>92</v>
      </c>
      <c r="B308">
        <v>20530945201</v>
      </c>
      <c r="C308" t="s">
        <v>423</v>
      </c>
      <c r="D308" t="s">
        <v>7</v>
      </c>
      <c r="E308" s="1">
        <v>45918</v>
      </c>
      <c r="F308">
        <v>148.32</v>
      </c>
      <c r="G308" t="s">
        <v>1436</v>
      </c>
      <c r="H308">
        <f>_xlfn.XLOOKUP(E308,K:K,L:L)</f>
        <v>9</v>
      </c>
    </row>
    <row r="309" spans="1:8" x14ac:dyDescent="0.3">
      <c r="A309" t="s">
        <v>92</v>
      </c>
      <c r="B309">
        <v>20559954943</v>
      </c>
      <c r="C309" t="s">
        <v>424</v>
      </c>
      <c r="D309" t="s">
        <v>7</v>
      </c>
      <c r="E309" s="1">
        <v>45918</v>
      </c>
      <c r="F309">
        <v>148.32</v>
      </c>
      <c r="G309" t="s">
        <v>1436</v>
      </c>
      <c r="H309">
        <f>_xlfn.XLOOKUP(E309,K:K,L:L)</f>
        <v>9</v>
      </c>
    </row>
    <row r="310" spans="1:8" x14ac:dyDescent="0.3">
      <c r="A310" t="s">
        <v>92</v>
      </c>
      <c r="B310">
        <v>20602445047</v>
      </c>
      <c r="C310" t="s">
        <v>425</v>
      </c>
      <c r="D310" t="s">
        <v>7</v>
      </c>
      <c r="E310" s="1">
        <v>45918</v>
      </c>
      <c r="F310">
        <v>118.13</v>
      </c>
      <c r="G310" t="s">
        <v>1436</v>
      </c>
      <c r="H310">
        <f>_xlfn.XLOOKUP(E310,K:K,L:L)</f>
        <v>9</v>
      </c>
    </row>
    <row r="311" spans="1:8" x14ac:dyDescent="0.3">
      <c r="A311" t="s">
        <v>92</v>
      </c>
      <c r="B311">
        <v>20602821090</v>
      </c>
      <c r="C311" t="s">
        <v>426</v>
      </c>
      <c r="D311" t="s">
        <v>27</v>
      </c>
      <c r="E311" s="1">
        <v>45918</v>
      </c>
      <c r="F311">
        <v>261.34000000000003</v>
      </c>
      <c r="G311" t="s">
        <v>1436</v>
      </c>
      <c r="H311">
        <f>_xlfn.XLOOKUP(E311,K:K,L:L)</f>
        <v>9</v>
      </c>
    </row>
    <row r="312" spans="1:8" x14ac:dyDescent="0.3">
      <c r="A312" t="s">
        <v>92</v>
      </c>
      <c r="B312">
        <v>20603252137</v>
      </c>
      <c r="C312" t="s">
        <v>427</v>
      </c>
      <c r="D312" t="s">
        <v>27</v>
      </c>
      <c r="E312" s="1">
        <v>45918</v>
      </c>
      <c r="F312">
        <v>287.45000000000005</v>
      </c>
      <c r="G312" t="s">
        <v>1436</v>
      </c>
      <c r="H312">
        <f>_xlfn.XLOOKUP(E312,K:K,L:L)</f>
        <v>9</v>
      </c>
    </row>
    <row r="313" spans="1:8" x14ac:dyDescent="0.3">
      <c r="A313" t="s">
        <v>92</v>
      </c>
      <c r="B313">
        <v>20604539596</v>
      </c>
      <c r="C313" t="s">
        <v>428</v>
      </c>
      <c r="D313" t="s">
        <v>206</v>
      </c>
      <c r="E313" s="1">
        <v>45918</v>
      </c>
      <c r="F313">
        <v>728.3900000000001</v>
      </c>
      <c r="G313" t="s">
        <v>1436</v>
      </c>
      <c r="H313">
        <f>_xlfn.XLOOKUP(E313,K:K,L:L)</f>
        <v>9</v>
      </c>
    </row>
    <row r="314" spans="1:8" x14ac:dyDescent="0.3">
      <c r="A314" t="s">
        <v>92</v>
      </c>
      <c r="B314">
        <v>20605158693</v>
      </c>
      <c r="C314" t="s">
        <v>429</v>
      </c>
      <c r="D314" t="s">
        <v>430</v>
      </c>
      <c r="E314" s="1">
        <v>45918</v>
      </c>
      <c r="F314">
        <v>1418.97</v>
      </c>
      <c r="G314" t="s">
        <v>1436</v>
      </c>
      <c r="H314">
        <f>_xlfn.XLOOKUP(E314,K:K,L:L)</f>
        <v>9</v>
      </c>
    </row>
    <row r="315" spans="1:8" x14ac:dyDescent="0.3">
      <c r="A315" t="s">
        <v>92</v>
      </c>
      <c r="B315">
        <v>20606007214</v>
      </c>
      <c r="C315" t="s">
        <v>431</v>
      </c>
      <c r="D315" t="s">
        <v>206</v>
      </c>
      <c r="E315" s="1">
        <v>45918</v>
      </c>
      <c r="F315">
        <v>755.37</v>
      </c>
      <c r="G315" t="s">
        <v>1436</v>
      </c>
      <c r="H315">
        <f>_xlfn.XLOOKUP(E315,K:K,L:L)</f>
        <v>9</v>
      </c>
    </row>
    <row r="316" spans="1:8" x14ac:dyDescent="0.3">
      <c r="A316" t="s">
        <v>92</v>
      </c>
      <c r="B316">
        <v>20607434183</v>
      </c>
      <c r="C316" t="s">
        <v>432</v>
      </c>
      <c r="D316" t="s">
        <v>54</v>
      </c>
      <c r="E316" s="1">
        <v>45918</v>
      </c>
      <c r="F316">
        <v>393.80000000000007</v>
      </c>
      <c r="G316" t="s">
        <v>1436</v>
      </c>
      <c r="H316">
        <f>_xlfn.XLOOKUP(E316,K:K,L:L)</f>
        <v>9</v>
      </c>
    </row>
    <row r="317" spans="1:8" x14ac:dyDescent="0.3">
      <c r="A317" t="s">
        <v>92</v>
      </c>
      <c r="B317">
        <v>20610185640</v>
      </c>
      <c r="C317" t="s">
        <v>433</v>
      </c>
      <c r="D317" t="s">
        <v>54</v>
      </c>
      <c r="E317" s="1">
        <v>45918</v>
      </c>
      <c r="F317">
        <v>393.80000000000007</v>
      </c>
      <c r="G317" t="s">
        <v>1436</v>
      </c>
      <c r="H317">
        <f>_xlfn.XLOOKUP(E317,K:K,L:L)</f>
        <v>9</v>
      </c>
    </row>
    <row r="318" spans="1:8" x14ac:dyDescent="0.3">
      <c r="A318" t="s">
        <v>92</v>
      </c>
      <c r="B318">
        <v>20611146125</v>
      </c>
      <c r="C318" t="s">
        <v>434</v>
      </c>
      <c r="D318" t="s">
        <v>27</v>
      </c>
      <c r="E318" s="1">
        <v>45918</v>
      </c>
      <c r="F318">
        <v>647.54</v>
      </c>
      <c r="G318" t="s">
        <v>1436</v>
      </c>
      <c r="H318">
        <f>_xlfn.XLOOKUP(E318,K:K,L:L)</f>
        <v>9</v>
      </c>
    </row>
    <row r="319" spans="1:8" x14ac:dyDescent="0.3">
      <c r="A319" t="s">
        <v>92</v>
      </c>
      <c r="B319">
        <v>20612400017</v>
      </c>
      <c r="C319" t="s">
        <v>435</v>
      </c>
      <c r="D319" t="s">
        <v>27</v>
      </c>
      <c r="E319" s="1">
        <v>45918</v>
      </c>
      <c r="F319">
        <v>578.16</v>
      </c>
      <c r="G319" t="s">
        <v>1436</v>
      </c>
      <c r="H319">
        <f>_xlfn.XLOOKUP(E319,K:K,L:L)</f>
        <v>9</v>
      </c>
    </row>
    <row r="320" spans="1:8" x14ac:dyDescent="0.3">
      <c r="A320" t="s">
        <v>92</v>
      </c>
      <c r="B320">
        <v>20603577788</v>
      </c>
      <c r="C320" t="s">
        <v>436</v>
      </c>
      <c r="D320" t="s">
        <v>16</v>
      </c>
      <c r="E320" s="1">
        <v>45918</v>
      </c>
      <c r="F320">
        <v>242.87</v>
      </c>
      <c r="G320" t="s">
        <v>1436</v>
      </c>
      <c r="H320">
        <f>_xlfn.XLOOKUP(E320,K:K,L:L)</f>
        <v>9</v>
      </c>
    </row>
    <row r="321" spans="1:8" x14ac:dyDescent="0.3">
      <c r="A321" t="s">
        <v>92</v>
      </c>
      <c r="B321">
        <v>20603834462</v>
      </c>
      <c r="C321" t="s">
        <v>437</v>
      </c>
      <c r="D321" t="s">
        <v>16</v>
      </c>
      <c r="E321" s="1">
        <v>45918</v>
      </c>
      <c r="F321">
        <v>780.72</v>
      </c>
      <c r="G321" t="s">
        <v>1436</v>
      </c>
      <c r="H321">
        <f>_xlfn.XLOOKUP(E321,K:K,L:L)</f>
        <v>9</v>
      </c>
    </row>
    <row r="322" spans="1:8" x14ac:dyDescent="0.3">
      <c r="A322" t="s">
        <v>92</v>
      </c>
      <c r="B322">
        <v>20611557541</v>
      </c>
      <c r="C322" t="s">
        <v>438</v>
      </c>
      <c r="D322" t="s">
        <v>162</v>
      </c>
      <c r="E322" s="1">
        <v>45918</v>
      </c>
      <c r="F322">
        <v>132.46</v>
      </c>
      <c r="G322" t="s">
        <v>1436</v>
      </c>
      <c r="H322">
        <f>_xlfn.XLOOKUP(E322,K:K,L:L)</f>
        <v>9</v>
      </c>
    </row>
    <row r="323" spans="1:8" x14ac:dyDescent="0.3">
      <c r="A323" t="s">
        <v>92</v>
      </c>
      <c r="B323">
        <v>10408830228</v>
      </c>
      <c r="C323" t="s">
        <v>439</v>
      </c>
      <c r="D323" t="s">
        <v>119</v>
      </c>
      <c r="E323" s="1">
        <v>45918</v>
      </c>
      <c r="F323">
        <v>134.19999999999999</v>
      </c>
      <c r="G323" t="s">
        <v>1436</v>
      </c>
      <c r="H323">
        <f>_xlfn.XLOOKUP(E323,K:K,L:L)</f>
        <v>9</v>
      </c>
    </row>
    <row r="324" spans="1:8" x14ac:dyDescent="0.3">
      <c r="A324" t="s">
        <v>92</v>
      </c>
      <c r="B324">
        <v>20601537118</v>
      </c>
      <c r="C324" t="s">
        <v>440</v>
      </c>
      <c r="D324" t="s">
        <v>18</v>
      </c>
      <c r="E324" s="1">
        <v>45918</v>
      </c>
      <c r="F324">
        <v>153.67000000000002</v>
      </c>
      <c r="G324" t="s">
        <v>1436</v>
      </c>
      <c r="H324">
        <f>_xlfn.XLOOKUP(E324,K:K,L:L)</f>
        <v>9</v>
      </c>
    </row>
    <row r="325" spans="1:8" x14ac:dyDescent="0.3">
      <c r="A325" t="s">
        <v>6</v>
      </c>
      <c r="B325">
        <v>20510332483</v>
      </c>
      <c r="C325" t="s">
        <v>39</v>
      </c>
      <c r="D325" t="s">
        <v>7</v>
      </c>
      <c r="E325" s="1">
        <v>45918</v>
      </c>
      <c r="F325">
        <v>1939.1200000000001</v>
      </c>
      <c r="G325" t="s">
        <v>1436</v>
      </c>
      <c r="H325">
        <f>_xlfn.XLOOKUP(E325,K:K,L:L)</f>
        <v>9</v>
      </c>
    </row>
    <row r="326" spans="1:8" x14ac:dyDescent="0.3">
      <c r="A326" t="s">
        <v>6</v>
      </c>
      <c r="B326">
        <v>20516138051</v>
      </c>
      <c r="C326" t="s">
        <v>40</v>
      </c>
      <c r="D326" t="s">
        <v>7</v>
      </c>
      <c r="E326" s="1">
        <v>45918</v>
      </c>
      <c r="F326">
        <v>147.99</v>
      </c>
      <c r="G326" t="s">
        <v>1436</v>
      </c>
      <c r="H326">
        <f>_xlfn.XLOOKUP(E326,K:K,L:L)</f>
        <v>9</v>
      </c>
    </row>
    <row r="327" spans="1:8" x14ac:dyDescent="0.3">
      <c r="A327" t="s">
        <v>6</v>
      </c>
      <c r="B327">
        <v>20604725608</v>
      </c>
      <c r="C327" t="s">
        <v>41</v>
      </c>
      <c r="D327" t="s">
        <v>42</v>
      </c>
      <c r="E327" s="1">
        <v>45918</v>
      </c>
      <c r="F327">
        <v>798.26</v>
      </c>
      <c r="G327" t="s">
        <v>1436</v>
      </c>
      <c r="H327">
        <f>_xlfn.XLOOKUP(E327,K:K,L:L)</f>
        <v>9</v>
      </c>
    </row>
    <row r="328" spans="1:8" x14ac:dyDescent="0.3">
      <c r="A328" t="s">
        <v>6</v>
      </c>
      <c r="B328">
        <v>20608353233</v>
      </c>
      <c r="C328" t="s">
        <v>43</v>
      </c>
      <c r="D328" t="s">
        <v>27</v>
      </c>
      <c r="E328" s="1">
        <v>45918</v>
      </c>
      <c r="F328">
        <v>298.11</v>
      </c>
      <c r="G328" t="s">
        <v>1436</v>
      </c>
      <c r="H328">
        <f>_xlfn.XLOOKUP(E328,K:K,L:L)</f>
        <v>9</v>
      </c>
    </row>
    <row r="329" spans="1:8" x14ac:dyDescent="0.3">
      <c r="A329" t="s">
        <v>93</v>
      </c>
      <c r="B329">
        <v>20610483462</v>
      </c>
      <c r="C329" t="s">
        <v>441</v>
      </c>
      <c r="D329" t="s">
        <v>442</v>
      </c>
      <c r="E329" s="1">
        <v>45918</v>
      </c>
      <c r="F329">
        <v>137.80000000000001</v>
      </c>
      <c r="G329" t="s">
        <v>1436</v>
      </c>
      <c r="H329">
        <f>_xlfn.XLOOKUP(E329,K:K,L:L)</f>
        <v>9</v>
      </c>
    </row>
    <row r="330" spans="1:8" x14ac:dyDescent="0.3">
      <c r="A330" t="s">
        <v>93</v>
      </c>
      <c r="B330">
        <v>20491071533</v>
      </c>
      <c r="C330" t="s">
        <v>443</v>
      </c>
      <c r="D330" t="s">
        <v>444</v>
      </c>
      <c r="E330" s="1">
        <v>45918</v>
      </c>
      <c r="F330">
        <v>247.32</v>
      </c>
      <c r="G330" t="s">
        <v>1436</v>
      </c>
      <c r="H330">
        <f>_xlfn.XLOOKUP(E330,K:K,L:L)</f>
        <v>9</v>
      </c>
    </row>
    <row r="331" spans="1:8" x14ac:dyDescent="0.3">
      <c r="A331" t="s">
        <v>93</v>
      </c>
      <c r="B331">
        <v>20565209290</v>
      </c>
      <c r="C331" t="s">
        <v>445</v>
      </c>
      <c r="D331" t="s">
        <v>446</v>
      </c>
      <c r="E331" s="1">
        <v>45918</v>
      </c>
      <c r="F331">
        <v>509.23</v>
      </c>
      <c r="G331" t="s">
        <v>1436</v>
      </c>
      <c r="H331">
        <f>_xlfn.XLOOKUP(E331,K:K,L:L)</f>
        <v>9</v>
      </c>
    </row>
    <row r="332" spans="1:8" x14ac:dyDescent="0.3">
      <c r="A332" t="s">
        <v>93</v>
      </c>
      <c r="B332">
        <v>20481629161</v>
      </c>
      <c r="C332" t="s">
        <v>447</v>
      </c>
      <c r="D332" t="s">
        <v>448</v>
      </c>
      <c r="E332" s="1">
        <v>45918</v>
      </c>
      <c r="F332">
        <v>1914.1100000000001</v>
      </c>
      <c r="G332" t="s">
        <v>1436</v>
      </c>
      <c r="H332">
        <f>_xlfn.XLOOKUP(E332,K:K,L:L)</f>
        <v>9</v>
      </c>
    </row>
    <row r="333" spans="1:8" x14ac:dyDescent="0.3">
      <c r="A333" t="s">
        <v>93</v>
      </c>
      <c r="B333">
        <v>20101333940</v>
      </c>
      <c r="C333" t="s">
        <v>449</v>
      </c>
      <c r="D333" t="s">
        <v>450</v>
      </c>
      <c r="E333" s="1">
        <v>45918</v>
      </c>
      <c r="F333">
        <v>41.7</v>
      </c>
      <c r="G333" t="s">
        <v>1436</v>
      </c>
      <c r="H333">
        <f>_xlfn.XLOOKUP(E333,K:K,L:L)</f>
        <v>9</v>
      </c>
    </row>
    <row r="334" spans="1:8" x14ac:dyDescent="0.3">
      <c r="A334" t="s">
        <v>93</v>
      </c>
      <c r="B334">
        <v>20513540362</v>
      </c>
      <c r="C334" t="s">
        <v>451</v>
      </c>
      <c r="D334" t="s">
        <v>452</v>
      </c>
      <c r="E334" s="1">
        <v>45918</v>
      </c>
      <c r="F334">
        <v>519.55999999999995</v>
      </c>
      <c r="G334" t="s">
        <v>1436</v>
      </c>
      <c r="H334">
        <f>_xlfn.XLOOKUP(E334,K:K,L:L)</f>
        <v>9</v>
      </c>
    </row>
    <row r="335" spans="1:8" x14ac:dyDescent="0.3">
      <c r="A335" t="s">
        <v>92</v>
      </c>
      <c r="B335">
        <v>20518304233</v>
      </c>
      <c r="C335" t="s">
        <v>453</v>
      </c>
      <c r="D335" t="s">
        <v>54</v>
      </c>
      <c r="E335" s="1">
        <v>45919</v>
      </c>
      <c r="F335">
        <v>394.06000000000006</v>
      </c>
      <c r="G335" t="s">
        <v>1436</v>
      </c>
      <c r="H335">
        <f>_xlfn.XLOOKUP(E335,K:K,L:L)</f>
        <v>10</v>
      </c>
    </row>
    <row r="336" spans="1:8" x14ac:dyDescent="0.3">
      <c r="A336" t="s">
        <v>92</v>
      </c>
      <c r="B336">
        <v>20554520678</v>
      </c>
      <c r="C336" t="s">
        <v>454</v>
      </c>
      <c r="D336" t="s">
        <v>138</v>
      </c>
      <c r="E336" s="1">
        <v>45919</v>
      </c>
      <c r="F336">
        <v>693.9</v>
      </c>
      <c r="G336" t="s">
        <v>1436</v>
      </c>
      <c r="H336">
        <f>_xlfn.XLOOKUP(E336,K:K,L:L)</f>
        <v>10</v>
      </c>
    </row>
    <row r="337" spans="1:8" x14ac:dyDescent="0.3">
      <c r="A337" t="s">
        <v>92</v>
      </c>
      <c r="B337">
        <v>20601480345</v>
      </c>
      <c r="C337" t="s">
        <v>455</v>
      </c>
      <c r="D337" t="s">
        <v>7</v>
      </c>
      <c r="E337" s="1">
        <v>45919</v>
      </c>
      <c r="F337">
        <v>389.58</v>
      </c>
      <c r="G337" t="s">
        <v>1436</v>
      </c>
      <c r="H337">
        <f>_xlfn.XLOOKUP(E337,K:K,L:L)</f>
        <v>10</v>
      </c>
    </row>
    <row r="338" spans="1:8" x14ac:dyDescent="0.3">
      <c r="A338" t="s">
        <v>92</v>
      </c>
      <c r="B338">
        <v>20602146902</v>
      </c>
      <c r="C338" t="s">
        <v>456</v>
      </c>
      <c r="D338" t="s">
        <v>54</v>
      </c>
      <c r="E338" s="1">
        <v>45919</v>
      </c>
      <c r="F338">
        <v>394.06000000000006</v>
      </c>
      <c r="G338" t="s">
        <v>1436</v>
      </c>
      <c r="H338">
        <f>_xlfn.XLOOKUP(E338,K:K,L:L)</f>
        <v>10</v>
      </c>
    </row>
    <row r="339" spans="1:8" x14ac:dyDescent="0.3">
      <c r="A339" t="s">
        <v>92</v>
      </c>
      <c r="B339">
        <v>20603213301</v>
      </c>
      <c r="C339" t="s">
        <v>457</v>
      </c>
      <c r="D339" t="s">
        <v>7</v>
      </c>
      <c r="E339" s="1">
        <v>45919</v>
      </c>
      <c r="F339">
        <v>148.47</v>
      </c>
      <c r="G339" t="s">
        <v>1436</v>
      </c>
      <c r="H339">
        <f>_xlfn.XLOOKUP(E339,K:K,L:L)</f>
        <v>10</v>
      </c>
    </row>
    <row r="340" spans="1:8" x14ac:dyDescent="0.3">
      <c r="A340" t="s">
        <v>92</v>
      </c>
      <c r="B340">
        <v>20604758301</v>
      </c>
      <c r="C340" t="s">
        <v>458</v>
      </c>
      <c r="D340" t="s">
        <v>27</v>
      </c>
      <c r="E340" s="1">
        <v>45919</v>
      </c>
      <c r="F340">
        <v>289.24</v>
      </c>
      <c r="G340" t="s">
        <v>1436</v>
      </c>
      <c r="H340">
        <f>_xlfn.XLOOKUP(E340,K:K,L:L)</f>
        <v>10</v>
      </c>
    </row>
    <row r="341" spans="1:8" x14ac:dyDescent="0.3">
      <c r="A341" t="s">
        <v>92</v>
      </c>
      <c r="B341">
        <v>20609136279</v>
      </c>
      <c r="C341" t="s">
        <v>459</v>
      </c>
      <c r="D341" t="s">
        <v>7</v>
      </c>
      <c r="E341" s="1">
        <v>45919</v>
      </c>
      <c r="F341">
        <v>148.47</v>
      </c>
      <c r="G341" t="s">
        <v>1436</v>
      </c>
      <c r="H341">
        <f>_xlfn.XLOOKUP(E341,K:K,L:L)</f>
        <v>10</v>
      </c>
    </row>
    <row r="342" spans="1:8" x14ac:dyDescent="0.3">
      <c r="A342" t="s">
        <v>92</v>
      </c>
      <c r="B342">
        <v>20610209832</v>
      </c>
      <c r="C342" t="s">
        <v>460</v>
      </c>
      <c r="D342" t="s">
        <v>27</v>
      </c>
      <c r="E342" s="1">
        <v>45919</v>
      </c>
      <c r="F342">
        <v>372.36</v>
      </c>
      <c r="G342" t="s">
        <v>1436</v>
      </c>
      <c r="H342">
        <f>_xlfn.XLOOKUP(E342,K:K,L:L)</f>
        <v>10</v>
      </c>
    </row>
    <row r="343" spans="1:8" x14ac:dyDescent="0.3">
      <c r="A343" t="s">
        <v>92</v>
      </c>
      <c r="B343">
        <v>20611285796</v>
      </c>
      <c r="C343" t="s">
        <v>461</v>
      </c>
      <c r="D343" t="s">
        <v>27</v>
      </c>
      <c r="E343" s="1">
        <v>45919</v>
      </c>
      <c r="F343">
        <v>1062.0300000000002</v>
      </c>
      <c r="G343" t="s">
        <v>1436</v>
      </c>
      <c r="H343">
        <f>_xlfn.XLOOKUP(E343,K:K,L:L)</f>
        <v>10</v>
      </c>
    </row>
    <row r="344" spans="1:8" x14ac:dyDescent="0.3">
      <c r="A344" t="s">
        <v>92</v>
      </c>
      <c r="B344">
        <v>20612751367</v>
      </c>
      <c r="C344" t="s">
        <v>462</v>
      </c>
      <c r="D344" t="s">
        <v>27</v>
      </c>
      <c r="E344" s="1">
        <v>45919</v>
      </c>
      <c r="F344">
        <v>270.39</v>
      </c>
      <c r="G344" t="s">
        <v>1436</v>
      </c>
      <c r="H344">
        <f>_xlfn.XLOOKUP(E344,K:K,L:L)</f>
        <v>10</v>
      </c>
    </row>
    <row r="345" spans="1:8" x14ac:dyDescent="0.3">
      <c r="A345" t="s">
        <v>92</v>
      </c>
      <c r="B345">
        <v>20614114399</v>
      </c>
      <c r="C345" t="s">
        <v>463</v>
      </c>
      <c r="D345" t="s">
        <v>54</v>
      </c>
      <c r="E345" s="1">
        <v>45919</v>
      </c>
      <c r="F345">
        <v>394.06000000000006</v>
      </c>
      <c r="G345" t="s">
        <v>1436</v>
      </c>
      <c r="H345">
        <f>_xlfn.XLOOKUP(E345,K:K,L:L)</f>
        <v>10</v>
      </c>
    </row>
    <row r="346" spans="1:8" x14ac:dyDescent="0.3">
      <c r="A346" t="s">
        <v>92</v>
      </c>
      <c r="B346">
        <v>20602059236</v>
      </c>
      <c r="C346" t="s">
        <v>464</v>
      </c>
      <c r="D346" t="s">
        <v>153</v>
      </c>
      <c r="E346" s="1">
        <v>45919</v>
      </c>
      <c r="F346">
        <v>527.66999999999996</v>
      </c>
      <c r="G346" t="s">
        <v>1436</v>
      </c>
      <c r="H346">
        <f>_xlfn.XLOOKUP(E346,K:K,L:L)</f>
        <v>10</v>
      </c>
    </row>
    <row r="347" spans="1:8" x14ac:dyDescent="0.3">
      <c r="A347" t="s">
        <v>92</v>
      </c>
      <c r="B347">
        <v>20602210082</v>
      </c>
      <c r="C347" t="s">
        <v>465</v>
      </c>
      <c r="D347" t="s">
        <v>65</v>
      </c>
      <c r="E347" s="1">
        <v>45919</v>
      </c>
      <c r="F347">
        <v>407.06</v>
      </c>
      <c r="G347" t="s">
        <v>1436</v>
      </c>
      <c r="H347">
        <f>_xlfn.XLOOKUP(E347,K:K,L:L)</f>
        <v>10</v>
      </c>
    </row>
    <row r="348" spans="1:8" x14ac:dyDescent="0.3">
      <c r="A348" t="s">
        <v>92</v>
      </c>
      <c r="B348">
        <v>20515072587</v>
      </c>
      <c r="C348" t="s">
        <v>466</v>
      </c>
      <c r="D348" t="s">
        <v>116</v>
      </c>
      <c r="E348" s="1">
        <v>45919</v>
      </c>
      <c r="F348">
        <v>342.83000000000004</v>
      </c>
      <c r="G348" t="s">
        <v>1436</v>
      </c>
      <c r="H348">
        <f>_xlfn.XLOOKUP(E348,K:K,L:L)</f>
        <v>10</v>
      </c>
    </row>
    <row r="349" spans="1:8" x14ac:dyDescent="0.3">
      <c r="A349" t="s">
        <v>92</v>
      </c>
      <c r="B349">
        <v>20607151688</v>
      </c>
      <c r="C349" t="s">
        <v>467</v>
      </c>
      <c r="D349" t="s">
        <v>468</v>
      </c>
      <c r="E349" s="1">
        <v>45919</v>
      </c>
      <c r="F349">
        <v>536.03</v>
      </c>
      <c r="G349" t="s">
        <v>1436</v>
      </c>
      <c r="H349">
        <f>_xlfn.XLOOKUP(E349,K:K,L:L)</f>
        <v>10</v>
      </c>
    </row>
    <row r="350" spans="1:8" x14ac:dyDescent="0.3">
      <c r="A350" t="s">
        <v>92</v>
      </c>
      <c r="B350">
        <v>20611118750</v>
      </c>
      <c r="C350" t="s">
        <v>469</v>
      </c>
      <c r="D350" t="s">
        <v>116</v>
      </c>
      <c r="E350" s="1">
        <v>45919</v>
      </c>
      <c r="F350">
        <v>266.22000000000003</v>
      </c>
      <c r="G350" t="s">
        <v>1436</v>
      </c>
      <c r="H350">
        <f>_xlfn.XLOOKUP(E350,K:K,L:L)</f>
        <v>10</v>
      </c>
    </row>
    <row r="351" spans="1:8" x14ac:dyDescent="0.3">
      <c r="A351" t="s">
        <v>92</v>
      </c>
      <c r="B351">
        <v>20523759087</v>
      </c>
      <c r="C351" t="s">
        <v>470</v>
      </c>
      <c r="D351" t="s">
        <v>471</v>
      </c>
      <c r="E351" s="1">
        <v>45919</v>
      </c>
      <c r="F351">
        <v>2516.2799999999997</v>
      </c>
      <c r="G351" t="s">
        <v>1436</v>
      </c>
      <c r="H351">
        <f>_xlfn.XLOOKUP(E351,K:K,L:L)</f>
        <v>10</v>
      </c>
    </row>
    <row r="352" spans="1:8" x14ac:dyDescent="0.3">
      <c r="A352" t="s">
        <v>92</v>
      </c>
      <c r="B352">
        <v>20612460575</v>
      </c>
      <c r="C352" t="s">
        <v>472</v>
      </c>
      <c r="D352" t="s">
        <v>473</v>
      </c>
      <c r="E352" s="1">
        <v>45919</v>
      </c>
      <c r="F352">
        <v>63</v>
      </c>
      <c r="G352" t="s">
        <v>1436</v>
      </c>
      <c r="H352">
        <f>_xlfn.XLOOKUP(E352,K:K,L:L)</f>
        <v>10</v>
      </c>
    </row>
    <row r="353" spans="1:8" x14ac:dyDescent="0.3">
      <c r="A353" t="s">
        <v>6</v>
      </c>
      <c r="B353">
        <v>20516024551</v>
      </c>
      <c r="C353" t="s">
        <v>44</v>
      </c>
      <c r="D353" t="s">
        <v>7</v>
      </c>
      <c r="E353" s="1">
        <v>45919</v>
      </c>
      <c r="F353">
        <v>253.39000000000001</v>
      </c>
      <c r="G353" t="s">
        <v>1436</v>
      </c>
      <c r="H353">
        <f>_xlfn.XLOOKUP(E353,K:K,L:L)</f>
        <v>10</v>
      </c>
    </row>
    <row r="354" spans="1:8" x14ac:dyDescent="0.3">
      <c r="A354" t="s">
        <v>6</v>
      </c>
      <c r="B354">
        <v>20603610769</v>
      </c>
      <c r="C354" t="s">
        <v>45</v>
      </c>
      <c r="D354" t="s">
        <v>7</v>
      </c>
      <c r="E354" s="1">
        <v>45919</v>
      </c>
      <c r="F354">
        <v>260.3</v>
      </c>
      <c r="G354" t="s">
        <v>1436</v>
      </c>
      <c r="H354">
        <f>_xlfn.XLOOKUP(E354,K:K,L:L)</f>
        <v>10</v>
      </c>
    </row>
    <row r="355" spans="1:8" x14ac:dyDescent="0.3">
      <c r="A355" t="s">
        <v>6</v>
      </c>
      <c r="B355">
        <v>20498260366</v>
      </c>
      <c r="C355" t="s">
        <v>46</v>
      </c>
      <c r="D355" t="s">
        <v>47</v>
      </c>
      <c r="E355" s="1">
        <v>45919</v>
      </c>
      <c r="F355">
        <v>27302.470000000005</v>
      </c>
      <c r="G355" t="s">
        <v>1436</v>
      </c>
      <c r="H355">
        <f>_xlfn.XLOOKUP(E355,K:K,L:L)</f>
        <v>10</v>
      </c>
    </row>
    <row r="356" spans="1:8" x14ac:dyDescent="0.3">
      <c r="A356" t="s">
        <v>93</v>
      </c>
      <c r="B356">
        <v>20217254125</v>
      </c>
      <c r="C356" t="s">
        <v>82</v>
      </c>
      <c r="D356" t="s">
        <v>276</v>
      </c>
      <c r="E356" s="1">
        <v>45919</v>
      </c>
      <c r="F356">
        <v>2970.65</v>
      </c>
      <c r="G356" t="s">
        <v>1436</v>
      </c>
      <c r="H356">
        <f>_xlfn.XLOOKUP(E356,K:K,L:L)</f>
        <v>10</v>
      </c>
    </row>
    <row r="357" spans="1:8" x14ac:dyDescent="0.3">
      <c r="A357" t="s">
        <v>93</v>
      </c>
      <c r="B357">
        <v>20555177110</v>
      </c>
      <c r="C357" t="s">
        <v>474</v>
      </c>
      <c r="D357" t="s">
        <v>475</v>
      </c>
      <c r="E357" s="1">
        <v>45919</v>
      </c>
      <c r="F357">
        <v>545.03</v>
      </c>
      <c r="G357" t="s">
        <v>1436</v>
      </c>
      <c r="H357">
        <f>_xlfn.XLOOKUP(E357,K:K,L:L)</f>
        <v>10</v>
      </c>
    </row>
    <row r="358" spans="1:8" x14ac:dyDescent="0.3">
      <c r="A358" t="s">
        <v>92</v>
      </c>
      <c r="B358">
        <v>10435515172</v>
      </c>
      <c r="C358" t="s">
        <v>476</v>
      </c>
      <c r="D358" t="s">
        <v>54</v>
      </c>
      <c r="E358" s="1">
        <v>45920</v>
      </c>
      <c r="F358">
        <v>137.1</v>
      </c>
      <c r="G358" t="s">
        <v>1436</v>
      </c>
      <c r="H358">
        <f>_xlfn.XLOOKUP(E358,K:K,L:L)</f>
        <v>10</v>
      </c>
    </row>
    <row r="359" spans="1:8" x14ac:dyDescent="0.3">
      <c r="A359" t="s">
        <v>92</v>
      </c>
      <c r="B359">
        <v>20532083126</v>
      </c>
      <c r="C359" t="s">
        <v>477</v>
      </c>
      <c r="D359" t="s">
        <v>54</v>
      </c>
      <c r="E359" s="1">
        <v>45920</v>
      </c>
      <c r="F359">
        <v>2539.88</v>
      </c>
      <c r="G359" t="s">
        <v>1436</v>
      </c>
      <c r="H359">
        <f>_xlfn.XLOOKUP(E359,K:K,L:L)</f>
        <v>10</v>
      </c>
    </row>
    <row r="360" spans="1:8" x14ac:dyDescent="0.3">
      <c r="A360" t="s">
        <v>92</v>
      </c>
      <c r="B360">
        <v>20539765061</v>
      </c>
      <c r="C360" t="s">
        <v>478</v>
      </c>
      <c r="D360" t="s">
        <v>7</v>
      </c>
      <c r="E360" s="1">
        <v>45920</v>
      </c>
      <c r="F360">
        <v>288.10000000000002</v>
      </c>
      <c r="G360" t="s">
        <v>1436</v>
      </c>
      <c r="H360">
        <f>_xlfn.XLOOKUP(E360,K:K,L:L)</f>
        <v>10</v>
      </c>
    </row>
    <row r="361" spans="1:8" x14ac:dyDescent="0.3">
      <c r="A361" t="s">
        <v>92</v>
      </c>
      <c r="B361">
        <v>20566572665</v>
      </c>
      <c r="C361" t="s">
        <v>479</v>
      </c>
      <c r="D361" t="s">
        <v>7</v>
      </c>
      <c r="E361" s="1">
        <v>45920</v>
      </c>
      <c r="F361">
        <v>293.75</v>
      </c>
      <c r="G361" t="s">
        <v>1436</v>
      </c>
      <c r="H361">
        <f>_xlfn.XLOOKUP(E361,K:K,L:L)</f>
        <v>10</v>
      </c>
    </row>
    <row r="362" spans="1:8" x14ac:dyDescent="0.3">
      <c r="A362" t="s">
        <v>92</v>
      </c>
      <c r="B362">
        <v>20610742174</v>
      </c>
      <c r="C362" t="s">
        <v>480</v>
      </c>
      <c r="D362" t="s">
        <v>138</v>
      </c>
      <c r="E362" s="1">
        <v>45920</v>
      </c>
      <c r="F362">
        <v>747.69</v>
      </c>
      <c r="G362" t="s">
        <v>1436</v>
      </c>
      <c r="H362">
        <f>_xlfn.XLOOKUP(E362,K:K,L:L)</f>
        <v>10</v>
      </c>
    </row>
    <row r="363" spans="1:8" x14ac:dyDescent="0.3">
      <c r="A363" t="s">
        <v>92</v>
      </c>
      <c r="B363">
        <v>20603634684</v>
      </c>
      <c r="C363" t="s">
        <v>481</v>
      </c>
      <c r="D363" t="s">
        <v>65</v>
      </c>
      <c r="E363" s="1">
        <v>45920</v>
      </c>
      <c r="F363">
        <v>131.44</v>
      </c>
      <c r="G363" t="s">
        <v>1436</v>
      </c>
      <c r="H363">
        <f>_xlfn.XLOOKUP(E363,K:K,L:L)</f>
        <v>10</v>
      </c>
    </row>
    <row r="364" spans="1:8" x14ac:dyDescent="0.3">
      <c r="A364" t="s">
        <v>92</v>
      </c>
      <c r="B364">
        <v>10725778380</v>
      </c>
      <c r="C364" t="s">
        <v>482</v>
      </c>
      <c r="D364" t="s">
        <v>162</v>
      </c>
      <c r="E364" s="1">
        <v>45920</v>
      </c>
      <c r="F364">
        <v>70.400000000000006</v>
      </c>
      <c r="G364" t="s">
        <v>1436</v>
      </c>
      <c r="H364">
        <f>_xlfn.XLOOKUP(E364,K:K,L:L)</f>
        <v>10</v>
      </c>
    </row>
    <row r="365" spans="1:8" x14ac:dyDescent="0.3">
      <c r="A365" t="s">
        <v>92</v>
      </c>
      <c r="B365">
        <v>20606031034</v>
      </c>
      <c r="C365" t="s">
        <v>483</v>
      </c>
      <c r="D365" t="s">
        <v>162</v>
      </c>
      <c r="E365" s="1">
        <v>45920</v>
      </c>
      <c r="F365">
        <v>132.6</v>
      </c>
      <c r="G365" t="s">
        <v>1436</v>
      </c>
      <c r="H365">
        <f>_xlfn.XLOOKUP(E365,K:K,L:L)</f>
        <v>10</v>
      </c>
    </row>
    <row r="366" spans="1:8" x14ac:dyDescent="0.3">
      <c r="A366" t="s">
        <v>92</v>
      </c>
      <c r="B366">
        <v>20518001176</v>
      </c>
      <c r="C366" t="s">
        <v>484</v>
      </c>
      <c r="D366" t="s">
        <v>471</v>
      </c>
      <c r="E366" s="1">
        <v>45920</v>
      </c>
      <c r="F366">
        <v>677.73</v>
      </c>
      <c r="G366" t="s">
        <v>1436</v>
      </c>
      <c r="H366">
        <f>_xlfn.XLOOKUP(E366,K:K,L:L)</f>
        <v>10</v>
      </c>
    </row>
    <row r="367" spans="1:8" x14ac:dyDescent="0.3">
      <c r="A367" t="s">
        <v>92</v>
      </c>
      <c r="B367">
        <v>20611143509</v>
      </c>
      <c r="C367" t="s">
        <v>485</v>
      </c>
      <c r="D367" t="s">
        <v>486</v>
      </c>
      <c r="E367" s="1">
        <v>45920</v>
      </c>
      <c r="F367">
        <v>800.68</v>
      </c>
      <c r="G367" t="s">
        <v>1436</v>
      </c>
      <c r="H367">
        <f>_xlfn.XLOOKUP(E367,K:K,L:L)</f>
        <v>10</v>
      </c>
    </row>
    <row r="368" spans="1:8" x14ac:dyDescent="0.3">
      <c r="A368" t="s">
        <v>92</v>
      </c>
      <c r="B368">
        <v>20601480655</v>
      </c>
      <c r="C368" t="s">
        <v>487</v>
      </c>
      <c r="D368" t="s">
        <v>488</v>
      </c>
      <c r="E368" s="1">
        <v>45920</v>
      </c>
      <c r="F368">
        <v>2583.54</v>
      </c>
      <c r="G368" t="s">
        <v>1436</v>
      </c>
      <c r="H368">
        <f>_xlfn.XLOOKUP(E368,K:K,L:L)</f>
        <v>10</v>
      </c>
    </row>
    <row r="369" spans="1:8" x14ac:dyDescent="0.3">
      <c r="A369" t="s">
        <v>6</v>
      </c>
      <c r="B369">
        <v>20600491891</v>
      </c>
      <c r="C369" t="s">
        <v>48</v>
      </c>
      <c r="D369" t="s">
        <v>7</v>
      </c>
      <c r="E369" s="1">
        <v>45920</v>
      </c>
      <c r="F369">
        <v>1407.6</v>
      </c>
      <c r="G369" t="s">
        <v>1436</v>
      </c>
      <c r="H369">
        <f>_xlfn.XLOOKUP(E369,K:K,L:L)</f>
        <v>10</v>
      </c>
    </row>
    <row r="370" spans="1:8" x14ac:dyDescent="0.3">
      <c r="A370" t="s">
        <v>93</v>
      </c>
      <c r="B370">
        <v>20440355707</v>
      </c>
      <c r="C370" t="s">
        <v>489</v>
      </c>
      <c r="D370" t="s">
        <v>490</v>
      </c>
      <c r="E370" s="1">
        <v>45920</v>
      </c>
      <c r="F370">
        <v>35.93</v>
      </c>
      <c r="G370" t="s">
        <v>1436</v>
      </c>
      <c r="H370">
        <f>_xlfn.XLOOKUP(E370,K:K,L:L)</f>
        <v>10</v>
      </c>
    </row>
    <row r="371" spans="1:8" x14ac:dyDescent="0.3">
      <c r="A371" t="s">
        <v>6</v>
      </c>
      <c r="B371">
        <v>20612958123</v>
      </c>
      <c r="C371" t="s">
        <v>49</v>
      </c>
      <c r="D371" t="s">
        <v>27</v>
      </c>
      <c r="E371" s="1">
        <v>45921</v>
      </c>
      <c r="F371">
        <v>261.72000000000003</v>
      </c>
      <c r="G371" t="s">
        <v>1436</v>
      </c>
      <c r="H371">
        <f>_xlfn.XLOOKUP(E371,K:K,L:L)</f>
        <v>10</v>
      </c>
    </row>
    <row r="372" spans="1:8" x14ac:dyDescent="0.3">
      <c r="A372" t="s">
        <v>92</v>
      </c>
      <c r="B372">
        <v>10097572289</v>
      </c>
      <c r="C372" t="s">
        <v>491</v>
      </c>
      <c r="D372" t="s">
        <v>7</v>
      </c>
      <c r="E372" s="1">
        <v>45922</v>
      </c>
      <c r="F372">
        <v>260.55</v>
      </c>
      <c r="G372" t="s">
        <v>1436</v>
      </c>
      <c r="H372">
        <f>_xlfn.XLOOKUP(E372,K:K,L:L)</f>
        <v>11</v>
      </c>
    </row>
    <row r="373" spans="1:8" x14ac:dyDescent="0.3">
      <c r="A373" t="s">
        <v>92</v>
      </c>
      <c r="B373">
        <v>20303795431</v>
      </c>
      <c r="C373" t="s">
        <v>492</v>
      </c>
      <c r="D373" t="s">
        <v>27</v>
      </c>
      <c r="E373" s="1">
        <v>45922</v>
      </c>
      <c r="F373">
        <v>277.93000000000006</v>
      </c>
      <c r="G373" t="s">
        <v>1436</v>
      </c>
      <c r="H373">
        <f>_xlfn.XLOOKUP(E373,K:K,L:L)</f>
        <v>11</v>
      </c>
    </row>
    <row r="374" spans="1:8" x14ac:dyDescent="0.3">
      <c r="A374" t="s">
        <v>92</v>
      </c>
      <c r="B374">
        <v>20479541184</v>
      </c>
      <c r="C374" t="s">
        <v>493</v>
      </c>
      <c r="D374" t="s">
        <v>7</v>
      </c>
      <c r="E374" s="1">
        <v>45922</v>
      </c>
      <c r="F374">
        <v>263.03000000000003</v>
      </c>
      <c r="G374" t="s">
        <v>1436</v>
      </c>
      <c r="H374">
        <f>_xlfn.XLOOKUP(E374,K:K,L:L)</f>
        <v>11</v>
      </c>
    </row>
    <row r="375" spans="1:8" x14ac:dyDescent="0.3">
      <c r="A375" t="s">
        <v>92</v>
      </c>
      <c r="B375">
        <v>20507828087</v>
      </c>
      <c r="C375" t="s">
        <v>494</v>
      </c>
      <c r="D375" t="s">
        <v>138</v>
      </c>
      <c r="E375" s="1">
        <v>45922</v>
      </c>
      <c r="F375">
        <v>346.52</v>
      </c>
      <c r="G375" t="s">
        <v>1436</v>
      </c>
      <c r="H375">
        <f>_xlfn.XLOOKUP(E375,K:K,L:L)</f>
        <v>11</v>
      </c>
    </row>
    <row r="376" spans="1:8" x14ac:dyDescent="0.3">
      <c r="A376" t="s">
        <v>92</v>
      </c>
      <c r="B376">
        <v>20544254651</v>
      </c>
      <c r="C376" t="s">
        <v>495</v>
      </c>
      <c r="D376" t="s">
        <v>27</v>
      </c>
      <c r="E376" s="1">
        <v>45922</v>
      </c>
      <c r="F376">
        <v>462.62</v>
      </c>
      <c r="G376" t="s">
        <v>1436</v>
      </c>
      <c r="H376">
        <f>_xlfn.XLOOKUP(E376,K:K,L:L)</f>
        <v>11</v>
      </c>
    </row>
    <row r="377" spans="1:8" x14ac:dyDescent="0.3">
      <c r="A377" t="s">
        <v>92</v>
      </c>
      <c r="B377">
        <v>20602084087</v>
      </c>
      <c r="C377" t="s">
        <v>496</v>
      </c>
      <c r="D377" t="s">
        <v>7</v>
      </c>
      <c r="E377" s="1">
        <v>45922</v>
      </c>
      <c r="F377">
        <v>148.61000000000001</v>
      </c>
      <c r="G377" t="s">
        <v>1436</v>
      </c>
      <c r="H377">
        <f>_xlfn.XLOOKUP(E377,K:K,L:L)</f>
        <v>11</v>
      </c>
    </row>
    <row r="378" spans="1:8" x14ac:dyDescent="0.3">
      <c r="A378" t="s">
        <v>92</v>
      </c>
      <c r="B378">
        <v>20610528334</v>
      </c>
      <c r="C378" t="s">
        <v>497</v>
      </c>
      <c r="D378" t="s">
        <v>54</v>
      </c>
      <c r="E378" s="1">
        <v>45922</v>
      </c>
      <c r="F378">
        <v>872.37</v>
      </c>
      <c r="G378" t="s">
        <v>1436</v>
      </c>
      <c r="H378">
        <f>_xlfn.XLOOKUP(E378,K:K,L:L)</f>
        <v>11</v>
      </c>
    </row>
    <row r="379" spans="1:8" x14ac:dyDescent="0.3">
      <c r="A379" t="s">
        <v>92</v>
      </c>
      <c r="B379">
        <v>20610764411</v>
      </c>
      <c r="C379" t="s">
        <v>498</v>
      </c>
      <c r="D379" t="s">
        <v>206</v>
      </c>
      <c r="E379" s="1">
        <v>45922</v>
      </c>
      <c r="F379">
        <v>1290.7199999999998</v>
      </c>
      <c r="G379" t="s">
        <v>1436</v>
      </c>
      <c r="H379">
        <f>_xlfn.XLOOKUP(E379,K:K,L:L)</f>
        <v>11</v>
      </c>
    </row>
    <row r="380" spans="1:8" x14ac:dyDescent="0.3">
      <c r="A380" t="s">
        <v>92</v>
      </c>
      <c r="B380">
        <v>20611598867</v>
      </c>
      <c r="C380" t="s">
        <v>499</v>
      </c>
      <c r="D380" t="s">
        <v>54</v>
      </c>
      <c r="E380" s="1">
        <v>45922</v>
      </c>
      <c r="F380">
        <v>677.26</v>
      </c>
      <c r="G380" t="s">
        <v>1436</v>
      </c>
      <c r="H380">
        <f>_xlfn.XLOOKUP(E380,K:K,L:L)</f>
        <v>11</v>
      </c>
    </row>
    <row r="381" spans="1:8" x14ac:dyDescent="0.3">
      <c r="A381" t="s">
        <v>92</v>
      </c>
      <c r="B381">
        <v>20601364361</v>
      </c>
      <c r="C381" t="s">
        <v>500</v>
      </c>
      <c r="D381" t="s">
        <v>65</v>
      </c>
      <c r="E381" s="1">
        <v>45922</v>
      </c>
      <c r="F381">
        <v>131.44</v>
      </c>
      <c r="G381" t="s">
        <v>1436</v>
      </c>
      <c r="H381">
        <f>_xlfn.XLOOKUP(E381,K:K,L:L)</f>
        <v>11</v>
      </c>
    </row>
    <row r="382" spans="1:8" x14ac:dyDescent="0.3">
      <c r="A382" t="s">
        <v>92</v>
      </c>
      <c r="B382">
        <v>20612132373</v>
      </c>
      <c r="C382" t="s">
        <v>501</v>
      </c>
      <c r="D382" t="s">
        <v>160</v>
      </c>
      <c r="E382" s="1">
        <v>45922</v>
      </c>
      <c r="F382">
        <v>701.81000000000006</v>
      </c>
      <c r="G382" t="s">
        <v>1436</v>
      </c>
      <c r="H382">
        <f>_xlfn.XLOOKUP(E382,K:K,L:L)</f>
        <v>11</v>
      </c>
    </row>
    <row r="383" spans="1:8" x14ac:dyDescent="0.3">
      <c r="A383" t="s">
        <v>92</v>
      </c>
      <c r="B383">
        <v>20454096194</v>
      </c>
      <c r="C383" t="s">
        <v>502</v>
      </c>
      <c r="D383" t="s">
        <v>269</v>
      </c>
      <c r="E383" s="1">
        <v>45922</v>
      </c>
      <c r="F383">
        <v>537.4</v>
      </c>
      <c r="G383" t="s">
        <v>1436</v>
      </c>
      <c r="H383">
        <f>_xlfn.XLOOKUP(E383,K:K,L:L)</f>
        <v>11</v>
      </c>
    </row>
    <row r="384" spans="1:8" x14ac:dyDescent="0.3">
      <c r="A384" t="s">
        <v>6</v>
      </c>
      <c r="B384">
        <v>20409418865</v>
      </c>
      <c r="C384" t="s">
        <v>50</v>
      </c>
      <c r="D384" t="s">
        <v>7</v>
      </c>
      <c r="E384" s="1">
        <v>45922</v>
      </c>
      <c r="F384">
        <v>130.28</v>
      </c>
      <c r="G384" t="s">
        <v>1436</v>
      </c>
      <c r="H384">
        <f>_xlfn.XLOOKUP(E384,K:K,L:L)</f>
        <v>11</v>
      </c>
    </row>
    <row r="385" spans="1:8" x14ac:dyDescent="0.3">
      <c r="A385" t="s">
        <v>93</v>
      </c>
      <c r="B385">
        <v>20138529445</v>
      </c>
      <c r="C385" t="s">
        <v>503</v>
      </c>
      <c r="D385" t="s">
        <v>504</v>
      </c>
      <c r="E385" s="1">
        <v>45922</v>
      </c>
      <c r="F385">
        <v>65.099999999999994</v>
      </c>
      <c r="G385" t="s">
        <v>1436</v>
      </c>
      <c r="H385">
        <f>_xlfn.XLOOKUP(E385,K:K,L:L)</f>
        <v>11</v>
      </c>
    </row>
    <row r="386" spans="1:8" x14ac:dyDescent="0.3">
      <c r="A386" t="s">
        <v>92</v>
      </c>
      <c r="B386">
        <v>10102239003</v>
      </c>
      <c r="C386" t="s">
        <v>505</v>
      </c>
      <c r="D386" t="s">
        <v>27</v>
      </c>
      <c r="E386" s="1">
        <v>45923</v>
      </c>
      <c r="F386">
        <v>162.12</v>
      </c>
      <c r="G386" t="s">
        <v>1436</v>
      </c>
      <c r="H386">
        <f>_xlfn.XLOOKUP(E386,K:K,L:L)</f>
        <v>12</v>
      </c>
    </row>
    <row r="387" spans="1:8" x14ac:dyDescent="0.3">
      <c r="A387" t="s">
        <v>92</v>
      </c>
      <c r="B387">
        <v>10420382001</v>
      </c>
      <c r="C387" t="s">
        <v>506</v>
      </c>
      <c r="D387" t="s">
        <v>206</v>
      </c>
      <c r="E387" s="1">
        <v>45923</v>
      </c>
      <c r="F387">
        <v>829.02</v>
      </c>
      <c r="G387" t="s">
        <v>1436</v>
      </c>
      <c r="H387">
        <f>_xlfn.XLOOKUP(E387,K:K,L:L)</f>
        <v>12</v>
      </c>
    </row>
    <row r="388" spans="1:8" x14ac:dyDescent="0.3">
      <c r="A388" t="s">
        <v>92</v>
      </c>
      <c r="B388">
        <v>20432846491</v>
      </c>
      <c r="C388" t="s">
        <v>507</v>
      </c>
      <c r="D388" t="s">
        <v>7</v>
      </c>
      <c r="E388" s="1">
        <v>45923</v>
      </c>
      <c r="F388">
        <v>715.46999999999991</v>
      </c>
      <c r="G388" t="s">
        <v>1436</v>
      </c>
      <c r="H388">
        <f>_xlfn.XLOOKUP(E388,K:K,L:L)</f>
        <v>12</v>
      </c>
    </row>
    <row r="389" spans="1:8" x14ac:dyDescent="0.3">
      <c r="A389" t="s">
        <v>92</v>
      </c>
      <c r="B389">
        <v>20525925693</v>
      </c>
      <c r="C389" t="s">
        <v>508</v>
      </c>
      <c r="D389" t="s">
        <v>27</v>
      </c>
      <c r="E389" s="1">
        <v>45923</v>
      </c>
      <c r="F389">
        <v>261.72000000000003</v>
      </c>
      <c r="G389" t="s">
        <v>1436</v>
      </c>
      <c r="H389">
        <f>_xlfn.XLOOKUP(E389,K:K,L:L)</f>
        <v>12</v>
      </c>
    </row>
    <row r="390" spans="1:8" x14ac:dyDescent="0.3">
      <c r="A390" t="s">
        <v>92</v>
      </c>
      <c r="B390">
        <v>20549009965</v>
      </c>
      <c r="C390" t="s">
        <v>509</v>
      </c>
      <c r="D390" t="s">
        <v>7</v>
      </c>
      <c r="E390" s="1">
        <v>45923</v>
      </c>
      <c r="F390">
        <v>347.26</v>
      </c>
      <c r="G390" t="s">
        <v>1436</v>
      </c>
      <c r="H390">
        <f>_xlfn.XLOOKUP(E390,K:K,L:L)</f>
        <v>12</v>
      </c>
    </row>
    <row r="391" spans="1:8" x14ac:dyDescent="0.3">
      <c r="A391" t="s">
        <v>92</v>
      </c>
      <c r="B391">
        <v>20552011377</v>
      </c>
      <c r="C391" t="s">
        <v>510</v>
      </c>
      <c r="D391" t="s">
        <v>7</v>
      </c>
      <c r="E391" s="1">
        <v>45923</v>
      </c>
      <c r="F391">
        <v>272.84000000000003</v>
      </c>
      <c r="G391" t="s">
        <v>1436</v>
      </c>
      <c r="H391">
        <f>_xlfn.XLOOKUP(E391,K:K,L:L)</f>
        <v>12</v>
      </c>
    </row>
    <row r="392" spans="1:8" x14ac:dyDescent="0.3">
      <c r="A392" t="s">
        <v>92</v>
      </c>
      <c r="B392">
        <v>20557467964</v>
      </c>
      <c r="C392" t="s">
        <v>511</v>
      </c>
      <c r="D392" t="s">
        <v>7</v>
      </c>
      <c r="E392" s="1">
        <v>45923</v>
      </c>
      <c r="F392">
        <v>148.61000000000001</v>
      </c>
      <c r="G392" t="s">
        <v>1436</v>
      </c>
      <c r="H392">
        <f>_xlfn.XLOOKUP(E392,K:K,L:L)</f>
        <v>12</v>
      </c>
    </row>
    <row r="393" spans="1:8" x14ac:dyDescent="0.3">
      <c r="A393" t="s">
        <v>92</v>
      </c>
      <c r="B393">
        <v>20600114370</v>
      </c>
      <c r="C393" t="s">
        <v>512</v>
      </c>
      <c r="D393" t="s">
        <v>7</v>
      </c>
      <c r="E393" s="1">
        <v>45923</v>
      </c>
      <c r="F393">
        <v>291.92</v>
      </c>
      <c r="G393" t="s">
        <v>1436</v>
      </c>
      <c r="H393">
        <f>_xlfn.XLOOKUP(E393,K:K,L:L)</f>
        <v>12</v>
      </c>
    </row>
    <row r="394" spans="1:8" x14ac:dyDescent="0.3">
      <c r="A394" t="s">
        <v>92</v>
      </c>
      <c r="B394">
        <v>20604060479</v>
      </c>
      <c r="C394" t="s">
        <v>513</v>
      </c>
      <c r="D394" t="s">
        <v>7</v>
      </c>
      <c r="E394" s="1">
        <v>45923</v>
      </c>
      <c r="F394">
        <v>130.28</v>
      </c>
      <c r="G394" t="s">
        <v>1436</v>
      </c>
      <c r="H394">
        <f>_xlfn.XLOOKUP(E394,K:K,L:L)</f>
        <v>12</v>
      </c>
    </row>
    <row r="395" spans="1:8" x14ac:dyDescent="0.3">
      <c r="A395" t="s">
        <v>92</v>
      </c>
      <c r="B395">
        <v>20605875841</v>
      </c>
      <c r="C395" t="s">
        <v>514</v>
      </c>
      <c r="D395" t="s">
        <v>27</v>
      </c>
      <c r="E395" s="1">
        <v>45923</v>
      </c>
      <c r="F395">
        <v>298.69</v>
      </c>
      <c r="G395" t="s">
        <v>1436</v>
      </c>
      <c r="H395">
        <f>_xlfn.XLOOKUP(E395,K:K,L:L)</f>
        <v>12</v>
      </c>
    </row>
    <row r="396" spans="1:8" x14ac:dyDescent="0.3">
      <c r="A396" t="s">
        <v>92</v>
      </c>
      <c r="B396">
        <v>20606642955</v>
      </c>
      <c r="C396" t="s">
        <v>515</v>
      </c>
      <c r="D396" t="s">
        <v>27</v>
      </c>
      <c r="E396" s="1">
        <v>45923</v>
      </c>
      <c r="F396">
        <v>523.42000000000007</v>
      </c>
      <c r="G396" t="s">
        <v>1436</v>
      </c>
      <c r="H396">
        <f>_xlfn.XLOOKUP(E396,K:K,L:L)</f>
        <v>12</v>
      </c>
    </row>
    <row r="397" spans="1:8" x14ac:dyDescent="0.3">
      <c r="A397" t="s">
        <v>92</v>
      </c>
      <c r="B397">
        <v>20610237844</v>
      </c>
      <c r="C397" t="s">
        <v>516</v>
      </c>
      <c r="D397" t="s">
        <v>7</v>
      </c>
      <c r="E397" s="1">
        <v>45923</v>
      </c>
      <c r="F397">
        <v>243.31</v>
      </c>
      <c r="G397" t="s">
        <v>1436</v>
      </c>
      <c r="H397">
        <f>_xlfn.XLOOKUP(E397,K:K,L:L)</f>
        <v>12</v>
      </c>
    </row>
    <row r="398" spans="1:8" x14ac:dyDescent="0.3">
      <c r="A398" t="s">
        <v>92</v>
      </c>
      <c r="B398">
        <v>10178800979</v>
      </c>
      <c r="C398" t="s">
        <v>517</v>
      </c>
      <c r="D398" t="s">
        <v>114</v>
      </c>
      <c r="E398" s="1">
        <v>45923</v>
      </c>
      <c r="F398">
        <v>152.06</v>
      </c>
      <c r="G398" t="s">
        <v>1436</v>
      </c>
      <c r="H398">
        <f>_xlfn.XLOOKUP(E398,K:K,L:L)</f>
        <v>12</v>
      </c>
    </row>
    <row r="399" spans="1:8" x14ac:dyDescent="0.3">
      <c r="A399" t="s">
        <v>92</v>
      </c>
      <c r="B399">
        <v>20553238103</v>
      </c>
      <c r="C399" t="s">
        <v>518</v>
      </c>
      <c r="D399" t="s">
        <v>65</v>
      </c>
      <c r="E399" s="1">
        <v>45923</v>
      </c>
      <c r="F399">
        <v>262.87</v>
      </c>
      <c r="G399" t="s">
        <v>1436</v>
      </c>
      <c r="H399">
        <f>_xlfn.XLOOKUP(E399,K:K,L:L)</f>
        <v>12</v>
      </c>
    </row>
    <row r="400" spans="1:8" x14ac:dyDescent="0.3">
      <c r="A400" t="s">
        <v>92</v>
      </c>
      <c r="B400">
        <v>20572123228</v>
      </c>
      <c r="C400" t="s">
        <v>519</v>
      </c>
      <c r="D400" t="s">
        <v>162</v>
      </c>
      <c r="E400" s="1">
        <v>45923</v>
      </c>
      <c r="F400">
        <v>2093.7399999999998</v>
      </c>
      <c r="G400" t="s">
        <v>1436</v>
      </c>
      <c r="H400">
        <f>_xlfn.XLOOKUP(E400,K:K,L:L)</f>
        <v>12</v>
      </c>
    </row>
    <row r="401" spans="1:8" x14ac:dyDescent="0.3">
      <c r="A401" t="s">
        <v>92</v>
      </c>
      <c r="B401">
        <v>20602495168</v>
      </c>
      <c r="C401" t="s">
        <v>520</v>
      </c>
      <c r="D401" t="s">
        <v>473</v>
      </c>
      <c r="E401" s="1">
        <v>45923</v>
      </c>
      <c r="F401">
        <v>244.98000000000002</v>
      </c>
      <c r="G401" t="s">
        <v>1436</v>
      </c>
      <c r="H401">
        <f>_xlfn.XLOOKUP(E401,K:K,L:L)</f>
        <v>12</v>
      </c>
    </row>
    <row r="402" spans="1:8" x14ac:dyDescent="0.3">
      <c r="A402" t="s">
        <v>6</v>
      </c>
      <c r="B402">
        <v>20461111174</v>
      </c>
      <c r="C402" t="s">
        <v>51</v>
      </c>
      <c r="D402" t="s">
        <v>7</v>
      </c>
      <c r="E402" s="1">
        <v>45923</v>
      </c>
      <c r="F402">
        <v>40.700000000000003</v>
      </c>
      <c r="G402" t="s">
        <v>1436</v>
      </c>
      <c r="H402">
        <f>_xlfn.XLOOKUP(E402,K:K,L:L)</f>
        <v>12</v>
      </c>
    </row>
    <row r="403" spans="1:8" x14ac:dyDescent="0.3">
      <c r="A403" t="s">
        <v>6</v>
      </c>
      <c r="B403">
        <v>20505805713</v>
      </c>
      <c r="C403" t="s">
        <v>52</v>
      </c>
      <c r="D403" t="s">
        <v>27</v>
      </c>
      <c r="E403" s="1">
        <v>45923</v>
      </c>
      <c r="F403">
        <v>365.94</v>
      </c>
      <c r="G403" t="s">
        <v>1436</v>
      </c>
      <c r="H403">
        <f>_xlfn.XLOOKUP(E403,K:K,L:L)</f>
        <v>12</v>
      </c>
    </row>
    <row r="404" spans="1:8" x14ac:dyDescent="0.3">
      <c r="A404" t="s">
        <v>6</v>
      </c>
      <c r="B404">
        <v>20607653217</v>
      </c>
      <c r="C404" t="s">
        <v>53</v>
      </c>
      <c r="D404" t="s">
        <v>54</v>
      </c>
      <c r="E404" s="1">
        <v>45923</v>
      </c>
      <c r="F404">
        <v>844.38</v>
      </c>
      <c r="G404" t="s">
        <v>1436</v>
      </c>
      <c r="H404">
        <f>_xlfn.XLOOKUP(E404,K:K,L:L)</f>
        <v>12</v>
      </c>
    </row>
    <row r="405" spans="1:8" x14ac:dyDescent="0.3">
      <c r="A405" t="s">
        <v>6</v>
      </c>
      <c r="B405">
        <v>20604339953</v>
      </c>
      <c r="C405" t="s">
        <v>55</v>
      </c>
      <c r="D405" t="s">
        <v>56</v>
      </c>
      <c r="E405" s="1">
        <v>45923</v>
      </c>
      <c r="F405">
        <v>902.22</v>
      </c>
      <c r="G405" t="s">
        <v>1436</v>
      </c>
      <c r="H405">
        <f>_xlfn.XLOOKUP(E405,K:K,L:L)</f>
        <v>12</v>
      </c>
    </row>
    <row r="406" spans="1:8" x14ac:dyDescent="0.3">
      <c r="A406" t="s">
        <v>93</v>
      </c>
      <c r="B406">
        <v>20474001122</v>
      </c>
      <c r="C406" t="s">
        <v>521</v>
      </c>
      <c r="D406" t="s">
        <v>522</v>
      </c>
      <c r="E406" s="1">
        <v>45923</v>
      </c>
      <c r="F406">
        <v>1744.73</v>
      </c>
      <c r="G406" t="s">
        <v>1436</v>
      </c>
      <c r="H406">
        <f>_xlfn.XLOOKUP(E406,K:K,L:L)</f>
        <v>12</v>
      </c>
    </row>
    <row r="407" spans="1:8" x14ac:dyDescent="0.3">
      <c r="A407" t="s">
        <v>93</v>
      </c>
      <c r="B407">
        <v>20327004973</v>
      </c>
      <c r="C407" t="s">
        <v>523</v>
      </c>
      <c r="D407" t="s">
        <v>450</v>
      </c>
      <c r="E407" s="1">
        <v>45923</v>
      </c>
      <c r="F407">
        <v>42.07</v>
      </c>
      <c r="G407" t="s">
        <v>1436</v>
      </c>
      <c r="H407">
        <f>_xlfn.XLOOKUP(E407,K:K,L:L)</f>
        <v>12</v>
      </c>
    </row>
    <row r="408" spans="1:8" x14ac:dyDescent="0.3">
      <c r="A408" t="s">
        <v>93</v>
      </c>
      <c r="B408">
        <v>20349488958</v>
      </c>
      <c r="C408" t="s">
        <v>524</v>
      </c>
      <c r="D408" t="s">
        <v>525</v>
      </c>
      <c r="E408" s="1">
        <v>45923</v>
      </c>
      <c r="F408">
        <v>608.04</v>
      </c>
      <c r="G408" t="s">
        <v>1436</v>
      </c>
      <c r="H408">
        <f>_xlfn.XLOOKUP(E408,K:K,L:L)</f>
        <v>12</v>
      </c>
    </row>
    <row r="409" spans="1:8" x14ac:dyDescent="0.3">
      <c r="A409" t="s">
        <v>92</v>
      </c>
      <c r="B409">
        <v>10046347728</v>
      </c>
      <c r="C409" t="s">
        <v>526</v>
      </c>
      <c r="D409" t="s">
        <v>7</v>
      </c>
      <c r="E409" s="1">
        <v>45924</v>
      </c>
      <c r="F409">
        <v>263.19</v>
      </c>
      <c r="G409" t="s">
        <v>1436</v>
      </c>
      <c r="H409">
        <f>_xlfn.XLOOKUP(E409,K:K,L:L)</f>
        <v>13</v>
      </c>
    </row>
    <row r="410" spans="1:8" x14ac:dyDescent="0.3">
      <c r="A410" t="s">
        <v>92</v>
      </c>
      <c r="B410">
        <v>10305645945</v>
      </c>
      <c r="C410" t="s">
        <v>527</v>
      </c>
      <c r="D410" t="s">
        <v>7</v>
      </c>
      <c r="E410" s="1">
        <v>45924</v>
      </c>
      <c r="F410">
        <v>148.61000000000001</v>
      </c>
      <c r="G410" t="s">
        <v>1436</v>
      </c>
      <c r="H410">
        <f>_xlfn.XLOOKUP(E410,K:K,L:L)</f>
        <v>13</v>
      </c>
    </row>
    <row r="411" spans="1:8" x14ac:dyDescent="0.3">
      <c r="A411" t="s">
        <v>92</v>
      </c>
      <c r="B411">
        <v>20493824563</v>
      </c>
      <c r="C411" t="s">
        <v>528</v>
      </c>
      <c r="D411" t="s">
        <v>27</v>
      </c>
      <c r="E411" s="1">
        <v>45924</v>
      </c>
      <c r="F411">
        <v>523.67000000000007</v>
      </c>
      <c r="G411" t="s">
        <v>1436</v>
      </c>
      <c r="H411">
        <f>_xlfn.XLOOKUP(E411,K:K,L:L)</f>
        <v>13</v>
      </c>
    </row>
    <row r="412" spans="1:8" x14ac:dyDescent="0.3">
      <c r="A412" t="s">
        <v>92</v>
      </c>
      <c r="B412">
        <v>20498132449</v>
      </c>
      <c r="C412" t="s">
        <v>529</v>
      </c>
      <c r="D412" t="s">
        <v>177</v>
      </c>
      <c r="E412" s="1">
        <v>45924</v>
      </c>
      <c r="F412">
        <v>937.0100000000001</v>
      </c>
      <c r="G412" t="s">
        <v>1436</v>
      </c>
      <c r="H412">
        <f>_xlfn.XLOOKUP(E412,K:K,L:L)</f>
        <v>13</v>
      </c>
    </row>
    <row r="413" spans="1:8" x14ac:dyDescent="0.3">
      <c r="A413" t="s">
        <v>92</v>
      </c>
      <c r="B413">
        <v>20559979695</v>
      </c>
      <c r="C413" t="s">
        <v>530</v>
      </c>
      <c r="D413" t="s">
        <v>531</v>
      </c>
      <c r="E413" s="1">
        <v>45924</v>
      </c>
      <c r="F413">
        <v>657.56999999999994</v>
      </c>
      <c r="G413" t="s">
        <v>1436</v>
      </c>
      <c r="H413">
        <f>_xlfn.XLOOKUP(E413,K:K,L:L)</f>
        <v>13</v>
      </c>
    </row>
    <row r="414" spans="1:8" x14ac:dyDescent="0.3">
      <c r="A414" t="s">
        <v>92</v>
      </c>
      <c r="B414">
        <v>20601474973</v>
      </c>
      <c r="C414" t="s">
        <v>532</v>
      </c>
      <c r="D414" t="s">
        <v>7</v>
      </c>
      <c r="E414" s="1">
        <v>45924</v>
      </c>
      <c r="F414">
        <v>182.9</v>
      </c>
      <c r="G414" t="s">
        <v>1436</v>
      </c>
      <c r="H414">
        <f>_xlfn.XLOOKUP(E414,K:K,L:L)</f>
        <v>13</v>
      </c>
    </row>
    <row r="415" spans="1:8" x14ac:dyDescent="0.3">
      <c r="A415" t="s">
        <v>92</v>
      </c>
      <c r="B415">
        <v>20603215771</v>
      </c>
      <c r="C415" t="s">
        <v>533</v>
      </c>
      <c r="D415" t="s">
        <v>54</v>
      </c>
      <c r="E415" s="1">
        <v>45924</v>
      </c>
      <c r="F415">
        <v>530.13</v>
      </c>
      <c r="G415" t="s">
        <v>1436</v>
      </c>
      <c r="H415">
        <f>_xlfn.XLOOKUP(E415,K:K,L:L)</f>
        <v>13</v>
      </c>
    </row>
    <row r="416" spans="1:8" x14ac:dyDescent="0.3">
      <c r="A416" t="s">
        <v>92</v>
      </c>
      <c r="B416">
        <v>20605412450</v>
      </c>
      <c r="C416" t="s">
        <v>534</v>
      </c>
      <c r="D416" t="s">
        <v>42</v>
      </c>
      <c r="E416" s="1">
        <v>45924</v>
      </c>
      <c r="F416">
        <v>732.8</v>
      </c>
      <c r="G416" t="s">
        <v>1436</v>
      </c>
      <c r="H416">
        <f>_xlfn.XLOOKUP(E416,K:K,L:L)</f>
        <v>13</v>
      </c>
    </row>
    <row r="417" spans="1:8" x14ac:dyDescent="0.3">
      <c r="A417" t="s">
        <v>92</v>
      </c>
      <c r="B417">
        <v>20610838147</v>
      </c>
      <c r="C417" t="s">
        <v>535</v>
      </c>
      <c r="D417" t="s">
        <v>7</v>
      </c>
      <c r="E417" s="1">
        <v>45924</v>
      </c>
      <c r="F417">
        <v>130.28</v>
      </c>
      <c r="G417" t="s">
        <v>1436</v>
      </c>
      <c r="H417">
        <f>_xlfn.XLOOKUP(E417,K:K,L:L)</f>
        <v>13</v>
      </c>
    </row>
    <row r="418" spans="1:8" x14ac:dyDescent="0.3">
      <c r="A418" t="s">
        <v>92</v>
      </c>
      <c r="B418">
        <v>20611461021</v>
      </c>
      <c r="C418" t="s">
        <v>536</v>
      </c>
      <c r="D418" t="s">
        <v>54</v>
      </c>
      <c r="E418" s="1">
        <v>45924</v>
      </c>
      <c r="F418">
        <v>698.34</v>
      </c>
      <c r="G418" t="s">
        <v>1436</v>
      </c>
      <c r="H418">
        <f>_xlfn.XLOOKUP(E418,K:K,L:L)</f>
        <v>13</v>
      </c>
    </row>
    <row r="419" spans="1:8" x14ac:dyDescent="0.3">
      <c r="A419" t="s">
        <v>92</v>
      </c>
      <c r="B419">
        <v>20614064332</v>
      </c>
      <c r="C419" t="s">
        <v>537</v>
      </c>
      <c r="D419" t="s">
        <v>54</v>
      </c>
      <c r="E419" s="1">
        <v>45924</v>
      </c>
      <c r="F419">
        <v>838.0200000000001</v>
      </c>
      <c r="G419" t="s">
        <v>1436</v>
      </c>
      <c r="H419">
        <f>_xlfn.XLOOKUP(E419,K:K,L:L)</f>
        <v>13</v>
      </c>
    </row>
    <row r="420" spans="1:8" x14ac:dyDescent="0.3">
      <c r="A420" t="s">
        <v>92</v>
      </c>
      <c r="B420">
        <v>20602500021</v>
      </c>
      <c r="C420" t="s">
        <v>538</v>
      </c>
      <c r="D420" t="s">
        <v>65</v>
      </c>
      <c r="E420" s="1">
        <v>45924</v>
      </c>
      <c r="F420">
        <v>187.79999999999998</v>
      </c>
      <c r="G420" t="s">
        <v>1436</v>
      </c>
      <c r="H420">
        <f>_xlfn.XLOOKUP(E420,K:K,L:L)</f>
        <v>13</v>
      </c>
    </row>
    <row r="421" spans="1:8" x14ac:dyDescent="0.3">
      <c r="A421" t="s">
        <v>92</v>
      </c>
      <c r="B421">
        <v>20604712654</v>
      </c>
      <c r="C421" t="s">
        <v>539</v>
      </c>
      <c r="D421" t="s">
        <v>540</v>
      </c>
      <c r="E421" s="1">
        <v>45924</v>
      </c>
      <c r="F421">
        <v>704.71</v>
      </c>
      <c r="G421" t="s">
        <v>1436</v>
      </c>
      <c r="H421">
        <f>_xlfn.XLOOKUP(E421,K:K,L:L)</f>
        <v>13</v>
      </c>
    </row>
    <row r="422" spans="1:8" x14ac:dyDescent="0.3">
      <c r="A422" t="s">
        <v>92</v>
      </c>
      <c r="B422">
        <v>20409498958</v>
      </c>
      <c r="C422" t="s">
        <v>541</v>
      </c>
      <c r="D422" t="s">
        <v>162</v>
      </c>
      <c r="E422" s="1">
        <v>45924</v>
      </c>
      <c r="F422">
        <v>151.4</v>
      </c>
      <c r="G422" t="s">
        <v>1436</v>
      </c>
      <c r="H422">
        <f>_xlfn.XLOOKUP(E422,K:K,L:L)</f>
        <v>13</v>
      </c>
    </row>
    <row r="423" spans="1:8" x14ac:dyDescent="0.3">
      <c r="A423" t="s">
        <v>92</v>
      </c>
      <c r="B423">
        <v>20504508723</v>
      </c>
      <c r="C423" t="s">
        <v>542</v>
      </c>
      <c r="D423" t="s">
        <v>18</v>
      </c>
      <c r="E423" s="1">
        <v>45924</v>
      </c>
      <c r="F423">
        <v>338.2</v>
      </c>
      <c r="G423" t="s">
        <v>1436</v>
      </c>
      <c r="H423">
        <f>_xlfn.XLOOKUP(E423,K:K,L:L)</f>
        <v>13</v>
      </c>
    </row>
    <row r="424" spans="1:8" x14ac:dyDescent="0.3">
      <c r="A424" t="s">
        <v>92</v>
      </c>
      <c r="B424">
        <v>20524413826</v>
      </c>
      <c r="C424" t="s">
        <v>543</v>
      </c>
      <c r="D424" t="s">
        <v>544</v>
      </c>
      <c r="E424" s="1">
        <v>45924</v>
      </c>
      <c r="F424">
        <v>320.76000000000005</v>
      </c>
      <c r="G424" t="s">
        <v>1436</v>
      </c>
      <c r="H424">
        <f>_xlfn.XLOOKUP(E424,K:K,L:L)</f>
        <v>13</v>
      </c>
    </row>
    <row r="425" spans="1:8" x14ac:dyDescent="0.3">
      <c r="A425" t="s">
        <v>92</v>
      </c>
      <c r="B425">
        <v>20612677639</v>
      </c>
      <c r="C425" t="s">
        <v>545</v>
      </c>
      <c r="D425" t="s">
        <v>546</v>
      </c>
      <c r="E425" s="1">
        <v>45924</v>
      </c>
      <c r="F425">
        <v>129.29</v>
      </c>
      <c r="G425" t="s">
        <v>1436</v>
      </c>
      <c r="H425">
        <f>_xlfn.XLOOKUP(E425,K:K,L:L)</f>
        <v>13</v>
      </c>
    </row>
    <row r="426" spans="1:8" x14ac:dyDescent="0.3">
      <c r="A426" t="s">
        <v>6</v>
      </c>
      <c r="B426">
        <v>20571604974</v>
      </c>
      <c r="C426" t="s">
        <v>57</v>
      </c>
      <c r="D426" t="s">
        <v>58</v>
      </c>
      <c r="E426" s="1">
        <v>45924</v>
      </c>
      <c r="F426">
        <v>251.01</v>
      </c>
      <c r="G426" t="s">
        <v>1436</v>
      </c>
      <c r="H426">
        <f>_xlfn.XLOOKUP(E426,K:K,L:L)</f>
        <v>13</v>
      </c>
    </row>
    <row r="427" spans="1:8" x14ac:dyDescent="0.3">
      <c r="A427" t="s">
        <v>6</v>
      </c>
      <c r="B427">
        <v>20604720215</v>
      </c>
      <c r="C427" t="s">
        <v>59</v>
      </c>
      <c r="D427" t="s">
        <v>60</v>
      </c>
      <c r="E427" s="1">
        <v>45924</v>
      </c>
      <c r="F427">
        <v>1410.04</v>
      </c>
      <c r="G427" t="s">
        <v>1436</v>
      </c>
      <c r="H427">
        <f>_xlfn.XLOOKUP(E427,K:K,L:L)</f>
        <v>13</v>
      </c>
    </row>
    <row r="428" spans="1:8" x14ac:dyDescent="0.3">
      <c r="A428" t="s">
        <v>93</v>
      </c>
      <c r="B428">
        <v>20609932776</v>
      </c>
      <c r="C428" t="s">
        <v>547</v>
      </c>
      <c r="D428" t="s">
        <v>21</v>
      </c>
      <c r="E428" s="1">
        <v>45924</v>
      </c>
      <c r="F428">
        <v>3505.89</v>
      </c>
      <c r="G428" t="s">
        <v>1436</v>
      </c>
      <c r="H428">
        <f>_xlfn.XLOOKUP(E428,K:K,L:L)</f>
        <v>13</v>
      </c>
    </row>
    <row r="429" spans="1:8" x14ac:dyDescent="0.3">
      <c r="A429" t="s">
        <v>93</v>
      </c>
      <c r="B429">
        <v>20601421586</v>
      </c>
      <c r="C429" t="s">
        <v>548</v>
      </c>
      <c r="D429" t="s">
        <v>549</v>
      </c>
      <c r="E429" s="1">
        <v>45924</v>
      </c>
      <c r="F429">
        <v>523.53</v>
      </c>
      <c r="G429" t="s">
        <v>1436</v>
      </c>
      <c r="H429">
        <f>_xlfn.XLOOKUP(E429,K:K,L:L)</f>
        <v>13</v>
      </c>
    </row>
    <row r="430" spans="1:8" x14ac:dyDescent="0.3">
      <c r="A430" t="s">
        <v>92</v>
      </c>
      <c r="B430">
        <v>10072414590</v>
      </c>
      <c r="C430" t="s">
        <v>550</v>
      </c>
      <c r="D430" t="s">
        <v>7</v>
      </c>
      <c r="E430" s="1">
        <v>45925</v>
      </c>
      <c r="F430">
        <v>148.61000000000001</v>
      </c>
      <c r="G430" t="s">
        <v>1436</v>
      </c>
      <c r="H430">
        <f>_xlfn.XLOOKUP(E430,K:K,L:L)</f>
        <v>14</v>
      </c>
    </row>
    <row r="431" spans="1:8" x14ac:dyDescent="0.3">
      <c r="A431" t="s">
        <v>92</v>
      </c>
      <c r="B431">
        <v>10723532111</v>
      </c>
      <c r="C431" t="s">
        <v>551</v>
      </c>
      <c r="D431" t="s">
        <v>7</v>
      </c>
      <c r="E431" s="1">
        <v>45925</v>
      </c>
      <c r="F431">
        <v>148.61000000000001</v>
      </c>
      <c r="G431" t="s">
        <v>1436</v>
      </c>
      <c r="H431">
        <f>_xlfn.XLOOKUP(E431,K:K,L:L)</f>
        <v>14</v>
      </c>
    </row>
    <row r="432" spans="1:8" x14ac:dyDescent="0.3">
      <c r="A432" t="s">
        <v>92</v>
      </c>
      <c r="B432">
        <v>10736127364</v>
      </c>
      <c r="C432" t="s">
        <v>552</v>
      </c>
      <c r="D432" t="s">
        <v>54</v>
      </c>
      <c r="E432" s="1">
        <v>45925</v>
      </c>
      <c r="F432">
        <v>942.77</v>
      </c>
      <c r="G432" t="s">
        <v>1436</v>
      </c>
      <c r="H432">
        <f>_xlfn.XLOOKUP(E432,K:K,L:L)</f>
        <v>14</v>
      </c>
    </row>
    <row r="433" spans="1:8" x14ac:dyDescent="0.3">
      <c r="A433" t="s">
        <v>92</v>
      </c>
      <c r="B433">
        <v>20480547901</v>
      </c>
      <c r="C433" t="s">
        <v>553</v>
      </c>
      <c r="D433" t="s">
        <v>7</v>
      </c>
      <c r="E433" s="1">
        <v>45925</v>
      </c>
      <c r="F433">
        <v>148.61000000000001</v>
      </c>
      <c r="G433" t="s">
        <v>1436</v>
      </c>
      <c r="H433">
        <f>_xlfn.XLOOKUP(E433,K:K,L:L)</f>
        <v>14</v>
      </c>
    </row>
    <row r="434" spans="1:8" x14ac:dyDescent="0.3">
      <c r="A434" t="s">
        <v>92</v>
      </c>
      <c r="B434">
        <v>20487476634</v>
      </c>
      <c r="C434" t="s">
        <v>554</v>
      </c>
      <c r="D434" t="s">
        <v>27</v>
      </c>
      <c r="E434" s="1">
        <v>45925</v>
      </c>
      <c r="F434">
        <v>261.84000000000003</v>
      </c>
      <c r="G434" t="s">
        <v>1436</v>
      </c>
      <c r="H434">
        <f>_xlfn.XLOOKUP(E434,K:K,L:L)</f>
        <v>14</v>
      </c>
    </row>
    <row r="435" spans="1:8" x14ac:dyDescent="0.3">
      <c r="A435" t="s">
        <v>92</v>
      </c>
      <c r="B435">
        <v>20548615241</v>
      </c>
      <c r="C435" t="s">
        <v>555</v>
      </c>
      <c r="D435" t="s">
        <v>27</v>
      </c>
      <c r="E435" s="1">
        <v>45925</v>
      </c>
      <c r="F435">
        <v>270.57</v>
      </c>
      <c r="G435" t="s">
        <v>1436</v>
      </c>
      <c r="H435">
        <f>_xlfn.XLOOKUP(E435,K:K,L:L)</f>
        <v>14</v>
      </c>
    </row>
    <row r="436" spans="1:8" x14ac:dyDescent="0.3">
      <c r="A436" t="s">
        <v>92</v>
      </c>
      <c r="B436">
        <v>20549591176</v>
      </c>
      <c r="C436" t="s">
        <v>556</v>
      </c>
      <c r="D436" t="s">
        <v>27</v>
      </c>
      <c r="E436" s="1">
        <v>45925</v>
      </c>
      <c r="F436">
        <v>715.44</v>
      </c>
      <c r="G436" t="s">
        <v>1436</v>
      </c>
      <c r="H436">
        <f>_xlfn.XLOOKUP(E436,K:K,L:L)</f>
        <v>14</v>
      </c>
    </row>
    <row r="437" spans="1:8" x14ac:dyDescent="0.3">
      <c r="A437" t="s">
        <v>92</v>
      </c>
      <c r="B437">
        <v>20550545170</v>
      </c>
      <c r="C437" t="s">
        <v>557</v>
      </c>
      <c r="D437" t="s">
        <v>7</v>
      </c>
      <c r="E437" s="1">
        <v>45925</v>
      </c>
      <c r="F437">
        <v>263.03000000000003</v>
      </c>
      <c r="G437" t="s">
        <v>1436</v>
      </c>
      <c r="H437">
        <f>_xlfn.XLOOKUP(E437,K:K,L:L)</f>
        <v>14</v>
      </c>
    </row>
    <row r="438" spans="1:8" x14ac:dyDescent="0.3">
      <c r="A438" t="s">
        <v>92</v>
      </c>
      <c r="B438">
        <v>20550636728</v>
      </c>
      <c r="C438" t="s">
        <v>558</v>
      </c>
      <c r="D438" t="s">
        <v>7</v>
      </c>
      <c r="E438" s="1">
        <v>45925</v>
      </c>
      <c r="F438">
        <v>739.42</v>
      </c>
      <c r="G438" t="s">
        <v>1436</v>
      </c>
      <c r="H438">
        <f>_xlfn.XLOOKUP(E438,K:K,L:L)</f>
        <v>14</v>
      </c>
    </row>
    <row r="439" spans="1:8" x14ac:dyDescent="0.3">
      <c r="A439" t="s">
        <v>92</v>
      </c>
      <c r="B439">
        <v>20601245974</v>
      </c>
      <c r="C439" t="s">
        <v>559</v>
      </c>
      <c r="D439" t="s">
        <v>54</v>
      </c>
      <c r="E439" s="1">
        <v>45925</v>
      </c>
      <c r="F439">
        <v>1086.98</v>
      </c>
      <c r="G439" t="s">
        <v>1436</v>
      </c>
      <c r="H439">
        <f>_xlfn.XLOOKUP(E439,K:K,L:L)</f>
        <v>14</v>
      </c>
    </row>
    <row r="440" spans="1:8" x14ac:dyDescent="0.3">
      <c r="A440" t="s">
        <v>92</v>
      </c>
      <c r="B440">
        <v>20602727816</v>
      </c>
      <c r="C440" t="s">
        <v>560</v>
      </c>
      <c r="D440" t="s">
        <v>54</v>
      </c>
      <c r="E440" s="1">
        <v>45925</v>
      </c>
      <c r="F440">
        <v>247.51999999999998</v>
      </c>
      <c r="G440" t="s">
        <v>1436</v>
      </c>
      <c r="H440">
        <f>_xlfn.XLOOKUP(E440,K:K,L:L)</f>
        <v>14</v>
      </c>
    </row>
    <row r="441" spans="1:8" x14ac:dyDescent="0.3">
      <c r="A441" t="s">
        <v>92</v>
      </c>
      <c r="B441">
        <v>20605124691</v>
      </c>
      <c r="C441" t="s">
        <v>561</v>
      </c>
      <c r="D441" t="s">
        <v>54</v>
      </c>
      <c r="E441" s="1">
        <v>45925</v>
      </c>
      <c r="F441">
        <v>651.16000000000008</v>
      </c>
      <c r="G441" t="s">
        <v>1436</v>
      </c>
      <c r="H441">
        <f>_xlfn.XLOOKUP(E441,K:K,L:L)</f>
        <v>14</v>
      </c>
    </row>
    <row r="442" spans="1:8" x14ac:dyDescent="0.3">
      <c r="A442" t="s">
        <v>92</v>
      </c>
      <c r="B442">
        <v>20608900757</v>
      </c>
      <c r="C442" t="s">
        <v>562</v>
      </c>
      <c r="D442" t="s">
        <v>7</v>
      </c>
      <c r="E442" s="1">
        <v>45925</v>
      </c>
      <c r="F442">
        <v>126.82000000000001</v>
      </c>
      <c r="G442" t="s">
        <v>1436</v>
      </c>
      <c r="H442">
        <f>_xlfn.XLOOKUP(E442,K:K,L:L)</f>
        <v>14</v>
      </c>
    </row>
    <row r="443" spans="1:8" x14ac:dyDescent="0.3">
      <c r="A443" t="s">
        <v>92</v>
      </c>
      <c r="B443">
        <v>20610217584</v>
      </c>
      <c r="C443" t="s">
        <v>563</v>
      </c>
      <c r="D443" t="s">
        <v>27</v>
      </c>
      <c r="E443" s="1">
        <v>45925</v>
      </c>
      <c r="F443">
        <v>185.37</v>
      </c>
      <c r="G443" t="s">
        <v>1436</v>
      </c>
      <c r="H443">
        <f>_xlfn.XLOOKUP(E443,K:K,L:L)</f>
        <v>14</v>
      </c>
    </row>
    <row r="444" spans="1:8" x14ac:dyDescent="0.3">
      <c r="A444" t="s">
        <v>92</v>
      </c>
      <c r="B444">
        <v>20613029622</v>
      </c>
      <c r="C444" t="s">
        <v>564</v>
      </c>
      <c r="D444" t="s">
        <v>138</v>
      </c>
      <c r="E444" s="1">
        <v>45925</v>
      </c>
      <c r="F444">
        <v>528.44000000000005</v>
      </c>
      <c r="G444" t="s">
        <v>1436</v>
      </c>
      <c r="H444">
        <f>_xlfn.XLOOKUP(E444,K:K,L:L)</f>
        <v>14</v>
      </c>
    </row>
    <row r="445" spans="1:8" x14ac:dyDescent="0.3">
      <c r="A445" t="s">
        <v>92</v>
      </c>
      <c r="B445">
        <v>20613535111</v>
      </c>
      <c r="C445" t="s">
        <v>565</v>
      </c>
      <c r="D445" t="s">
        <v>7</v>
      </c>
      <c r="E445" s="1">
        <v>45925</v>
      </c>
      <c r="F445">
        <v>935.04</v>
      </c>
      <c r="G445" t="s">
        <v>1436</v>
      </c>
      <c r="H445">
        <f>_xlfn.XLOOKUP(E445,K:K,L:L)</f>
        <v>14</v>
      </c>
    </row>
    <row r="446" spans="1:8" x14ac:dyDescent="0.3">
      <c r="A446" t="s">
        <v>92</v>
      </c>
      <c r="B446">
        <v>20603296487</v>
      </c>
      <c r="C446" t="s">
        <v>566</v>
      </c>
      <c r="D446" t="s">
        <v>65</v>
      </c>
      <c r="E446" s="1">
        <v>45925</v>
      </c>
      <c r="F446">
        <v>256.14</v>
      </c>
      <c r="G446" t="s">
        <v>1436</v>
      </c>
      <c r="H446">
        <f>_xlfn.XLOOKUP(E446,K:K,L:L)</f>
        <v>14</v>
      </c>
    </row>
    <row r="447" spans="1:8" x14ac:dyDescent="0.3">
      <c r="A447" t="s">
        <v>92</v>
      </c>
      <c r="B447">
        <v>20606224614</v>
      </c>
      <c r="C447" t="s">
        <v>567</v>
      </c>
      <c r="D447" t="s">
        <v>16</v>
      </c>
      <c r="E447" s="1">
        <v>45925</v>
      </c>
      <c r="F447">
        <v>231.32000000000002</v>
      </c>
      <c r="G447" t="s">
        <v>1436</v>
      </c>
      <c r="H447">
        <f>_xlfn.XLOOKUP(E447,K:K,L:L)</f>
        <v>14</v>
      </c>
    </row>
    <row r="448" spans="1:8" x14ac:dyDescent="0.3">
      <c r="A448" t="s">
        <v>92</v>
      </c>
      <c r="B448">
        <v>20610741763</v>
      </c>
      <c r="C448" t="s">
        <v>568</v>
      </c>
      <c r="D448" t="s">
        <v>114</v>
      </c>
      <c r="E448" s="1">
        <v>45925</v>
      </c>
      <c r="F448">
        <v>264.27999999999997</v>
      </c>
      <c r="G448" t="s">
        <v>1436</v>
      </c>
      <c r="H448">
        <f>_xlfn.XLOOKUP(E448,K:K,L:L)</f>
        <v>14</v>
      </c>
    </row>
    <row r="449" spans="1:8" x14ac:dyDescent="0.3">
      <c r="A449" t="s">
        <v>92</v>
      </c>
      <c r="B449">
        <v>20510797109</v>
      </c>
      <c r="C449" t="s">
        <v>569</v>
      </c>
      <c r="D449" t="s">
        <v>18</v>
      </c>
      <c r="E449" s="1">
        <v>45925</v>
      </c>
      <c r="F449">
        <v>94.78</v>
      </c>
      <c r="G449" t="s">
        <v>1436</v>
      </c>
      <c r="H449">
        <f>_xlfn.XLOOKUP(E449,K:K,L:L)</f>
        <v>14</v>
      </c>
    </row>
    <row r="450" spans="1:8" x14ac:dyDescent="0.3">
      <c r="A450" t="s">
        <v>92</v>
      </c>
      <c r="B450">
        <v>20609358913</v>
      </c>
      <c r="C450" t="s">
        <v>570</v>
      </c>
      <c r="D450" t="s">
        <v>473</v>
      </c>
      <c r="E450" s="1">
        <v>45925</v>
      </c>
      <c r="F450">
        <v>270.07</v>
      </c>
      <c r="G450" t="s">
        <v>1436</v>
      </c>
      <c r="H450">
        <f>_xlfn.XLOOKUP(E450,K:K,L:L)</f>
        <v>14</v>
      </c>
    </row>
    <row r="451" spans="1:8" x14ac:dyDescent="0.3">
      <c r="A451" t="s">
        <v>6</v>
      </c>
      <c r="B451">
        <v>20539365551</v>
      </c>
      <c r="C451" t="s">
        <v>61</v>
      </c>
      <c r="D451" t="s">
        <v>7</v>
      </c>
      <c r="E451" s="1">
        <v>45925</v>
      </c>
      <c r="F451">
        <v>333.79</v>
      </c>
      <c r="G451" t="s">
        <v>1436</v>
      </c>
      <c r="H451">
        <f>_xlfn.XLOOKUP(E451,K:K,L:L)</f>
        <v>14</v>
      </c>
    </row>
    <row r="452" spans="1:8" x14ac:dyDescent="0.3">
      <c r="A452" t="s">
        <v>6</v>
      </c>
      <c r="B452">
        <v>20604729433</v>
      </c>
      <c r="C452" t="s">
        <v>62</v>
      </c>
      <c r="D452" t="s">
        <v>7</v>
      </c>
      <c r="E452" s="1">
        <v>45925</v>
      </c>
      <c r="F452">
        <v>197.26999999999998</v>
      </c>
      <c r="G452" t="s">
        <v>1436</v>
      </c>
      <c r="H452">
        <f>_xlfn.XLOOKUP(E452,K:K,L:L)</f>
        <v>14</v>
      </c>
    </row>
    <row r="453" spans="1:8" x14ac:dyDescent="0.3">
      <c r="A453" t="s">
        <v>6</v>
      </c>
      <c r="B453">
        <v>20608321714</v>
      </c>
      <c r="C453" t="s">
        <v>63</v>
      </c>
      <c r="D453" t="s">
        <v>7</v>
      </c>
      <c r="E453" s="1">
        <v>45925</v>
      </c>
      <c r="F453">
        <v>143.31</v>
      </c>
      <c r="G453" t="s">
        <v>1436</v>
      </c>
      <c r="H453">
        <f>_xlfn.XLOOKUP(E453,K:K,L:L)</f>
        <v>14</v>
      </c>
    </row>
    <row r="454" spans="1:8" x14ac:dyDescent="0.3">
      <c r="A454" t="s">
        <v>6</v>
      </c>
      <c r="B454">
        <v>20571521254</v>
      </c>
      <c r="C454" t="s">
        <v>64</v>
      </c>
      <c r="D454" t="s">
        <v>65</v>
      </c>
      <c r="E454" s="1">
        <v>45925</v>
      </c>
      <c r="F454">
        <v>1393.35</v>
      </c>
      <c r="G454" t="s">
        <v>1436</v>
      </c>
      <c r="H454">
        <f>_xlfn.XLOOKUP(E454,K:K,L:L)</f>
        <v>14</v>
      </c>
    </row>
    <row r="455" spans="1:8" x14ac:dyDescent="0.3">
      <c r="A455" t="s">
        <v>93</v>
      </c>
      <c r="B455">
        <v>20291847049</v>
      </c>
      <c r="C455" t="s">
        <v>571</v>
      </c>
      <c r="D455" t="s">
        <v>572</v>
      </c>
      <c r="E455" s="1">
        <v>45925</v>
      </c>
      <c r="F455">
        <v>70.06</v>
      </c>
      <c r="G455" t="s">
        <v>1436</v>
      </c>
      <c r="H455">
        <f>_xlfn.XLOOKUP(E455,K:K,L:L)</f>
        <v>14</v>
      </c>
    </row>
    <row r="456" spans="1:8" x14ac:dyDescent="0.3">
      <c r="A456" t="s">
        <v>92</v>
      </c>
      <c r="B456">
        <v>10028218228</v>
      </c>
      <c r="C456" t="s">
        <v>573</v>
      </c>
      <c r="D456" t="s">
        <v>42</v>
      </c>
      <c r="E456" s="1">
        <v>45926</v>
      </c>
      <c r="F456">
        <v>678.47</v>
      </c>
      <c r="G456" t="s">
        <v>1436</v>
      </c>
      <c r="H456">
        <f>_xlfn.XLOOKUP(E456,K:K,L:L)</f>
        <v>15</v>
      </c>
    </row>
    <row r="457" spans="1:8" x14ac:dyDescent="0.3">
      <c r="A457" t="s">
        <v>92</v>
      </c>
      <c r="B457">
        <v>10402950167</v>
      </c>
      <c r="C457" t="s">
        <v>574</v>
      </c>
      <c r="D457" t="s">
        <v>27</v>
      </c>
      <c r="E457" s="1">
        <v>45926</v>
      </c>
      <c r="F457">
        <v>261.97000000000003</v>
      </c>
      <c r="G457" t="s">
        <v>1436</v>
      </c>
      <c r="H457">
        <f>_xlfn.XLOOKUP(E457,K:K,L:L)</f>
        <v>15</v>
      </c>
    </row>
    <row r="458" spans="1:8" x14ac:dyDescent="0.3">
      <c r="A458" t="s">
        <v>92</v>
      </c>
      <c r="B458">
        <v>10405612165</v>
      </c>
      <c r="C458" t="s">
        <v>575</v>
      </c>
      <c r="D458" t="s">
        <v>138</v>
      </c>
      <c r="E458" s="1">
        <v>45926</v>
      </c>
      <c r="F458">
        <v>398.04</v>
      </c>
      <c r="G458" t="s">
        <v>1436</v>
      </c>
      <c r="H458">
        <f>_xlfn.XLOOKUP(E458,K:K,L:L)</f>
        <v>15</v>
      </c>
    </row>
    <row r="459" spans="1:8" x14ac:dyDescent="0.3">
      <c r="A459" t="s">
        <v>92</v>
      </c>
      <c r="B459">
        <v>10426357238</v>
      </c>
      <c r="C459" t="s">
        <v>576</v>
      </c>
      <c r="D459" t="s">
        <v>7</v>
      </c>
      <c r="E459" s="1">
        <v>45926</v>
      </c>
      <c r="F459">
        <v>130.41</v>
      </c>
      <c r="G459" t="s">
        <v>1436</v>
      </c>
      <c r="H459">
        <f>_xlfn.XLOOKUP(E459,K:K,L:L)</f>
        <v>15</v>
      </c>
    </row>
    <row r="460" spans="1:8" x14ac:dyDescent="0.3">
      <c r="A460" t="s">
        <v>92</v>
      </c>
      <c r="B460">
        <v>20512827013</v>
      </c>
      <c r="C460" t="s">
        <v>577</v>
      </c>
      <c r="D460" t="s">
        <v>7</v>
      </c>
      <c r="E460" s="1">
        <v>45926</v>
      </c>
      <c r="F460">
        <v>148.76</v>
      </c>
      <c r="G460" t="s">
        <v>1436</v>
      </c>
      <c r="H460">
        <f>_xlfn.XLOOKUP(E460,K:K,L:L)</f>
        <v>15</v>
      </c>
    </row>
    <row r="461" spans="1:8" x14ac:dyDescent="0.3">
      <c r="A461" t="s">
        <v>92</v>
      </c>
      <c r="B461">
        <v>20529522399</v>
      </c>
      <c r="C461" t="s">
        <v>578</v>
      </c>
      <c r="D461" t="s">
        <v>7</v>
      </c>
      <c r="E461" s="1">
        <v>45926</v>
      </c>
      <c r="F461">
        <v>279.16999999999996</v>
      </c>
      <c r="G461" t="s">
        <v>1436</v>
      </c>
      <c r="H461">
        <f>_xlfn.XLOOKUP(E461,K:K,L:L)</f>
        <v>15</v>
      </c>
    </row>
    <row r="462" spans="1:8" x14ac:dyDescent="0.3">
      <c r="A462" t="s">
        <v>92</v>
      </c>
      <c r="B462">
        <v>20530276105</v>
      </c>
      <c r="C462" t="s">
        <v>579</v>
      </c>
      <c r="D462" t="s">
        <v>7</v>
      </c>
      <c r="E462" s="1">
        <v>45926</v>
      </c>
      <c r="F462">
        <v>327.88</v>
      </c>
      <c r="G462" t="s">
        <v>1436</v>
      </c>
      <c r="H462">
        <f>_xlfn.XLOOKUP(E462,K:K,L:L)</f>
        <v>15</v>
      </c>
    </row>
    <row r="463" spans="1:8" x14ac:dyDescent="0.3">
      <c r="A463" t="s">
        <v>92</v>
      </c>
      <c r="B463">
        <v>20556709786</v>
      </c>
      <c r="C463" t="s">
        <v>580</v>
      </c>
      <c r="D463" t="s">
        <v>7</v>
      </c>
      <c r="E463" s="1">
        <v>45926</v>
      </c>
      <c r="F463">
        <v>157.97</v>
      </c>
      <c r="G463" t="s">
        <v>1436</v>
      </c>
      <c r="H463">
        <f>_xlfn.XLOOKUP(E463,K:K,L:L)</f>
        <v>15</v>
      </c>
    </row>
    <row r="464" spans="1:8" x14ac:dyDescent="0.3">
      <c r="A464" t="s">
        <v>92</v>
      </c>
      <c r="B464">
        <v>20559135284</v>
      </c>
      <c r="C464" t="s">
        <v>581</v>
      </c>
      <c r="D464" t="s">
        <v>7</v>
      </c>
      <c r="E464" s="1">
        <v>45926</v>
      </c>
      <c r="F464">
        <v>148.76</v>
      </c>
      <c r="G464" t="s">
        <v>1436</v>
      </c>
      <c r="H464">
        <f>_xlfn.XLOOKUP(E464,K:K,L:L)</f>
        <v>15</v>
      </c>
    </row>
    <row r="465" spans="1:8" x14ac:dyDescent="0.3">
      <c r="A465" t="s">
        <v>92</v>
      </c>
      <c r="B465">
        <v>20600954131</v>
      </c>
      <c r="C465" t="s">
        <v>582</v>
      </c>
      <c r="D465" t="s">
        <v>7</v>
      </c>
      <c r="E465" s="1">
        <v>45926</v>
      </c>
      <c r="F465">
        <v>148.76</v>
      </c>
      <c r="G465" t="s">
        <v>1436</v>
      </c>
      <c r="H465">
        <f>_xlfn.XLOOKUP(E465,K:K,L:L)</f>
        <v>15</v>
      </c>
    </row>
    <row r="466" spans="1:8" x14ac:dyDescent="0.3">
      <c r="A466" t="s">
        <v>92</v>
      </c>
      <c r="B466">
        <v>10401291364</v>
      </c>
      <c r="C466" t="s">
        <v>583</v>
      </c>
      <c r="D466" t="s">
        <v>65</v>
      </c>
      <c r="E466" s="1">
        <v>45926</v>
      </c>
      <c r="F466">
        <v>199.22</v>
      </c>
      <c r="G466" t="s">
        <v>1436</v>
      </c>
      <c r="H466">
        <f>_xlfn.XLOOKUP(E466,K:K,L:L)</f>
        <v>15</v>
      </c>
    </row>
    <row r="467" spans="1:8" x14ac:dyDescent="0.3">
      <c r="A467" t="s">
        <v>92</v>
      </c>
      <c r="B467">
        <v>20515921746</v>
      </c>
      <c r="C467" t="s">
        <v>584</v>
      </c>
      <c r="D467" t="s">
        <v>261</v>
      </c>
      <c r="E467" s="1">
        <v>45926</v>
      </c>
      <c r="F467">
        <v>739.49</v>
      </c>
      <c r="G467" t="s">
        <v>1436</v>
      </c>
      <c r="H467">
        <f>_xlfn.XLOOKUP(E467,K:K,L:L)</f>
        <v>15</v>
      </c>
    </row>
    <row r="468" spans="1:8" x14ac:dyDescent="0.3">
      <c r="A468" t="s">
        <v>92</v>
      </c>
      <c r="B468">
        <v>20534397993</v>
      </c>
      <c r="C468" t="s">
        <v>585</v>
      </c>
      <c r="D468" t="s">
        <v>65</v>
      </c>
      <c r="E468" s="1">
        <v>45926</v>
      </c>
      <c r="F468">
        <v>271.27999999999997</v>
      </c>
      <c r="G468" t="s">
        <v>1436</v>
      </c>
      <c r="H468">
        <f>_xlfn.XLOOKUP(E468,K:K,L:L)</f>
        <v>15</v>
      </c>
    </row>
    <row r="469" spans="1:8" x14ac:dyDescent="0.3">
      <c r="A469" t="s">
        <v>92</v>
      </c>
      <c r="B469">
        <v>20610026151</v>
      </c>
      <c r="C469" t="s">
        <v>586</v>
      </c>
      <c r="D469" t="s">
        <v>16</v>
      </c>
      <c r="E469" s="1">
        <v>45926</v>
      </c>
      <c r="F469">
        <v>131.05000000000001</v>
      </c>
      <c r="G469" t="s">
        <v>1436</v>
      </c>
      <c r="H469">
        <f>_xlfn.XLOOKUP(E469,K:K,L:L)</f>
        <v>15</v>
      </c>
    </row>
    <row r="470" spans="1:8" x14ac:dyDescent="0.3">
      <c r="A470" t="s">
        <v>92</v>
      </c>
      <c r="B470">
        <v>20612731773</v>
      </c>
      <c r="C470" t="s">
        <v>587</v>
      </c>
      <c r="D470" t="s">
        <v>114</v>
      </c>
      <c r="E470" s="1">
        <v>45926</v>
      </c>
      <c r="F470">
        <v>646.71</v>
      </c>
      <c r="G470" t="s">
        <v>1436</v>
      </c>
      <c r="H470">
        <f>_xlfn.XLOOKUP(E470,K:K,L:L)</f>
        <v>15</v>
      </c>
    </row>
    <row r="471" spans="1:8" x14ac:dyDescent="0.3">
      <c r="A471" t="s">
        <v>92</v>
      </c>
      <c r="B471">
        <v>20602241069</v>
      </c>
      <c r="C471" t="s">
        <v>588</v>
      </c>
      <c r="D471" t="s">
        <v>164</v>
      </c>
      <c r="E471" s="1">
        <v>45926</v>
      </c>
      <c r="F471">
        <v>2808.4700000000003</v>
      </c>
      <c r="G471" t="s">
        <v>1436</v>
      </c>
      <c r="H471">
        <f>_xlfn.XLOOKUP(E471,K:K,L:L)</f>
        <v>15</v>
      </c>
    </row>
    <row r="472" spans="1:8" x14ac:dyDescent="0.3">
      <c r="A472" t="s">
        <v>92</v>
      </c>
      <c r="B472">
        <v>20605955763</v>
      </c>
      <c r="C472" t="s">
        <v>589</v>
      </c>
      <c r="D472" t="s">
        <v>316</v>
      </c>
      <c r="E472" s="1">
        <v>45926</v>
      </c>
      <c r="F472">
        <v>279.2</v>
      </c>
      <c r="G472" t="s">
        <v>1436</v>
      </c>
      <c r="H472">
        <f>_xlfn.XLOOKUP(E472,K:K,L:L)</f>
        <v>15</v>
      </c>
    </row>
    <row r="473" spans="1:8" x14ac:dyDescent="0.3">
      <c r="A473" t="s">
        <v>6</v>
      </c>
      <c r="B473">
        <v>10011615738</v>
      </c>
      <c r="C473" t="s">
        <v>66</v>
      </c>
      <c r="D473" t="s">
        <v>7</v>
      </c>
      <c r="E473" s="1">
        <v>45926</v>
      </c>
      <c r="F473">
        <v>138.49</v>
      </c>
      <c r="G473" t="s">
        <v>1436</v>
      </c>
      <c r="H473">
        <f>_xlfn.XLOOKUP(E473,K:K,L:L)</f>
        <v>15</v>
      </c>
    </row>
    <row r="474" spans="1:8" x14ac:dyDescent="0.3">
      <c r="A474" t="s">
        <v>6</v>
      </c>
      <c r="B474">
        <v>20600598857</v>
      </c>
      <c r="C474" t="s">
        <v>67</v>
      </c>
      <c r="D474" t="s">
        <v>7</v>
      </c>
      <c r="E474" s="1">
        <v>45926</v>
      </c>
      <c r="F474">
        <v>279.16999999999996</v>
      </c>
      <c r="G474" t="s">
        <v>1436</v>
      </c>
      <c r="H474">
        <f>_xlfn.XLOOKUP(E474,K:K,L:L)</f>
        <v>15</v>
      </c>
    </row>
    <row r="475" spans="1:8" x14ac:dyDescent="0.3">
      <c r="A475" t="s">
        <v>6</v>
      </c>
      <c r="B475">
        <v>20611469064</v>
      </c>
      <c r="C475" t="s">
        <v>68</v>
      </c>
      <c r="D475" t="s">
        <v>27</v>
      </c>
      <c r="E475" s="1">
        <v>45926</v>
      </c>
      <c r="F475">
        <v>261.97000000000003</v>
      </c>
      <c r="G475" t="s">
        <v>1436</v>
      </c>
      <c r="H475">
        <f>_xlfn.XLOOKUP(E475,K:K,L:L)</f>
        <v>15</v>
      </c>
    </row>
    <row r="476" spans="1:8" x14ac:dyDescent="0.3">
      <c r="A476" t="s">
        <v>93</v>
      </c>
      <c r="B476">
        <v>10407160881</v>
      </c>
      <c r="C476" t="s">
        <v>590</v>
      </c>
      <c r="D476" t="s">
        <v>591</v>
      </c>
      <c r="E476" s="1">
        <v>45926</v>
      </c>
      <c r="F476">
        <v>2875.6</v>
      </c>
      <c r="G476" t="s">
        <v>1436</v>
      </c>
      <c r="H476">
        <f>_xlfn.XLOOKUP(E476,K:K,L:L)</f>
        <v>15</v>
      </c>
    </row>
    <row r="477" spans="1:8" x14ac:dyDescent="0.3">
      <c r="A477" t="s">
        <v>93</v>
      </c>
      <c r="B477">
        <v>20285204501</v>
      </c>
      <c r="C477" t="s">
        <v>592</v>
      </c>
      <c r="D477" t="s">
        <v>593</v>
      </c>
      <c r="E477" s="1">
        <v>45926</v>
      </c>
      <c r="F477">
        <v>14.29</v>
      </c>
      <c r="G477" t="s">
        <v>1436</v>
      </c>
      <c r="H477">
        <f>_xlfn.XLOOKUP(E477,K:K,L:L)</f>
        <v>15</v>
      </c>
    </row>
    <row r="478" spans="1:8" x14ac:dyDescent="0.3">
      <c r="A478" t="s">
        <v>92</v>
      </c>
      <c r="B478">
        <v>17149598405</v>
      </c>
      <c r="C478" t="s">
        <v>594</v>
      </c>
      <c r="D478" t="s">
        <v>7</v>
      </c>
      <c r="E478" s="1">
        <v>45927</v>
      </c>
      <c r="F478">
        <v>148.91</v>
      </c>
      <c r="G478" t="s">
        <v>1436</v>
      </c>
      <c r="H478">
        <f>_xlfn.XLOOKUP(E478,K:K,L:L)</f>
        <v>15</v>
      </c>
    </row>
    <row r="479" spans="1:8" x14ac:dyDescent="0.3">
      <c r="A479" t="s">
        <v>92</v>
      </c>
      <c r="B479">
        <v>20531455313</v>
      </c>
      <c r="C479" t="s">
        <v>595</v>
      </c>
      <c r="D479" t="s">
        <v>27</v>
      </c>
      <c r="E479" s="1">
        <v>45927</v>
      </c>
      <c r="F479">
        <v>782.57999999999993</v>
      </c>
      <c r="G479" t="s">
        <v>1436</v>
      </c>
      <c r="H479">
        <f>_xlfn.XLOOKUP(E479,K:K,L:L)</f>
        <v>15</v>
      </c>
    </row>
    <row r="480" spans="1:8" x14ac:dyDescent="0.3">
      <c r="A480" t="s">
        <v>92</v>
      </c>
      <c r="B480">
        <v>20609409666</v>
      </c>
      <c r="C480" t="s">
        <v>596</v>
      </c>
      <c r="D480" t="s">
        <v>7</v>
      </c>
      <c r="E480" s="1">
        <v>45927</v>
      </c>
      <c r="F480">
        <v>173.28</v>
      </c>
      <c r="G480" t="s">
        <v>1436</v>
      </c>
      <c r="H480">
        <f>_xlfn.XLOOKUP(E480,K:K,L:L)</f>
        <v>15</v>
      </c>
    </row>
    <row r="481" spans="1:8" x14ac:dyDescent="0.3">
      <c r="A481" t="s">
        <v>92</v>
      </c>
      <c r="B481">
        <v>20611800356</v>
      </c>
      <c r="C481" t="s">
        <v>597</v>
      </c>
      <c r="D481" t="s">
        <v>54</v>
      </c>
      <c r="E481" s="1">
        <v>45927</v>
      </c>
      <c r="F481">
        <v>395.22</v>
      </c>
      <c r="G481" t="s">
        <v>1436</v>
      </c>
      <c r="H481">
        <f>_xlfn.XLOOKUP(E481,K:K,L:L)</f>
        <v>15</v>
      </c>
    </row>
    <row r="482" spans="1:8" x14ac:dyDescent="0.3">
      <c r="A482" t="s">
        <v>92</v>
      </c>
      <c r="B482">
        <v>20538779238</v>
      </c>
      <c r="C482" t="s">
        <v>598</v>
      </c>
      <c r="D482" t="s">
        <v>468</v>
      </c>
      <c r="E482" s="1">
        <v>45927</v>
      </c>
      <c r="F482">
        <v>363</v>
      </c>
      <c r="G482" t="s">
        <v>1436</v>
      </c>
      <c r="H482">
        <f>_xlfn.XLOOKUP(E482,K:K,L:L)</f>
        <v>15</v>
      </c>
    </row>
    <row r="483" spans="1:8" x14ac:dyDescent="0.3">
      <c r="A483" t="s">
        <v>92</v>
      </c>
      <c r="B483">
        <v>20609092107</v>
      </c>
      <c r="C483" t="s">
        <v>599</v>
      </c>
      <c r="D483" t="s">
        <v>58</v>
      </c>
      <c r="E483" s="1">
        <v>45927</v>
      </c>
      <c r="F483">
        <v>264.67999999999995</v>
      </c>
      <c r="G483" t="s">
        <v>1436</v>
      </c>
      <c r="H483">
        <f>_xlfn.XLOOKUP(E483,K:K,L:L)</f>
        <v>15</v>
      </c>
    </row>
    <row r="484" spans="1:8" x14ac:dyDescent="0.3">
      <c r="A484" t="s">
        <v>92</v>
      </c>
      <c r="B484">
        <v>20612279455</v>
      </c>
      <c r="C484" t="s">
        <v>600</v>
      </c>
      <c r="D484" t="s">
        <v>473</v>
      </c>
      <c r="E484" s="1">
        <v>45927</v>
      </c>
      <c r="F484">
        <v>2208.9299999999998</v>
      </c>
      <c r="G484" t="s">
        <v>1436</v>
      </c>
      <c r="H484">
        <f>_xlfn.XLOOKUP(E484,K:K,L:L)</f>
        <v>15</v>
      </c>
    </row>
    <row r="485" spans="1:8" x14ac:dyDescent="0.3">
      <c r="A485" t="s">
        <v>6</v>
      </c>
      <c r="B485">
        <v>20472604423</v>
      </c>
      <c r="C485" t="s">
        <v>69</v>
      </c>
      <c r="D485" t="s">
        <v>7</v>
      </c>
      <c r="E485" s="1">
        <v>45927</v>
      </c>
      <c r="F485">
        <v>2474.58</v>
      </c>
      <c r="G485" t="s">
        <v>1436</v>
      </c>
      <c r="H485">
        <f>_xlfn.XLOOKUP(E485,K:K,L:L)</f>
        <v>15</v>
      </c>
    </row>
    <row r="486" spans="1:8" x14ac:dyDescent="0.3">
      <c r="A486" t="s">
        <v>93</v>
      </c>
      <c r="B486">
        <v>20101414940</v>
      </c>
      <c r="C486" t="s">
        <v>601</v>
      </c>
      <c r="D486" t="s">
        <v>412</v>
      </c>
      <c r="E486" s="1">
        <v>45927</v>
      </c>
      <c r="F486">
        <v>79392.31</v>
      </c>
      <c r="G486" t="s">
        <v>1436</v>
      </c>
      <c r="H486">
        <f>_xlfn.XLOOKUP(E486,K:K,L:L)</f>
        <v>15</v>
      </c>
    </row>
    <row r="487" spans="1:8" x14ac:dyDescent="0.3">
      <c r="A487" t="s">
        <v>92</v>
      </c>
      <c r="B487">
        <v>10086786678</v>
      </c>
      <c r="C487" t="s">
        <v>602</v>
      </c>
      <c r="D487" t="s">
        <v>27</v>
      </c>
      <c r="E487" s="1">
        <v>45929</v>
      </c>
      <c r="F487">
        <v>262.24</v>
      </c>
      <c r="G487" t="s">
        <v>1436</v>
      </c>
      <c r="H487">
        <f>_xlfn.XLOOKUP(E487,K:K,L:L)</f>
        <v>16</v>
      </c>
    </row>
    <row r="488" spans="1:8" x14ac:dyDescent="0.3">
      <c r="A488" t="s">
        <v>92</v>
      </c>
      <c r="B488">
        <v>10166567535</v>
      </c>
      <c r="C488" t="s">
        <v>603</v>
      </c>
      <c r="D488" t="s">
        <v>27</v>
      </c>
      <c r="E488" s="1">
        <v>45929</v>
      </c>
      <c r="F488">
        <v>131.10000000000002</v>
      </c>
      <c r="G488" t="s">
        <v>1436</v>
      </c>
      <c r="H488">
        <f>_xlfn.XLOOKUP(E488,K:K,L:L)</f>
        <v>16</v>
      </c>
    </row>
    <row r="489" spans="1:8" x14ac:dyDescent="0.3">
      <c r="A489" t="s">
        <v>92</v>
      </c>
      <c r="B489">
        <v>10462453251</v>
      </c>
      <c r="C489" t="s">
        <v>604</v>
      </c>
      <c r="D489" t="s">
        <v>54</v>
      </c>
      <c r="E489" s="1">
        <v>45929</v>
      </c>
      <c r="F489">
        <v>395.22</v>
      </c>
      <c r="G489" t="s">
        <v>1436</v>
      </c>
      <c r="H489">
        <f>_xlfn.XLOOKUP(E489,K:K,L:L)</f>
        <v>16</v>
      </c>
    </row>
    <row r="490" spans="1:8" x14ac:dyDescent="0.3">
      <c r="A490" t="s">
        <v>92</v>
      </c>
      <c r="B490">
        <v>10735756643</v>
      </c>
      <c r="C490" t="s">
        <v>605</v>
      </c>
      <c r="D490" t="s">
        <v>27</v>
      </c>
      <c r="E490" s="1">
        <v>45929</v>
      </c>
      <c r="F490">
        <v>262.24</v>
      </c>
      <c r="G490" t="s">
        <v>1436</v>
      </c>
      <c r="H490">
        <f>_xlfn.XLOOKUP(E490,K:K,L:L)</f>
        <v>16</v>
      </c>
    </row>
    <row r="491" spans="1:8" x14ac:dyDescent="0.3">
      <c r="A491" t="s">
        <v>92</v>
      </c>
      <c r="B491">
        <v>20452775001</v>
      </c>
      <c r="C491" t="s">
        <v>606</v>
      </c>
      <c r="D491" t="s">
        <v>7</v>
      </c>
      <c r="E491" s="1">
        <v>45929</v>
      </c>
      <c r="F491">
        <v>197.66</v>
      </c>
      <c r="G491" t="s">
        <v>1436</v>
      </c>
      <c r="H491">
        <f>_xlfn.XLOOKUP(E491,K:K,L:L)</f>
        <v>16</v>
      </c>
    </row>
    <row r="492" spans="1:8" x14ac:dyDescent="0.3">
      <c r="A492" t="s">
        <v>92</v>
      </c>
      <c r="B492">
        <v>20522086968</v>
      </c>
      <c r="C492" t="s">
        <v>607</v>
      </c>
      <c r="D492" t="s">
        <v>7</v>
      </c>
      <c r="E492" s="1">
        <v>45929</v>
      </c>
      <c r="F492">
        <v>163.80000000000001</v>
      </c>
      <c r="G492" t="s">
        <v>1436</v>
      </c>
      <c r="H492">
        <f>_xlfn.XLOOKUP(E492,K:K,L:L)</f>
        <v>16</v>
      </c>
    </row>
    <row r="493" spans="1:8" x14ac:dyDescent="0.3">
      <c r="A493" t="s">
        <v>92</v>
      </c>
      <c r="B493">
        <v>20551261272</v>
      </c>
      <c r="C493" t="s">
        <v>608</v>
      </c>
      <c r="D493" t="s">
        <v>7</v>
      </c>
      <c r="E493" s="1">
        <v>45929</v>
      </c>
      <c r="F493">
        <v>258.67</v>
      </c>
      <c r="G493" t="s">
        <v>1436</v>
      </c>
      <c r="H493">
        <f>_xlfn.XLOOKUP(E493,K:K,L:L)</f>
        <v>16</v>
      </c>
    </row>
    <row r="494" spans="1:8" x14ac:dyDescent="0.3">
      <c r="A494" t="s">
        <v>92</v>
      </c>
      <c r="B494">
        <v>20558317184</v>
      </c>
      <c r="C494" t="s">
        <v>609</v>
      </c>
      <c r="D494" t="s">
        <v>7</v>
      </c>
      <c r="E494" s="1">
        <v>45929</v>
      </c>
      <c r="F494">
        <v>78.319999999999993</v>
      </c>
      <c r="G494" t="s">
        <v>1436</v>
      </c>
      <c r="H494">
        <f>_xlfn.XLOOKUP(E494,K:K,L:L)</f>
        <v>16</v>
      </c>
    </row>
    <row r="495" spans="1:8" x14ac:dyDescent="0.3">
      <c r="A495" t="s">
        <v>92</v>
      </c>
      <c r="B495">
        <v>20568776659</v>
      </c>
      <c r="C495" t="s">
        <v>610</v>
      </c>
      <c r="D495" t="s">
        <v>27</v>
      </c>
      <c r="E495" s="1">
        <v>45929</v>
      </c>
      <c r="F495">
        <v>786.68000000000006</v>
      </c>
      <c r="G495" t="s">
        <v>1436</v>
      </c>
      <c r="H495">
        <f>_xlfn.XLOOKUP(E495,K:K,L:L)</f>
        <v>16</v>
      </c>
    </row>
    <row r="496" spans="1:8" x14ac:dyDescent="0.3">
      <c r="A496" t="s">
        <v>92</v>
      </c>
      <c r="B496">
        <v>20604959501</v>
      </c>
      <c r="C496" t="s">
        <v>611</v>
      </c>
      <c r="D496" t="s">
        <v>138</v>
      </c>
      <c r="E496" s="1">
        <v>45929</v>
      </c>
      <c r="F496">
        <v>281</v>
      </c>
      <c r="G496" t="s">
        <v>1436</v>
      </c>
      <c r="H496">
        <f>_xlfn.XLOOKUP(E496,K:K,L:L)</f>
        <v>16</v>
      </c>
    </row>
    <row r="497" spans="1:8" x14ac:dyDescent="0.3">
      <c r="A497" t="s">
        <v>92</v>
      </c>
      <c r="B497">
        <v>20605531777</v>
      </c>
      <c r="C497" t="s">
        <v>612</v>
      </c>
      <c r="D497" t="s">
        <v>27</v>
      </c>
      <c r="E497" s="1">
        <v>45929</v>
      </c>
      <c r="F497">
        <v>696.19</v>
      </c>
      <c r="G497" t="s">
        <v>1436</v>
      </c>
      <c r="H497">
        <f>_xlfn.XLOOKUP(E497,K:K,L:L)</f>
        <v>16</v>
      </c>
    </row>
    <row r="498" spans="1:8" x14ac:dyDescent="0.3">
      <c r="A498" t="s">
        <v>92</v>
      </c>
      <c r="B498">
        <v>20607319309</v>
      </c>
      <c r="C498" t="s">
        <v>613</v>
      </c>
      <c r="D498" t="s">
        <v>7</v>
      </c>
      <c r="E498" s="1">
        <v>45929</v>
      </c>
      <c r="F498">
        <v>130.54</v>
      </c>
      <c r="G498" t="s">
        <v>1436</v>
      </c>
      <c r="H498">
        <f>_xlfn.XLOOKUP(E498,K:K,L:L)</f>
        <v>16</v>
      </c>
    </row>
    <row r="499" spans="1:8" x14ac:dyDescent="0.3">
      <c r="A499" t="s">
        <v>92</v>
      </c>
      <c r="B499">
        <v>20610564845</v>
      </c>
      <c r="C499" t="s">
        <v>614</v>
      </c>
      <c r="D499" t="s">
        <v>7</v>
      </c>
      <c r="E499" s="1">
        <v>45929</v>
      </c>
      <c r="F499">
        <v>148.91</v>
      </c>
      <c r="G499" t="s">
        <v>1436</v>
      </c>
      <c r="H499">
        <f>_xlfn.XLOOKUP(E499,K:K,L:L)</f>
        <v>16</v>
      </c>
    </row>
    <row r="500" spans="1:8" x14ac:dyDescent="0.3">
      <c r="A500" t="s">
        <v>92</v>
      </c>
      <c r="B500">
        <v>20611348461</v>
      </c>
      <c r="C500" t="s">
        <v>615</v>
      </c>
      <c r="D500" t="s">
        <v>7</v>
      </c>
      <c r="E500" s="1">
        <v>45929</v>
      </c>
      <c r="F500">
        <v>224.62</v>
      </c>
      <c r="G500" t="s">
        <v>1436</v>
      </c>
      <c r="H500">
        <f>_xlfn.XLOOKUP(E500,K:K,L:L)</f>
        <v>16</v>
      </c>
    </row>
    <row r="501" spans="1:8" x14ac:dyDescent="0.3">
      <c r="A501" t="s">
        <v>92</v>
      </c>
      <c r="B501">
        <v>10404531609</v>
      </c>
      <c r="C501" t="s">
        <v>616</v>
      </c>
      <c r="D501" t="s">
        <v>114</v>
      </c>
      <c r="E501" s="1">
        <v>45929</v>
      </c>
      <c r="F501">
        <v>566.59</v>
      </c>
      <c r="G501" t="s">
        <v>1436</v>
      </c>
      <c r="H501">
        <f>_xlfn.XLOOKUP(E501,K:K,L:L)</f>
        <v>16</v>
      </c>
    </row>
    <row r="502" spans="1:8" x14ac:dyDescent="0.3">
      <c r="A502" t="s">
        <v>92</v>
      </c>
      <c r="B502">
        <v>20608880683</v>
      </c>
      <c r="C502" t="s">
        <v>617</v>
      </c>
      <c r="D502" t="s">
        <v>618</v>
      </c>
      <c r="E502" s="1">
        <v>45929</v>
      </c>
      <c r="F502">
        <v>715.11</v>
      </c>
      <c r="G502" t="s">
        <v>1436</v>
      </c>
      <c r="H502">
        <f>_xlfn.XLOOKUP(E502,K:K,L:L)</f>
        <v>16</v>
      </c>
    </row>
    <row r="503" spans="1:8" x14ac:dyDescent="0.3">
      <c r="A503" t="s">
        <v>92</v>
      </c>
      <c r="B503">
        <v>20602157327</v>
      </c>
      <c r="C503" t="s">
        <v>619</v>
      </c>
      <c r="D503" t="s">
        <v>169</v>
      </c>
      <c r="E503" s="1">
        <v>45929</v>
      </c>
      <c r="F503">
        <v>1488.1799999999998</v>
      </c>
      <c r="G503" t="s">
        <v>1436</v>
      </c>
      <c r="H503">
        <f>_xlfn.XLOOKUP(E503,K:K,L:L)</f>
        <v>16</v>
      </c>
    </row>
    <row r="504" spans="1:8" x14ac:dyDescent="0.3">
      <c r="A504" t="s">
        <v>6</v>
      </c>
      <c r="B504">
        <v>20561384801</v>
      </c>
      <c r="C504" t="s">
        <v>70</v>
      </c>
      <c r="D504" t="s">
        <v>27</v>
      </c>
      <c r="E504" s="1">
        <v>45929</v>
      </c>
      <c r="F504">
        <v>21.76</v>
      </c>
      <c r="G504" t="s">
        <v>1436</v>
      </c>
      <c r="H504">
        <f>_xlfn.XLOOKUP(E504,K:K,L:L)</f>
        <v>16</v>
      </c>
    </row>
    <row r="505" spans="1:8" x14ac:dyDescent="0.3">
      <c r="A505" t="s">
        <v>93</v>
      </c>
      <c r="B505">
        <v>20425853431</v>
      </c>
      <c r="C505" t="s">
        <v>620</v>
      </c>
      <c r="D505" t="s">
        <v>450</v>
      </c>
      <c r="E505" s="1">
        <v>45929</v>
      </c>
      <c r="F505">
        <v>41.92</v>
      </c>
      <c r="G505" t="s">
        <v>1436</v>
      </c>
      <c r="H505">
        <f>_xlfn.XLOOKUP(E505,K:K,L:L)</f>
        <v>16</v>
      </c>
    </row>
    <row r="506" spans="1:8" x14ac:dyDescent="0.3">
      <c r="A506" t="s">
        <v>93</v>
      </c>
      <c r="B506">
        <v>20385104015</v>
      </c>
      <c r="C506" t="s">
        <v>621</v>
      </c>
      <c r="D506" t="s">
        <v>622</v>
      </c>
      <c r="E506" s="1">
        <v>45929</v>
      </c>
      <c r="F506">
        <v>383.64000000000004</v>
      </c>
      <c r="G506" t="s">
        <v>1436</v>
      </c>
      <c r="H506">
        <f>_xlfn.XLOOKUP(E506,K:K,L:L)</f>
        <v>16</v>
      </c>
    </row>
    <row r="507" spans="1:8" x14ac:dyDescent="0.3">
      <c r="A507" t="s">
        <v>93</v>
      </c>
      <c r="B507">
        <v>20101097286</v>
      </c>
      <c r="C507" t="s">
        <v>623</v>
      </c>
      <c r="D507" t="s">
        <v>624</v>
      </c>
      <c r="E507" s="1">
        <v>45929</v>
      </c>
      <c r="F507">
        <v>29715.95</v>
      </c>
      <c r="G507" t="s">
        <v>1436</v>
      </c>
      <c r="H507">
        <f>_xlfn.XLOOKUP(E507,K:K,L:L)</f>
        <v>16</v>
      </c>
    </row>
    <row r="508" spans="1:8" x14ac:dyDescent="0.3">
      <c r="A508" t="s">
        <v>92</v>
      </c>
      <c r="B508">
        <v>10400503481</v>
      </c>
      <c r="C508" t="s">
        <v>625</v>
      </c>
      <c r="D508" t="s">
        <v>27</v>
      </c>
      <c r="E508" s="1">
        <v>45930</v>
      </c>
      <c r="F508">
        <v>262.36</v>
      </c>
      <c r="G508" t="s">
        <v>1436</v>
      </c>
      <c r="H508">
        <f>_xlfn.XLOOKUP(E508,K:K,L:L)</f>
        <v>17</v>
      </c>
    </row>
    <row r="509" spans="1:8" x14ac:dyDescent="0.3">
      <c r="A509" t="s">
        <v>92</v>
      </c>
      <c r="B509">
        <v>10432767782</v>
      </c>
      <c r="C509" t="s">
        <v>626</v>
      </c>
      <c r="D509" t="s">
        <v>27</v>
      </c>
      <c r="E509" s="1">
        <v>45930</v>
      </c>
      <c r="F509">
        <v>288.59000000000003</v>
      </c>
      <c r="G509" t="s">
        <v>1436</v>
      </c>
      <c r="H509">
        <f>_xlfn.XLOOKUP(E509,K:K,L:L)</f>
        <v>17</v>
      </c>
    </row>
    <row r="510" spans="1:8" x14ac:dyDescent="0.3">
      <c r="A510" t="s">
        <v>92</v>
      </c>
      <c r="B510">
        <v>10468388303</v>
      </c>
      <c r="C510" t="s">
        <v>627</v>
      </c>
      <c r="D510" t="s">
        <v>7</v>
      </c>
      <c r="E510" s="1">
        <v>45930</v>
      </c>
      <c r="F510">
        <v>394.24</v>
      </c>
      <c r="G510" t="s">
        <v>1436</v>
      </c>
      <c r="H510">
        <f>_xlfn.XLOOKUP(E510,K:K,L:L)</f>
        <v>17</v>
      </c>
    </row>
    <row r="511" spans="1:8" x14ac:dyDescent="0.3">
      <c r="A511" t="s">
        <v>92</v>
      </c>
      <c r="B511">
        <v>20454859350</v>
      </c>
      <c r="C511" t="s">
        <v>628</v>
      </c>
      <c r="D511" t="s">
        <v>7</v>
      </c>
      <c r="E511" s="1">
        <v>45930</v>
      </c>
      <c r="F511">
        <v>148.91</v>
      </c>
      <c r="G511" t="s">
        <v>1436</v>
      </c>
      <c r="H511">
        <f>_xlfn.XLOOKUP(E511,K:K,L:L)</f>
        <v>17</v>
      </c>
    </row>
    <row r="512" spans="1:8" x14ac:dyDescent="0.3">
      <c r="A512" t="s">
        <v>92</v>
      </c>
      <c r="B512">
        <v>20509066800</v>
      </c>
      <c r="C512" t="s">
        <v>629</v>
      </c>
      <c r="D512" t="s">
        <v>7</v>
      </c>
      <c r="E512" s="1">
        <v>45930</v>
      </c>
      <c r="F512">
        <v>212.56</v>
      </c>
      <c r="G512" t="s">
        <v>1436</v>
      </c>
      <c r="H512">
        <f>_xlfn.XLOOKUP(E512,K:K,L:L)</f>
        <v>17</v>
      </c>
    </row>
    <row r="513" spans="1:8" x14ac:dyDescent="0.3">
      <c r="A513" t="s">
        <v>92</v>
      </c>
      <c r="B513">
        <v>20513839406</v>
      </c>
      <c r="C513" t="s">
        <v>630</v>
      </c>
      <c r="D513" t="s">
        <v>7</v>
      </c>
      <c r="E513" s="1">
        <v>45930</v>
      </c>
      <c r="F513">
        <v>279.45</v>
      </c>
      <c r="G513" t="s">
        <v>1436</v>
      </c>
      <c r="H513">
        <f>_xlfn.XLOOKUP(E513,K:K,L:L)</f>
        <v>17</v>
      </c>
    </row>
    <row r="514" spans="1:8" x14ac:dyDescent="0.3">
      <c r="A514" t="s">
        <v>92</v>
      </c>
      <c r="B514">
        <v>20602746934</v>
      </c>
      <c r="C514" t="s">
        <v>631</v>
      </c>
      <c r="D514" t="s">
        <v>7</v>
      </c>
      <c r="E514" s="1">
        <v>45930</v>
      </c>
      <c r="F514">
        <v>500.72</v>
      </c>
      <c r="G514" t="s">
        <v>1436</v>
      </c>
      <c r="H514">
        <f>_xlfn.XLOOKUP(E514,K:K,L:L)</f>
        <v>17</v>
      </c>
    </row>
    <row r="515" spans="1:8" x14ac:dyDescent="0.3">
      <c r="A515" t="s">
        <v>92</v>
      </c>
      <c r="B515">
        <v>20603394080</v>
      </c>
      <c r="C515" t="s">
        <v>632</v>
      </c>
      <c r="D515" t="s">
        <v>27</v>
      </c>
      <c r="E515" s="1">
        <v>45930</v>
      </c>
      <c r="F515">
        <v>157.41</v>
      </c>
      <c r="G515" t="s">
        <v>1436</v>
      </c>
      <c r="H515">
        <f>_xlfn.XLOOKUP(E515,K:K,L:L)</f>
        <v>17</v>
      </c>
    </row>
    <row r="516" spans="1:8" x14ac:dyDescent="0.3">
      <c r="A516" t="s">
        <v>92</v>
      </c>
      <c r="B516">
        <v>20604411247</v>
      </c>
      <c r="C516" t="s">
        <v>633</v>
      </c>
      <c r="D516" t="s">
        <v>7</v>
      </c>
      <c r="E516" s="1">
        <v>45930</v>
      </c>
      <c r="F516">
        <v>148.91</v>
      </c>
      <c r="G516" t="s">
        <v>1436</v>
      </c>
      <c r="H516">
        <f>_xlfn.XLOOKUP(E516,K:K,L:L)</f>
        <v>17</v>
      </c>
    </row>
    <row r="517" spans="1:8" x14ac:dyDescent="0.3">
      <c r="A517" t="s">
        <v>92</v>
      </c>
      <c r="B517">
        <v>20605397213</v>
      </c>
      <c r="C517" t="s">
        <v>634</v>
      </c>
      <c r="D517" t="s">
        <v>7</v>
      </c>
      <c r="E517" s="1">
        <v>45930</v>
      </c>
      <c r="F517">
        <v>148.91</v>
      </c>
      <c r="G517" t="s">
        <v>1436</v>
      </c>
      <c r="H517">
        <f>_xlfn.XLOOKUP(E517,K:K,L:L)</f>
        <v>17</v>
      </c>
    </row>
    <row r="518" spans="1:8" x14ac:dyDescent="0.3">
      <c r="A518" t="s">
        <v>92</v>
      </c>
      <c r="B518">
        <v>20605558853</v>
      </c>
      <c r="C518" t="s">
        <v>635</v>
      </c>
      <c r="D518" t="s">
        <v>54</v>
      </c>
      <c r="E518" s="1">
        <v>45930</v>
      </c>
      <c r="F518">
        <v>347.71</v>
      </c>
      <c r="G518" t="s">
        <v>1436</v>
      </c>
      <c r="H518">
        <f>_xlfn.XLOOKUP(E518,K:K,L:L)</f>
        <v>17</v>
      </c>
    </row>
    <row r="519" spans="1:8" x14ac:dyDescent="0.3">
      <c r="A519" t="s">
        <v>92</v>
      </c>
      <c r="B519">
        <v>20609537486</v>
      </c>
      <c r="C519" t="s">
        <v>636</v>
      </c>
      <c r="D519" t="s">
        <v>54</v>
      </c>
      <c r="E519" s="1">
        <v>45930</v>
      </c>
      <c r="F519">
        <v>419.83000000000004</v>
      </c>
      <c r="G519" t="s">
        <v>1436</v>
      </c>
      <c r="H519">
        <f>_xlfn.XLOOKUP(E519,K:K,L:L)</f>
        <v>17</v>
      </c>
    </row>
    <row r="520" spans="1:8" x14ac:dyDescent="0.3">
      <c r="A520" t="s">
        <v>92</v>
      </c>
      <c r="B520">
        <v>10095822245</v>
      </c>
      <c r="C520" t="s">
        <v>637</v>
      </c>
      <c r="D520" t="s">
        <v>65</v>
      </c>
      <c r="E520" s="1">
        <v>45930</v>
      </c>
      <c r="F520">
        <v>527.28</v>
      </c>
      <c r="G520" t="s">
        <v>1436</v>
      </c>
      <c r="H520">
        <f>_xlfn.XLOOKUP(E520,K:K,L:L)</f>
        <v>17</v>
      </c>
    </row>
    <row r="521" spans="1:8" x14ac:dyDescent="0.3">
      <c r="A521" t="s">
        <v>92</v>
      </c>
      <c r="B521">
        <v>20553517835</v>
      </c>
      <c r="C521" t="s">
        <v>638</v>
      </c>
      <c r="D521" t="s">
        <v>153</v>
      </c>
      <c r="E521" s="1">
        <v>45930</v>
      </c>
      <c r="F521">
        <v>3750.2799999999997</v>
      </c>
      <c r="G521" t="s">
        <v>1436</v>
      </c>
      <c r="H521">
        <f>_xlfn.XLOOKUP(E521,K:K,L:L)</f>
        <v>17</v>
      </c>
    </row>
    <row r="522" spans="1:8" x14ac:dyDescent="0.3">
      <c r="A522" t="s">
        <v>92</v>
      </c>
      <c r="B522">
        <v>20602820271</v>
      </c>
      <c r="C522" t="s">
        <v>639</v>
      </c>
      <c r="D522" t="s">
        <v>114</v>
      </c>
      <c r="E522" s="1">
        <v>45930</v>
      </c>
      <c r="F522">
        <v>264.79999999999995</v>
      </c>
      <c r="G522" t="s">
        <v>1436</v>
      </c>
      <c r="H522">
        <f>_xlfn.XLOOKUP(E522,K:K,L:L)</f>
        <v>17</v>
      </c>
    </row>
    <row r="523" spans="1:8" x14ac:dyDescent="0.3">
      <c r="A523" t="s">
        <v>92</v>
      </c>
      <c r="B523">
        <v>20524433185</v>
      </c>
      <c r="C523" t="s">
        <v>640</v>
      </c>
      <c r="D523" t="s">
        <v>12</v>
      </c>
      <c r="E523" s="1">
        <v>45930</v>
      </c>
      <c r="F523">
        <v>395.34</v>
      </c>
      <c r="G523" t="s">
        <v>1436</v>
      </c>
      <c r="H523">
        <f>_xlfn.XLOOKUP(E523,K:K,L:L)</f>
        <v>17</v>
      </c>
    </row>
    <row r="524" spans="1:8" x14ac:dyDescent="0.3">
      <c r="A524" t="s">
        <v>92</v>
      </c>
      <c r="B524">
        <v>10097684818</v>
      </c>
      <c r="C524" t="s">
        <v>641</v>
      </c>
      <c r="D524" t="s">
        <v>169</v>
      </c>
      <c r="E524" s="1">
        <v>45930</v>
      </c>
      <c r="F524">
        <v>271.74</v>
      </c>
      <c r="G524" t="s">
        <v>1436</v>
      </c>
      <c r="H524">
        <f>_xlfn.XLOOKUP(E524,K:K,L:L)</f>
        <v>17</v>
      </c>
    </row>
    <row r="525" spans="1:8" x14ac:dyDescent="0.3">
      <c r="A525" t="s">
        <v>6</v>
      </c>
      <c r="B525">
        <v>20481214549</v>
      </c>
      <c r="C525" t="s">
        <v>71</v>
      </c>
      <c r="D525" t="s">
        <v>7</v>
      </c>
      <c r="E525" s="1">
        <v>45930</v>
      </c>
      <c r="F525">
        <v>130.54</v>
      </c>
      <c r="G525" t="s">
        <v>1436</v>
      </c>
      <c r="H525">
        <f>_xlfn.XLOOKUP(E525,K:K,L:L)</f>
        <v>17</v>
      </c>
    </row>
    <row r="526" spans="1:8" x14ac:dyDescent="0.3">
      <c r="A526" t="s">
        <v>6</v>
      </c>
      <c r="B526">
        <v>20555208953</v>
      </c>
      <c r="C526" t="s">
        <v>72</v>
      </c>
      <c r="D526" t="s">
        <v>73</v>
      </c>
      <c r="E526" s="1">
        <v>45930</v>
      </c>
      <c r="F526">
        <v>7564.2599999999993</v>
      </c>
      <c r="G526" t="s">
        <v>1436</v>
      </c>
      <c r="H526">
        <f>_xlfn.XLOOKUP(E526,K:K,L:L)</f>
        <v>17</v>
      </c>
    </row>
    <row r="527" spans="1:8" x14ac:dyDescent="0.3">
      <c r="A527" t="s">
        <v>93</v>
      </c>
      <c r="B527">
        <v>20510027419</v>
      </c>
      <c r="C527" t="s">
        <v>642</v>
      </c>
      <c r="D527" t="s">
        <v>468</v>
      </c>
      <c r="E527" s="1">
        <v>45930</v>
      </c>
      <c r="F527">
        <v>8090.4400000000005</v>
      </c>
      <c r="G527" t="s">
        <v>1436</v>
      </c>
      <c r="H527">
        <f>_xlfn.XLOOKUP(E527,K:K,L:L)</f>
        <v>17</v>
      </c>
    </row>
    <row r="528" spans="1:8" x14ac:dyDescent="0.3">
      <c r="A528" t="s">
        <v>93</v>
      </c>
      <c r="B528">
        <v>20267366412</v>
      </c>
      <c r="C528" t="s">
        <v>643</v>
      </c>
      <c r="D528" t="s">
        <v>644</v>
      </c>
      <c r="E528" s="1">
        <v>45930</v>
      </c>
      <c r="F528">
        <v>5233.1299999999992</v>
      </c>
      <c r="G528" t="s">
        <v>1436</v>
      </c>
      <c r="H528">
        <f>_xlfn.XLOOKUP(E528,K:K,L:L)</f>
        <v>17</v>
      </c>
    </row>
    <row r="529" spans="1:8" x14ac:dyDescent="0.3">
      <c r="A529" t="s">
        <v>92</v>
      </c>
      <c r="B529">
        <v>10078194966</v>
      </c>
      <c r="C529" t="s">
        <v>645</v>
      </c>
      <c r="D529" t="s">
        <v>7</v>
      </c>
      <c r="E529" s="1">
        <v>45931</v>
      </c>
      <c r="F529">
        <v>148.91</v>
      </c>
      <c r="G529" t="s">
        <v>1436</v>
      </c>
      <c r="H529">
        <f>_xlfn.XLOOKUP(E529,K:K,L:L)</f>
        <v>18</v>
      </c>
    </row>
    <row r="530" spans="1:8" x14ac:dyDescent="0.3">
      <c r="A530" t="s">
        <v>92</v>
      </c>
      <c r="B530">
        <v>20498416986</v>
      </c>
      <c r="C530" t="s">
        <v>646</v>
      </c>
      <c r="D530" t="s">
        <v>7</v>
      </c>
      <c r="E530" s="1">
        <v>45931</v>
      </c>
      <c r="F530">
        <v>654.64</v>
      </c>
      <c r="G530" t="s">
        <v>1436</v>
      </c>
      <c r="H530">
        <f>_xlfn.XLOOKUP(E530,K:K,L:L)</f>
        <v>18</v>
      </c>
    </row>
    <row r="531" spans="1:8" x14ac:dyDescent="0.3">
      <c r="A531" t="s">
        <v>92</v>
      </c>
      <c r="B531">
        <v>20514805033</v>
      </c>
      <c r="C531" t="s">
        <v>647</v>
      </c>
      <c r="D531" t="s">
        <v>7</v>
      </c>
      <c r="E531" s="1">
        <v>45931</v>
      </c>
      <c r="F531">
        <v>197.66</v>
      </c>
      <c r="G531" t="s">
        <v>1436</v>
      </c>
      <c r="H531">
        <f>_xlfn.XLOOKUP(E531,K:K,L:L)</f>
        <v>18</v>
      </c>
    </row>
    <row r="532" spans="1:8" x14ac:dyDescent="0.3">
      <c r="A532" t="s">
        <v>92</v>
      </c>
      <c r="B532">
        <v>20524422817</v>
      </c>
      <c r="C532" t="s">
        <v>648</v>
      </c>
      <c r="D532" t="s">
        <v>7</v>
      </c>
      <c r="E532" s="1">
        <v>45931</v>
      </c>
      <c r="F532">
        <v>192.57</v>
      </c>
      <c r="G532" t="s">
        <v>1436</v>
      </c>
      <c r="H532">
        <f>_xlfn.XLOOKUP(E532,K:K,L:L)</f>
        <v>18</v>
      </c>
    </row>
    <row r="533" spans="1:8" x14ac:dyDescent="0.3">
      <c r="A533" t="s">
        <v>92</v>
      </c>
      <c r="B533">
        <v>20538270807</v>
      </c>
      <c r="C533" t="s">
        <v>649</v>
      </c>
      <c r="D533" t="s">
        <v>7</v>
      </c>
      <c r="E533" s="1">
        <v>45931</v>
      </c>
      <c r="F533">
        <v>130.54</v>
      </c>
      <c r="G533" t="s">
        <v>1436</v>
      </c>
      <c r="H533">
        <f>_xlfn.XLOOKUP(E533,K:K,L:L)</f>
        <v>18</v>
      </c>
    </row>
    <row r="534" spans="1:8" x14ac:dyDescent="0.3">
      <c r="A534" t="s">
        <v>92</v>
      </c>
      <c r="B534">
        <v>20602016880</v>
      </c>
      <c r="C534" t="s">
        <v>650</v>
      </c>
      <c r="D534" t="s">
        <v>138</v>
      </c>
      <c r="E534" s="1">
        <v>45931</v>
      </c>
      <c r="F534">
        <v>603.48</v>
      </c>
      <c r="G534" t="s">
        <v>1436</v>
      </c>
      <c r="H534">
        <f>_xlfn.XLOOKUP(E534,K:K,L:L)</f>
        <v>18</v>
      </c>
    </row>
    <row r="535" spans="1:8" x14ac:dyDescent="0.3">
      <c r="A535" t="s">
        <v>92</v>
      </c>
      <c r="B535">
        <v>20603074697</v>
      </c>
      <c r="C535" t="s">
        <v>651</v>
      </c>
      <c r="D535" t="s">
        <v>7</v>
      </c>
      <c r="E535" s="1">
        <v>45931</v>
      </c>
      <c r="F535">
        <v>148.91</v>
      </c>
      <c r="G535" t="s">
        <v>1436</v>
      </c>
      <c r="H535">
        <f>_xlfn.XLOOKUP(E535,K:K,L:L)</f>
        <v>18</v>
      </c>
    </row>
    <row r="536" spans="1:8" x14ac:dyDescent="0.3">
      <c r="A536" t="s">
        <v>92</v>
      </c>
      <c r="B536">
        <v>20603112645</v>
      </c>
      <c r="C536" t="s">
        <v>652</v>
      </c>
      <c r="D536" t="s">
        <v>27</v>
      </c>
      <c r="E536" s="1">
        <v>45931</v>
      </c>
      <c r="F536">
        <v>696.53</v>
      </c>
      <c r="G536" t="s">
        <v>1436</v>
      </c>
      <c r="H536">
        <f>_xlfn.XLOOKUP(E536,K:K,L:L)</f>
        <v>18</v>
      </c>
    </row>
    <row r="537" spans="1:8" x14ac:dyDescent="0.3">
      <c r="A537" t="s">
        <v>92</v>
      </c>
      <c r="B537">
        <v>20605320041</v>
      </c>
      <c r="C537" t="s">
        <v>653</v>
      </c>
      <c r="D537" t="s">
        <v>206</v>
      </c>
      <c r="E537" s="1">
        <v>45931</v>
      </c>
      <c r="F537">
        <v>1329.51</v>
      </c>
      <c r="G537" t="s">
        <v>1436</v>
      </c>
      <c r="H537">
        <f>_xlfn.XLOOKUP(E537,K:K,L:L)</f>
        <v>18</v>
      </c>
    </row>
    <row r="538" spans="1:8" x14ac:dyDescent="0.3">
      <c r="A538" t="s">
        <v>92</v>
      </c>
      <c r="B538">
        <v>20605734261</v>
      </c>
      <c r="C538" t="s">
        <v>654</v>
      </c>
      <c r="D538" t="s">
        <v>54</v>
      </c>
      <c r="E538" s="1">
        <v>45931</v>
      </c>
      <c r="F538">
        <v>670.65000000000009</v>
      </c>
      <c r="G538" t="s">
        <v>1436</v>
      </c>
      <c r="H538">
        <f>_xlfn.XLOOKUP(E538,K:K,L:L)</f>
        <v>18</v>
      </c>
    </row>
    <row r="539" spans="1:8" x14ac:dyDescent="0.3">
      <c r="A539" t="s">
        <v>92</v>
      </c>
      <c r="B539">
        <v>20609905507</v>
      </c>
      <c r="C539" t="s">
        <v>655</v>
      </c>
      <c r="D539" t="s">
        <v>7</v>
      </c>
      <c r="E539" s="1">
        <v>45931</v>
      </c>
      <c r="F539">
        <v>279.44</v>
      </c>
      <c r="G539" t="s">
        <v>1436</v>
      </c>
      <c r="H539">
        <f>_xlfn.XLOOKUP(E539,K:K,L:L)</f>
        <v>18</v>
      </c>
    </row>
    <row r="540" spans="1:8" x14ac:dyDescent="0.3">
      <c r="A540" t="s">
        <v>92</v>
      </c>
      <c r="B540">
        <v>20610214186</v>
      </c>
      <c r="C540" t="s">
        <v>656</v>
      </c>
      <c r="D540" t="s">
        <v>58</v>
      </c>
      <c r="E540" s="1">
        <v>45931</v>
      </c>
      <c r="F540">
        <v>264.79999999999995</v>
      </c>
      <c r="G540" t="s">
        <v>1436</v>
      </c>
      <c r="H540">
        <f>_xlfn.XLOOKUP(E540,K:K,L:L)</f>
        <v>18</v>
      </c>
    </row>
    <row r="541" spans="1:8" x14ac:dyDescent="0.3">
      <c r="A541" t="s">
        <v>92</v>
      </c>
      <c r="B541">
        <v>20613274864</v>
      </c>
      <c r="C541" t="s">
        <v>657</v>
      </c>
      <c r="D541" t="s">
        <v>162</v>
      </c>
      <c r="E541" s="1">
        <v>45931</v>
      </c>
      <c r="F541">
        <v>848.86</v>
      </c>
      <c r="G541" t="s">
        <v>1436</v>
      </c>
      <c r="H541">
        <f>_xlfn.XLOOKUP(E541,K:K,L:L)</f>
        <v>18</v>
      </c>
    </row>
    <row r="542" spans="1:8" x14ac:dyDescent="0.3">
      <c r="A542" t="s">
        <v>92</v>
      </c>
      <c r="B542">
        <v>10028996611</v>
      </c>
      <c r="C542" t="s">
        <v>658</v>
      </c>
      <c r="D542" t="s">
        <v>119</v>
      </c>
      <c r="E542" s="1">
        <v>45931</v>
      </c>
      <c r="F542">
        <v>468.03</v>
      </c>
      <c r="G542" t="s">
        <v>1436</v>
      </c>
      <c r="H542">
        <f>_xlfn.XLOOKUP(E542,K:K,L:L)</f>
        <v>18</v>
      </c>
    </row>
    <row r="543" spans="1:8" x14ac:dyDescent="0.3">
      <c r="A543" t="s">
        <v>92</v>
      </c>
      <c r="B543">
        <v>20613017187</v>
      </c>
      <c r="C543" t="s">
        <v>659</v>
      </c>
      <c r="D543" t="s">
        <v>18</v>
      </c>
      <c r="E543" s="1">
        <v>45931</v>
      </c>
      <c r="F543">
        <v>134.13</v>
      </c>
      <c r="G543" t="s">
        <v>1436</v>
      </c>
      <c r="H543">
        <f>_xlfn.XLOOKUP(E543,K:K,L:L)</f>
        <v>18</v>
      </c>
    </row>
    <row r="544" spans="1:8" x14ac:dyDescent="0.3">
      <c r="A544" t="s">
        <v>92</v>
      </c>
      <c r="B544">
        <v>20606586982</v>
      </c>
      <c r="C544" t="s">
        <v>660</v>
      </c>
      <c r="D544" t="s">
        <v>371</v>
      </c>
      <c r="E544" s="1">
        <v>45931</v>
      </c>
      <c r="F544">
        <v>391.94</v>
      </c>
      <c r="G544" t="s">
        <v>1436</v>
      </c>
      <c r="H544">
        <f>_xlfn.XLOOKUP(E544,K:K,L:L)</f>
        <v>18</v>
      </c>
    </row>
    <row r="545" spans="1:8" x14ac:dyDescent="0.3">
      <c r="A545" t="s">
        <v>92</v>
      </c>
      <c r="B545">
        <v>20613884743</v>
      </c>
      <c r="C545" t="s">
        <v>661</v>
      </c>
      <c r="D545" t="s">
        <v>54</v>
      </c>
      <c r="E545" s="1">
        <v>45931</v>
      </c>
      <c r="F545">
        <v>480.25</v>
      </c>
      <c r="G545" t="s">
        <v>1436</v>
      </c>
      <c r="H545">
        <f>_xlfn.XLOOKUP(E545,K:K,L:L)</f>
        <v>18</v>
      </c>
    </row>
    <row r="546" spans="1:8" x14ac:dyDescent="0.3">
      <c r="A546" t="s">
        <v>6</v>
      </c>
      <c r="B546">
        <v>20606858893</v>
      </c>
      <c r="C546" t="s">
        <v>74</v>
      </c>
      <c r="D546" t="s">
        <v>27</v>
      </c>
      <c r="E546" s="1">
        <v>45931</v>
      </c>
      <c r="F546">
        <v>262.36</v>
      </c>
      <c r="G546" t="s">
        <v>1436</v>
      </c>
      <c r="H546">
        <f>_xlfn.XLOOKUP(E546,K:K,L:L)</f>
        <v>18</v>
      </c>
    </row>
    <row r="547" spans="1:8" x14ac:dyDescent="0.3">
      <c r="A547" t="s">
        <v>6</v>
      </c>
      <c r="B547">
        <v>20609742918</v>
      </c>
      <c r="C547" t="s">
        <v>75</v>
      </c>
      <c r="D547" t="s">
        <v>27</v>
      </c>
      <c r="E547" s="1">
        <v>45931</v>
      </c>
      <c r="F547">
        <v>348.26</v>
      </c>
      <c r="G547" t="s">
        <v>1436</v>
      </c>
      <c r="H547">
        <f>_xlfn.XLOOKUP(E547,K:K,L:L)</f>
        <v>18</v>
      </c>
    </row>
    <row r="548" spans="1:8" x14ac:dyDescent="0.3">
      <c r="A548" t="s">
        <v>93</v>
      </c>
      <c r="B548">
        <v>20612393347</v>
      </c>
      <c r="C548" t="s">
        <v>662</v>
      </c>
      <c r="D548" t="s">
        <v>175</v>
      </c>
      <c r="E548" s="1">
        <v>45931</v>
      </c>
      <c r="F548">
        <v>194.77</v>
      </c>
      <c r="G548" t="s">
        <v>1436</v>
      </c>
      <c r="H548">
        <f>_xlfn.XLOOKUP(E548,K:K,L:L)</f>
        <v>18</v>
      </c>
    </row>
    <row r="549" spans="1:8" x14ac:dyDescent="0.3">
      <c r="A549" t="s">
        <v>93</v>
      </c>
      <c r="B549">
        <v>20506252572</v>
      </c>
      <c r="C549" t="s">
        <v>663</v>
      </c>
      <c r="D549" t="s">
        <v>664</v>
      </c>
      <c r="E549" s="1">
        <v>45931</v>
      </c>
      <c r="F549">
        <v>340.34000000000003</v>
      </c>
      <c r="G549" t="s">
        <v>1436</v>
      </c>
      <c r="H549">
        <f>_xlfn.XLOOKUP(E549,K:K,L:L)</f>
        <v>18</v>
      </c>
    </row>
    <row r="550" spans="1:8" x14ac:dyDescent="0.3">
      <c r="A550" t="s">
        <v>92</v>
      </c>
      <c r="B550">
        <v>10258474151</v>
      </c>
      <c r="C550" t="s">
        <v>665</v>
      </c>
      <c r="D550" t="s">
        <v>54</v>
      </c>
      <c r="E550" s="1">
        <v>45932</v>
      </c>
      <c r="F550">
        <v>225.57</v>
      </c>
      <c r="G550" t="s">
        <v>1436</v>
      </c>
      <c r="H550">
        <f>_xlfn.XLOOKUP(E550,K:K,L:L)</f>
        <v>19</v>
      </c>
    </row>
    <row r="551" spans="1:8" x14ac:dyDescent="0.3">
      <c r="A551" t="s">
        <v>92</v>
      </c>
      <c r="B551">
        <v>20504277659</v>
      </c>
      <c r="C551" t="s">
        <v>666</v>
      </c>
      <c r="D551" t="s">
        <v>27</v>
      </c>
      <c r="E551" s="1">
        <v>45932</v>
      </c>
      <c r="F551">
        <v>285.72000000000003</v>
      </c>
      <c r="G551" t="s">
        <v>1436</v>
      </c>
      <c r="H551">
        <f>_xlfn.XLOOKUP(E551,K:K,L:L)</f>
        <v>19</v>
      </c>
    </row>
    <row r="552" spans="1:8" x14ac:dyDescent="0.3">
      <c r="A552" t="s">
        <v>92</v>
      </c>
      <c r="B552">
        <v>20603393857</v>
      </c>
      <c r="C552" t="s">
        <v>667</v>
      </c>
      <c r="D552" t="s">
        <v>7</v>
      </c>
      <c r="E552" s="1">
        <v>45932</v>
      </c>
      <c r="F552">
        <v>149.05000000000001</v>
      </c>
      <c r="G552" t="s">
        <v>1436</v>
      </c>
      <c r="H552">
        <f>_xlfn.XLOOKUP(E552,K:K,L:L)</f>
        <v>19</v>
      </c>
    </row>
    <row r="553" spans="1:8" x14ac:dyDescent="0.3">
      <c r="A553" t="s">
        <v>92</v>
      </c>
      <c r="B553">
        <v>20606681756</v>
      </c>
      <c r="C553" t="s">
        <v>668</v>
      </c>
      <c r="D553" t="s">
        <v>206</v>
      </c>
      <c r="E553" s="1">
        <v>45932</v>
      </c>
      <c r="F553">
        <v>664.88</v>
      </c>
      <c r="G553" t="s">
        <v>1436</v>
      </c>
      <c r="H553">
        <f>_xlfn.XLOOKUP(E553,K:K,L:L)</f>
        <v>19</v>
      </c>
    </row>
    <row r="554" spans="1:8" x14ac:dyDescent="0.3">
      <c r="A554" t="s">
        <v>92</v>
      </c>
      <c r="B554">
        <v>20610639420</v>
      </c>
      <c r="C554" t="s">
        <v>669</v>
      </c>
      <c r="D554" t="s">
        <v>7</v>
      </c>
      <c r="E554" s="1">
        <v>45932</v>
      </c>
      <c r="F554">
        <v>149.05000000000001</v>
      </c>
      <c r="G554" t="s">
        <v>1436</v>
      </c>
      <c r="H554">
        <f>_xlfn.XLOOKUP(E554,K:K,L:L)</f>
        <v>19</v>
      </c>
    </row>
    <row r="555" spans="1:8" x14ac:dyDescent="0.3">
      <c r="A555" t="s">
        <v>92</v>
      </c>
      <c r="B555">
        <v>20567258905</v>
      </c>
      <c r="C555" t="s">
        <v>670</v>
      </c>
      <c r="D555" t="s">
        <v>65</v>
      </c>
      <c r="E555" s="1">
        <v>45932</v>
      </c>
      <c r="F555">
        <v>266.14</v>
      </c>
      <c r="G555" t="s">
        <v>1436</v>
      </c>
      <c r="H555">
        <f>_xlfn.XLOOKUP(E555,K:K,L:L)</f>
        <v>19</v>
      </c>
    </row>
    <row r="556" spans="1:8" x14ac:dyDescent="0.3">
      <c r="A556" t="s">
        <v>92</v>
      </c>
      <c r="B556">
        <v>20604194271</v>
      </c>
      <c r="C556" t="s">
        <v>671</v>
      </c>
      <c r="D556" t="s">
        <v>169</v>
      </c>
      <c r="E556" s="1">
        <v>45932</v>
      </c>
      <c r="F556">
        <v>271.87</v>
      </c>
      <c r="G556" t="s">
        <v>1436</v>
      </c>
      <c r="H556">
        <f>_xlfn.XLOOKUP(E556,K:K,L:L)</f>
        <v>19</v>
      </c>
    </row>
    <row r="557" spans="1:8" x14ac:dyDescent="0.3">
      <c r="A557" t="s">
        <v>92</v>
      </c>
      <c r="B557">
        <v>20610776923</v>
      </c>
      <c r="C557" t="s">
        <v>672</v>
      </c>
      <c r="D557" t="s">
        <v>175</v>
      </c>
      <c r="E557" s="1">
        <v>45932</v>
      </c>
      <c r="F557">
        <v>171.38</v>
      </c>
      <c r="G557" t="s">
        <v>1436</v>
      </c>
      <c r="H557">
        <f>_xlfn.XLOOKUP(E557,K:K,L:L)</f>
        <v>19</v>
      </c>
    </row>
    <row r="558" spans="1:8" x14ac:dyDescent="0.3">
      <c r="A558" t="s">
        <v>92</v>
      </c>
      <c r="B558">
        <v>20535667668</v>
      </c>
      <c r="C558" t="s">
        <v>673</v>
      </c>
      <c r="D558" t="s">
        <v>7</v>
      </c>
      <c r="E558" s="1">
        <v>45932</v>
      </c>
      <c r="F558">
        <v>373.49</v>
      </c>
      <c r="G558" t="s">
        <v>1436</v>
      </c>
      <c r="H558">
        <f>_xlfn.XLOOKUP(E558,K:K,L:L)</f>
        <v>19</v>
      </c>
    </row>
    <row r="559" spans="1:8" x14ac:dyDescent="0.3">
      <c r="A559" t="s">
        <v>92</v>
      </c>
      <c r="B559">
        <v>10094895150</v>
      </c>
      <c r="C559" t="s">
        <v>674</v>
      </c>
      <c r="D559" t="s">
        <v>7</v>
      </c>
      <c r="E559" s="1">
        <v>45933</v>
      </c>
      <c r="F559">
        <v>197.86</v>
      </c>
      <c r="G559" t="s">
        <v>1436</v>
      </c>
      <c r="H559">
        <f>_xlfn.XLOOKUP(E559,K:K,L:L)</f>
        <v>20</v>
      </c>
    </row>
    <row r="560" spans="1:8" x14ac:dyDescent="0.3">
      <c r="A560" t="s">
        <v>92</v>
      </c>
      <c r="B560">
        <v>20600646827</v>
      </c>
      <c r="C560" t="s">
        <v>675</v>
      </c>
      <c r="D560" t="s">
        <v>54</v>
      </c>
      <c r="E560" s="1">
        <v>45933</v>
      </c>
      <c r="F560">
        <v>395.59000000000003</v>
      </c>
      <c r="G560" t="s">
        <v>1436</v>
      </c>
      <c r="H560">
        <f>_xlfn.XLOOKUP(E560,K:K,L:L)</f>
        <v>20</v>
      </c>
    </row>
    <row r="561" spans="1:8" x14ac:dyDescent="0.3">
      <c r="A561" t="s">
        <v>92</v>
      </c>
      <c r="B561">
        <v>20603881517</v>
      </c>
      <c r="C561" t="s">
        <v>676</v>
      </c>
      <c r="D561" t="s">
        <v>138</v>
      </c>
      <c r="E561" s="1">
        <v>45933</v>
      </c>
      <c r="F561">
        <v>529.72</v>
      </c>
      <c r="G561" t="s">
        <v>1436</v>
      </c>
      <c r="H561">
        <f>_xlfn.XLOOKUP(E561,K:K,L:L)</f>
        <v>20</v>
      </c>
    </row>
    <row r="562" spans="1:8" x14ac:dyDescent="0.3">
      <c r="A562" t="s">
        <v>92</v>
      </c>
      <c r="B562">
        <v>20605704213</v>
      </c>
      <c r="C562" t="s">
        <v>677</v>
      </c>
      <c r="D562" t="s">
        <v>27</v>
      </c>
      <c r="E562" s="1">
        <v>45933</v>
      </c>
      <c r="F562">
        <v>262.48</v>
      </c>
      <c r="G562" t="s">
        <v>1436</v>
      </c>
      <c r="H562">
        <f>_xlfn.XLOOKUP(E562,K:K,L:L)</f>
        <v>20</v>
      </c>
    </row>
    <row r="563" spans="1:8" x14ac:dyDescent="0.3">
      <c r="A563" t="s">
        <v>92</v>
      </c>
      <c r="B563">
        <v>20609480867</v>
      </c>
      <c r="C563" t="s">
        <v>678</v>
      </c>
      <c r="D563" t="s">
        <v>7</v>
      </c>
      <c r="E563" s="1">
        <v>45933</v>
      </c>
      <c r="F563">
        <v>328.52000000000004</v>
      </c>
      <c r="G563" t="s">
        <v>1436</v>
      </c>
      <c r="H563">
        <f>_xlfn.XLOOKUP(E563,K:K,L:L)</f>
        <v>20</v>
      </c>
    </row>
    <row r="564" spans="1:8" x14ac:dyDescent="0.3">
      <c r="A564" t="s">
        <v>92</v>
      </c>
      <c r="B564">
        <v>20612927635</v>
      </c>
      <c r="C564" t="s">
        <v>679</v>
      </c>
      <c r="D564" t="s">
        <v>54</v>
      </c>
      <c r="E564" s="1">
        <v>45933</v>
      </c>
      <c r="F564">
        <v>395.59000000000003</v>
      </c>
      <c r="G564" t="s">
        <v>1436</v>
      </c>
      <c r="H564">
        <f>_xlfn.XLOOKUP(E564,K:K,L:L)</f>
        <v>20</v>
      </c>
    </row>
    <row r="565" spans="1:8" x14ac:dyDescent="0.3">
      <c r="A565" t="s">
        <v>92</v>
      </c>
      <c r="B565">
        <v>10727852625</v>
      </c>
      <c r="C565" t="s">
        <v>680</v>
      </c>
      <c r="D565" t="s">
        <v>65</v>
      </c>
      <c r="E565" s="1">
        <v>45933</v>
      </c>
      <c r="F565">
        <v>67.08</v>
      </c>
      <c r="G565" t="s">
        <v>1436</v>
      </c>
      <c r="H565">
        <f>_xlfn.XLOOKUP(E565,K:K,L:L)</f>
        <v>20</v>
      </c>
    </row>
    <row r="566" spans="1:8" x14ac:dyDescent="0.3">
      <c r="A566" t="s">
        <v>92</v>
      </c>
      <c r="B566">
        <v>20602451250</v>
      </c>
      <c r="C566" t="s">
        <v>681</v>
      </c>
      <c r="D566" t="s">
        <v>682</v>
      </c>
      <c r="E566" s="1">
        <v>45933</v>
      </c>
      <c r="F566">
        <v>1064.8499999999999</v>
      </c>
      <c r="G566" t="s">
        <v>1436</v>
      </c>
      <c r="H566">
        <f>_xlfn.XLOOKUP(E566,K:K,L:L)</f>
        <v>20</v>
      </c>
    </row>
    <row r="567" spans="1:8" x14ac:dyDescent="0.3">
      <c r="A567" t="s">
        <v>92</v>
      </c>
      <c r="B567">
        <v>20603228236</v>
      </c>
      <c r="C567" t="s">
        <v>683</v>
      </c>
      <c r="D567" t="s">
        <v>540</v>
      </c>
      <c r="E567" s="1">
        <v>45933</v>
      </c>
      <c r="F567">
        <v>1387.84</v>
      </c>
      <c r="G567" t="s">
        <v>1436</v>
      </c>
      <c r="H567">
        <f>_xlfn.XLOOKUP(E567,K:K,L:L)</f>
        <v>20</v>
      </c>
    </row>
    <row r="568" spans="1:8" x14ac:dyDescent="0.3">
      <c r="A568" t="s">
        <v>6</v>
      </c>
      <c r="B568">
        <v>20608448005</v>
      </c>
      <c r="C568" t="s">
        <v>76</v>
      </c>
      <c r="D568" t="s">
        <v>77</v>
      </c>
      <c r="E568" s="1">
        <v>45933</v>
      </c>
      <c r="F568">
        <v>30213.58</v>
      </c>
      <c r="G568" t="s">
        <v>1436</v>
      </c>
      <c r="H568">
        <f>_xlfn.XLOOKUP(E568,K:K,L:L)</f>
        <v>20</v>
      </c>
    </row>
    <row r="569" spans="1:8" x14ac:dyDescent="0.3">
      <c r="A569" t="s">
        <v>6</v>
      </c>
      <c r="B569">
        <v>20565641795</v>
      </c>
      <c r="C569" t="s">
        <v>78</v>
      </c>
      <c r="D569" t="s">
        <v>79</v>
      </c>
      <c r="E569" s="1">
        <v>45933</v>
      </c>
      <c r="F569">
        <v>1514.13</v>
      </c>
      <c r="G569" t="s">
        <v>1436</v>
      </c>
      <c r="H569">
        <f>_xlfn.XLOOKUP(E569,K:K,L:L)</f>
        <v>20</v>
      </c>
    </row>
    <row r="570" spans="1:8" x14ac:dyDescent="0.3">
      <c r="A570" t="s">
        <v>93</v>
      </c>
      <c r="B570">
        <v>20608909258</v>
      </c>
      <c r="C570" t="s">
        <v>684</v>
      </c>
      <c r="D570" t="s">
        <v>685</v>
      </c>
      <c r="E570" s="1">
        <v>45933</v>
      </c>
      <c r="F570">
        <v>130.73000000000002</v>
      </c>
      <c r="G570" t="s">
        <v>1436</v>
      </c>
      <c r="H570">
        <f>_xlfn.XLOOKUP(E570,K:K,L:L)</f>
        <v>20</v>
      </c>
    </row>
    <row r="571" spans="1:8" x14ac:dyDescent="0.3">
      <c r="A571" t="s">
        <v>93</v>
      </c>
      <c r="B571">
        <v>20460446733</v>
      </c>
      <c r="C571" t="s">
        <v>686</v>
      </c>
      <c r="D571" t="s">
        <v>687</v>
      </c>
      <c r="E571" s="1">
        <v>45933</v>
      </c>
      <c r="F571">
        <v>622.04999999999995</v>
      </c>
      <c r="G571" t="s">
        <v>1436</v>
      </c>
      <c r="H571">
        <f>_xlfn.XLOOKUP(E571,K:K,L:L)</f>
        <v>20</v>
      </c>
    </row>
    <row r="572" spans="1:8" x14ac:dyDescent="0.3">
      <c r="A572" t="s">
        <v>93</v>
      </c>
      <c r="B572">
        <v>20255139755</v>
      </c>
      <c r="C572" t="s">
        <v>688</v>
      </c>
      <c r="D572" t="s">
        <v>689</v>
      </c>
      <c r="E572" s="1">
        <v>45933</v>
      </c>
      <c r="F572">
        <v>242.07999999999998</v>
      </c>
      <c r="G572" t="s">
        <v>1436</v>
      </c>
      <c r="H572">
        <f>_xlfn.XLOOKUP(E572,K:K,L:L)</f>
        <v>20</v>
      </c>
    </row>
    <row r="573" spans="1:8" x14ac:dyDescent="0.3">
      <c r="A573" t="s">
        <v>92</v>
      </c>
      <c r="B573">
        <v>20222114129</v>
      </c>
      <c r="C573" t="s">
        <v>710</v>
      </c>
      <c r="D573" t="s">
        <v>711</v>
      </c>
      <c r="E573" s="1">
        <v>45933</v>
      </c>
      <c r="F573">
        <v>649.1099999999999</v>
      </c>
      <c r="G573" t="s">
        <v>1436</v>
      </c>
      <c r="H573">
        <f>_xlfn.XLOOKUP(E573,K:K,L:L)</f>
        <v>20</v>
      </c>
    </row>
    <row r="574" spans="1:8" x14ac:dyDescent="0.3">
      <c r="A574" t="s">
        <v>92</v>
      </c>
      <c r="B574">
        <v>20608413261</v>
      </c>
      <c r="C574" t="s">
        <v>712</v>
      </c>
      <c r="D574" t="s">
        <v>713</v>
      </c>
      <c r="E574" s="1">
        <v>45933</v>
      </c>
      <c r="F574">
        <v>431.19</v>
      </c>
      <c r="G574" t="s">
        <v>1436</v>
      </c>
      <c r="H574">
        <f>_xlfn.XLOOKUP(E574,K:K,L:L)</f>
        <v>20</v>
      </c>
    </row>
    <row r="575" spans="1:8" x14ac:dyDescent="0.3">
      <c r="A575" t="s">
        <v>93</v>
      </c>
      <c r="B575">
        <v>20460446733</v>
      </c>
      <c r="C575" t="s">
        <v>686</v>
      </c>
      <c r="D575" t="s">
        <v>687</v>
      </c>
      <c r="E575" s="1">
        <v>45933</v>
      </c>
      <c r="F575">
        <v>622.04999999999995</v>
      </c>
      <c r="G575" t="s">
        <v>1436</v>
      </c>
      <c r="H575">
        <f>_xlfn.XLOOKUP(E575,K:K,L:L)</f>
        <v>20</v>
      </c>
    </row>
    <row r="576" spans="1:8" x14ac:dyDescent="0.3">
      <c r="A576" t="s">
        <v>93</v>
      </c>
      <c r="B576">
        <v>20255139755</v>
      </c>
      <c r="C576" t="s">
        <v>688</v>
      </c>
      <c r="D576" t="s">
        <v>689</v>
      </c>
      <c r="E576" s="1">
        <v>45933</v>
      </c>
      <c r="F576">
        <v>242.07999999999998</v>
      </c>
      <c r="G576" t="s">
        <v>1436</v>
      </c>
      <c r="H576">
        <f>_xlfn.XLOOKUP(E576,K:K,L:L)</f>
        <v>20</v>
      </c>
    </row>
    <row r="577" spans="1:8" x14ac:dyDescent="0.3">
      <c r="A577" t="s">
        <v>92</v>
      </c>
      <c r="B577">
        <v>20601323843</v>
      </c>
      <c r="C577" t="s">
        <v>690</v>
      </c>
      <c r="D577" t="s">
        <v>27</v>
      </c>
      <c r="E577" s="1">
        <v>45934</v>
      </c>
      <c r="F577">
        <v>34.07</v>
      </c>
      <c r="G577" t="s">
        <v>1436</v>
      </c>
      <c r="H577">
        <f>_xlfn.XLOOKUP(E577,K:K,L:L)</f>
        <v>20</v>
      </c>
    </row>
    <row r="578" spans="1:8" x14ac:dyDescent="0.3">
      <c r="A578" t="s">
        <v>92</v>
      </c>
      <c r="B578">
        <v>20607986330</v>
      </c>
      <c r="C578" t="s">
        <v>691</v>
      </c>
      <c r="D578" t="s">
        <v>7</v>
      </c>
      <c r="E578" s="1">
        <v>45934</v>
      </c>
      <c r="F578">
        <v>149.19</v>
      </c>
      <c r="G578" t="s">
        <v>1436</v>
      </c>
      <c r="H578">
        <f>_xlfn.XLOOKUP(E578,K:K,L:L)</f>
        <v>20</v>
      </c>
    </row>
    <row r="579" spans="1:8" x14ac:dyDescent="0.3">
      <c r="A579" t="s">
        <v>92</v>
      </c>
      <c r="B579">
        <v>20603124007</v>
      </c>
      <c r="C579" t="s">
        <v>692</v>
      </c>
      <c r="D579" t="s">
        <v>65</v>
      </c>
      <c r="E579" s="1">
        <v>45934</v>
      </c>
      <c r="F579">
        <v>124.85000000000001</v>
      </c>
      <c r="G579" t="s">
        <v>1436</v>
      </c>
      <c r="H579">
        <f>_xlfn.XLOOKUP(E579,K:K,L:L)</f>
        <v>20</v>
      </c>
    </row>
    <row r="580" spans="1:8" x14ac:dyDescent="0.3">
      <c r="A580" t="s">
        <v>92</v>
      </c>
      <c r="B580">
        <v>20602804837</v>
      </c>
      <c r="C580" t="s">
        <v>693</v>
      </c>
      <c r="D580" t="s">
        <v>119</v>
      </c>
      <c r="E580" s="1">
        <v>45934</v>
      </c>
      <c r="F580">
        <v>269.82000000000005</v>
      </c>
      <c r="G580" t="s">
        <v>1436</v>
      </c>
      <c r="H580">
        <f>_xlfn.XLOOKUP(E580,K:K,L:L)</f>
        <v>20</v>
      </c>
    </row>
    <row r="581" spans="1:8" x14ac:dyDescent="0.3">
      <c r="A581" t="s">
        <v>92</v>
      </c>
      <c r="B581">
        <v>20606276673</v>
      </c>
      <c r="C581" t="s">
        <v>694</v>
      </c>
      <c r="D581" t="s">
        <v>169</v>
      </c>
      <c r="E581" s="1">
        <v>45934</v>
      </c>
      <c r="F581">
        <v>397.99</v>
      </c>
      <c r="G581" t="s">
        <v>1436</v>
      </c>
      <c r="H581">
        <f>_xlfn.XLOOKUP(E581,K:K,L:L)</f>
        <v>20</v>
      </c>
    </row>
    <row r="582" spans="1:8" x14ac:dyDescent="0.3">
      <c r="A582" t="s">
        <v>93</v>
      </c>
      <c r="B582">
        <v>20527749345</v>
      </c>
      <c r="C582" t="s">
        <v>695</v>
      </c>
      <c r="D582" t="s">
        <v>696</v>
      </c>
      <c r="E582" s="1">
        <v>45934</v>
      </c>
      <c r="F582">
        <v>185.18</v>
      </c>
      <c r="G582" t="s">
        <v>1436</v>
      </c>
      <c r="H582">
        <f>_xlfn.XLOOKUP(E582,K:K,L:L)</f>
        <v>20</v>
      </c>
    </row>
    <row r="583" spans="1:8" x14ac:dyDescent="0.3">
      <c r="A583" t="s">
        <v>92</v>
      </c>
      <c r="B583">
        <v>20613206664</v>
      </c>
      <c r="C583" t="s">
        <v>714</v>
      </c>
      <c r="D583" t="s">
        <v>715</v>
      </c>
      <c r="E583" s="1">
        <v>45934</v>
      </c>
      <c r="F583">
        <v>267.31</v>
      </c>
      <c r="G583" t="s">
        <v>1436</v>
      </c>
      <c r="H583">
        <f>_xlfn.XLOOKUP(E583,K:K,L:L)</f>
        <v>20</v>
      </c>
    </row>
    <row r="584" spans="1:8" x14ac:dyDescent="0.3">
      <c r="A584" t="s">
        <v>92</v>
      </c>
      <c r="B584">
        <v>20601459630</v>
      </c>
      <c r="C584" t="s">
        <v>716</v>
      </c>
      <c r="D584" t="s">
        <v>713</v>
      </c>
      <c r="E584" s="1">
        <v>45934</v>
      </c>
      <c r="F584">
        <v>1387.5900000000001</v>
      </c>
      <c r="G584" t="s">
        <v>1436</v>
      </c>
      <c r="H584">
        <f>_xlfn.XLOOKUP(E584,K:K,L:L)</f>
        <v>20</v>
      </c>
    </row>
    <row r="585" spans="1:8" x14ac:dyDescent="0.3">
      <c r="A585" t="s">
        <v>92</v>
      </c>
      <c r="B585">
        <v>20611520019</v>
      </c>
      <c r="C585" t="s">
        <v>717</v>
      </c>
      <c r="D585" t="s">
        <v>715</v>
      </c>
      <c r="E585" s="1">
        <v>45934</v>
      </c>
      <c r="F585">
        <v>469.1</v>
      </c>
      <c r="G585" t="s">
        <v>1436</v>
      </c>
      <c r="H585">
        <f>_xlfn.XLOOKUP(E585,K:K,L:L)</f>
        <v>20</v>
      </c>
    </row>
    <row r="586" spans="1:8" x14ac:dyDescent="0.3">
      <c r="A586" t="s">
        <v>93</v>
      </c>
      <c r="B586">
        <v>20527749345</v>
      </c>
      <c r="C586" t="s">
        <v>695</v>
      </c>
      <c r="D586" t="s">
        <v>696</v>
      </c>
      <c r="E586" s="1">
        <v>45934</v>
      </c>
      <c r="F586">
        <v>185.18</v>
      </c>
      <c r="G586" t="s">
        <v>1436</v>
      </c>
      <c r="H586">
        <f>_xlfn.XLOOKUP(E586,K:K,L:L)</f>
        <v>20</v>
      </c>
    </row>
    <row r="587" spans="1:8" x14ac:dyDescent="0.3">
      <c r="A587" t="s">
        <v>92</v>
      </c>
      <c r="B587">
        <v>20610003096</v>
      </c>
      <c r="C587" t="s">
        <v>718</v>
      </c>
      <c r="D587" t="s">
        <v>715</v>
      </c>
      <c r="E587" s="1">
        <v>45935</v>
      </c>
      <c r="F587">
        <v>229.45000000000002</v>
      </c>
      <c r="G587" t="s">
        <v>1436</v>
      </c>
      <c r="H587">
        <f>_xlfn.XLOOKUP(E587,K:K,L:L)</f>
        <v>20</v>
      </c>
    </row>
    <row r="588" spans="1:8" x14ac:dyDescent="0.3">
      <c r="A588" t="s">
        <v>6</v>
      </c>
      <c r="B588">
        <v>20602804055</v>
      </c>
      <c r="C588" t="s">
        <v>88</v>
      </c>
      <c r="D588" t="s">
        <v>89</v>
      </c>
      <c r="E588" s="1">
        <v>45936</v>
      </c>
      <c r="F588">
        <v>1172.78</v>
      </c>
      <c r="G588" t="s">
        <v>1437</v>
      </c>
      <c r="H588">
        <f>_xlfn.XLOOKUP(E588,K:K,L:L)</f>
        <v>1</v>
      </c>
    </row>
    <row r="589" spans="1:8" x14ac:dyDescent="0.3">
      <c r="A589" t="s">
        <v>92</v>
      </c>
      <c r="B589">
        <v>10106862228</v>
      </c>
      <c r="C589" t="s">
        <v>719</v>
      </c>
      <c r="D589" t="s">
        <v>720</v>
      </c>
      <c r="E589" s="1">
        <v>45936</v>
      </c>
      <c r="F589">
        <v>1165.54</v>
      </c>
      <c r="G589" t="s">
        <v>1437</v>
      </c>
      <c r="H589">
        <f>_xlfn.XLOOKUP(E589,K:K,L:L)</f>
        <v>1</v>
      </c>
    </row>
    <row r="590" spans="1:8" x14ac:dyDescent="0.3">
      <c r="A590" t="s">
        <v>92</v>
      </c>
      <c r="B590">
        <v>10156862903</v>
      </c>
      <c r="C590" t="s">
        <v>721</v>
      </c>
      <c r="D590" t="s">
        <v>715</v>
      </c>
      <c r="E590" s="1">
        <v>45936</v>
      </c>
      <c r="F590">
        <v>259.27</v>
      </c>
      <c r="G590" t="s">
        <v>1437</v>
      </c>
      <c r="H590">
        <f>_xlfn.XLOOKUP(E590,K:K,L:L)</f>
        <v>1</v>
      </c>
    </row>
    <row r="591" spans="1:8" x14ac:dyDescent="0.3">
      <c r="A591" t="s">
        <v>92</v>
      </c>
      <c r="B591">
        <v>10255794383</v>
      </c>
      <c r="C591" t="s">
        <v>722</v>
      </c>
      <c r="D591" t="s">
        <v>715</v>
      </c>
      <c r="E591" s="1">
        <v>45936</v>
      </c>
      <c r="F591">
        <v>216.72</v>
      </c>
      <c r="G591" t="s">
        <v>1437</v>
      </c>
      <c r="H591">
        <f>_xlfn.XLOOKUP(E591,K:K,L:L)</f>
        <v>1</v>
      </c>
    </row>
    <row r="592" spans="1:8" x14ac:dyDescent="0.3">
      <c r="A592" t="s">
        <v>92</v>
      </c>
      <c r="B592">
        <v>20524658349</v>
      </c>
      <c r="C592" t="s">
        <v>723</v>
      </c>
      <c r="D592" t="s">
        <v>715</v>
      </c>
      <c r="E592" s="1">
        <v>45936</v>
      </c>
      <c r="F592">
        <v>403.35</v>
      </c>
      <c r="G592" t="s">
        <v>1437</v>
      </c>
      <c r="H592">
        <f>_xlfn.XLOOKUP(E592,K:K,L:L)</f>
        <v>1</v>
      </c>
    </row>
    <row r="593" spans="1:8" x14ac:dyDescent="0.3">
      <c r="A593" t="s">
        <v>92</v>
      </c>
      <c r="B593">
        <v>20537337274</v>
      </c>
      <c r="C593" t="s">
        <v>724</v>
      </c>
      <c r="D593" t="s">
        <v>725</v>
      </c>
      <c r="E593" s="1">
        <v>45936</v>
      </c>
      <c r="F593">
        <v>530.17999999999995</v>
      </c>
      <c r="G593" t="s">
        <v>1437</v>
      </c>
      <c r="H593">
        <f>_xlfn.XLOOKUP(E593,K:K,L:L)</f>
        <v>1</v>
      </c>
    </row>
    <row r="594" spans="1:8" x14ac:dyDescent="0.3">
      <c r="A594" t="s">
        <v>92</v>
      </c>
      <c r="B594">
        <v>20559536351</v>
      </c>
      <c r="C594" t="s">
        <v>726</v>
      </c>
      <c r="D594" t="s">
        <v>711</v>
      </c>
      <c r="E594" s="1">
        <v>45936</v>
      </c>
      <c r="F594">
        <v>520.8599999999999</v>
      </c>
      <c r="G594" t="s">
        <v>1437</v>
      </c>
      <c r="H594">
        <f>_xlfn.XLOOKUP(E594,K:K,L:L)</f>
        <v>1</v>
      </c>
    </row>
    <row r="595" spans="1:8" x14ac:dyDescent="0.3">
      <c r="A595" t="s">
        <v>92</v>
      </c>
      <c r="B595">
        <v>20559738655</v>
      </c>
      <c r="C595" t="s">
        <v>727</v>
      </c>
      <c r="D595" t="s">
        <v>728</v>
      </c>
      <c r="E595" s="1">
        <v>45936</v>
      </c>
      <c r="F595">
        <v>2389.6999999999998</v>
      </c>
      <c r="G595" t="s">
        <v>1437</v>
      </c>
      <c r="H595">
        <f>_xlfn.XLOOKUP(E595,K:K,L:L)</f>
        <v>1</v>
      </c>
    </row>
    <row r="596" spans="1:8" x14ac:dyDescent="0.3">
      <c r="A596" t="s">
        <v>92</v>
      </c>
      <c r="B596">
        <v>20602218652</v>
      </c>
      <c r="C596" t="s">
        <v>729</v>
      </c>
      <c r="D596" t="s">
        <v>711</v>
      </c>
      <c r="E596" s="1">
        <v>45936</v>
      </c>
      <c r="F596">
        <v>260.95</v>
      </c>
      <c r="G596" t="s">
        <v>1437</v>
      </c>
      <c r="H596">
        <f>_xlfn.XLOOKUP(E596,K:K,L:L)</f>
        <v>1</v>
      </c>
    </row>
    <row r="597" spans="1:8" x14ac:dyDescent="0.3">
      <c r="A597" t="s">
        <v>92</v>
      </c>
      <c r="B597">
        <v>20603816952</v>
      </c>
      <c r="C597" t="s">
        <v>730</v>
      </c>
      <c r="D597" t="s">
        <v>715</v>
      </c>
      <c r="E597" s="1">
        <v>45936</v>
      </c>
      <c r="F597">
        <v>455.39</v>
      </c>
      <c r="G597" t="s">
        <v>1437</v>
      </c>
      <c r="H597">
        <f>_xlfn.XLOOKUP(E597,K:K,L:L)</f>
        <v>1</v>
      </c>
    </row>
    <row r="598" spans="1:8" x14ac:dyDescent="0.3">
      <c r="A598" t="s">
        <v>92</v>
      </c>
      <c r="B598">
        <v>20607457388</v>
      </c>
      <c r="C598" t="s">
        <v>731</v>
      </c>
      <c r="D598" t="s">
        <v>715</v>
      </c>
      <c r="E598" s="1">
        <v>45936</v>
      </c>
      <c r="F598">
        <v>573.62</v>
      </c>
      <c r="G598" t="s">
        <v>1437</v>
      </c>
      <c r="H598">
        <f>_xlfn.XLOOKUP(E598,K:K,L:L)</f>
        <v>1</v>
      </c>
    </row>
    <row r="599" spans="1:8" x14ac:dyDescent="0.3">
      <c r="A599" t="s">
        <v>92</v>
      </c>
      <c r="B599">
        <v>20607855294</v>
      </c>
      <c r="C599" t="s">
        <v>732</v>
      </c>
      <c r="D599" t="s">
        <v>715</v>
      </c>
      <c r="E599" s="1">
        <v>45936</v>
      </c>
      <c r="F599">
        <v>232.98999999999998</v>
      </c>
      <c r="G599" t="s">
        <v>1437</v>
      </c>
      <c r="H599">
        <f>_xlfn.XLOOKUP(E599,K:K,L:L)</f>
        <v>1</v>
      </c>
    </row>
    <row r="600" spans="1:8" x14ac:dyDescent="0.3">
      <c r="A600" t="s">
        <v>92</v>
      </c>
      <c r="B600">
        <v>20608476688</v>
      </c>
      <c r="C600" t="s">
        <v>733</v>
      </c>
      <c r="D600" t="s">
        <v>715</v>
      </c>
      <c r="E600" s="1">
        <v>45936</v>
      </c>
      <c r="F600">
        <v>482.75</v>
      </c>
      <c r="G600" t="s">
        <v>1437</v>
      </c>
      <c r="H600">
        <f>_xlfn.XLOOKUP(E600,K:K,L:L)</f>
        <v>1</v>
      </c>
    </row>
    <row r="601" spans="1:8" x14ac:dyDescent="0.3">
      <c r="A601" t="s">
        <v>92</v>
      </c>
      <c r="B601">
        <v>20610019740</v>
      </c>
      <c r="C601" t="s">
        <v>734</v>
      </c>
      <c r="D601" t="s">
        <v>715</v>
      </c>
      <c r="E601" s="1">
        <v>45936</v>
      </c>
      <c r="F601">
        <v>259.27</v>
      </c>
      <c r="G601" t="s">
        <v>1437</v>
      </c>
      <c r="H601">
        <f>_xlfn.XLOOKUP(E601,K:K,L:L)</f>
        <v>1</v>
      </c>
    </row>
    <row r="602" spans="1:8" x14ac:dyDescent="0.3">
      <c r="A602" t="s">
        <v>92</v>
      </c>
      <c r="B602">
        <v>20610922911</v>
      </c>
      <c r="C602" t="s">
        <v>735</v>
      </c>
      <c r="D602" t="s">
        <v>711</v>
      </c>
      <c r="E602" s="1">
        <v>45936</v>
      </c>
      <c r="F602">
        <v>260.42999999999995</v>
      </c>
      <c r="G602" t="s">
        <v>1437</v>
      </c>
      <c r="H602">
        <f>_xlfn.XLOOKUP(E602,K:K,L:L)</f>
        <v>1</v>
      </c>
    </row>
    <row r="603" spans="1:8" x14ac:dyDescent="0.3">
      <c r="A603" t="s">
        <v>92</v>
      </c>
      <c r="B603">
        <v>20612852619</v>
      </c>
      <c r="C603" t="s">
        <v>736</v>
      </c>
      <c r="D603" t="s">
        <v>713</v>
      </c>
      <c r="E603" s="1">
        <v>45936</v>
      </c>
      <c r="F603">
        <v>392.37999999999994</v>
      </c>
      <c r="G603" t="s">
        <v>1437</v>
      </c>
      <c r="H603">
        <f>_xlfn.XLOOKUP(E603,K:K,L:L)</f>
        <v>1</v>
      </c>
    </row>
    <row r="604" spans="1:8" x14ac:dyDescent="0.3">
      <c r="A604" t="s">
        <v>92</v>
      </c>
      <c r="B604">
        <v>20612868108</v>
      </c>
      <c r="C604" t="s">
        <v>737</v>
      </c>
      <c r="D604" t="s">
        <v>715</v>
      </c>
      <c r="E604" s="1">
        <v>45936</v>
      </c>
      <c r="F604">
        <v>286.81</v>
      </c>
      <c r="G604" t="s">
        <v>1437</v>
      </c>
      <c r="H604">
        <f>_xlfn.XLOOKUP(E604,K:K,L:L)</f>
        <v>1</v>
      </c>
    </row>
    <row r="605" spans="1:8" x14ac:dyDescent="0.3">
      <c r="A605" t="s">
        <v>92</v>
      </c>
      <c r="B605">
        <v>20613811835</v>
      </c>
      <c r="C605" t="s">
        <v>738</v>
      </c>
      <c r="D605" t="s">
        <v>715</v>
      </c>
      <c r="E605" s="1">
        <v>45936</v>
      </c>
      <c r="F605">
        <v>259.27</v>
      </c>
      <c r="G605" t="s">
        <v>1437</v>
      </c>
      <c r="H605">
        <f>_xlfn.XLOOKUP(E605,K:K,L:L)</f>
        <v>1</v>
      </c>
    </row>
    <row r="606" spans="1:8" x14ac:dyDescent="0.3">
      <c r="A606" t="s">
        <v>92</v>
      </c>
      <c r="B606">
        <v>20448083749</v>
      </c>
      <c r="C606" t="s">
        <v>739</v>
      </c>
      <c r="D606" t="s">
        <v>740</v>
      </c>
      <c r="E606" s="1">
        <v>45936</v>
      </c>
      <c r="F606">
        <v>2253.6000000000004</v>
      </c>
      <c r="G606" t="s">
        <v>1437</v>
      </c>
      <c r="H606">
        <f>_xlfn.XLOOKUP(E606,K:K,L:L)</f>
        <v>1</v>
      </c>
    </row>
    <row r="607" spans="1:8" x14ac:dyDescent="0.3">
      <c r="A607" t="s">
        <v>92</v>
      </c>
      <c r="B607">
        <v>20601821312</v>
      </c>
      <c r="C607" t="s">
        <v>741</v>
      </c>
      <c r="D607" t="s">
        <v>27</v>
      </c>
      <c r="E607" s="1">
        <v>45936</v>
      </c>
      <c r="F607">
        <v>525.49</v>
      </c>
      <c r="G607" t="s">
        <v>1437</v>
      </c>
      <c r="H607">
        <f>_xlfn.XLOOKUP(E607,K:K,L:L)</f>
        <v>1</v>
      </c>
    </row>
    <row r="608" spans="1:8" x14ac:dyDescent="0.3">
      <c r="A608" t="s">
        <v>92</v>
      </c>
      <c r="B608">
        <v>20602473865</v>
      </c>
      <c r="C608" t="s">
        <v>742</v>
      </c>
      <c r="D608" t="s">
        <v>743</v>
      </c>
      <c r="E608" s="1">
        <v>45936</v>
      </c>
      <c r="F608">
        <v>294.13</v>
      </c>
      <c r="G608" t="s">
        <v>1437</v>
      </c>
      <c r="H608">
        <f>_xlfn.XLOOKUP(E608,K:K,L:L)</f>
        <v>1</v>
      </c>
    </row>
    <row r="609" spans="1:8" x14ac:dyDescent="0.3">
      <c r="A609" t="s">
        <v>92</v>
      </c>
      <c r="B609">
        <v>20612093521</v>
      </c>
      <c r="C609" t="s">
        <v>744</v>
      </c>
      <c r="D609" t="s">
        <v>7</v>
      </c>
      <c r="E609" s="1">
        <v>45936</v>
      </c>
      <c r="F609">
        <v>231.49</v>
      </c>
      <c r="G609" t="s">
        <v>1437</v>
      </c>
      <c r="H609">
        <f>_xlfn.XLOOKUP(E609,K:K,L:L)</f>
        <v>1</v>
      </c>
    </row>
    <row r="610" spans="1:8" x14ac:dyDescent="0.3">
      <c r="A610" t="s">
        <v>92</v>
      </c>
      <c r="B610">
        <v>20613088874</v>
      </c>
      <c r="C610" t="s">
        <v>745</v>
      </c>
      <c r="D610" t="s">
        <v>27</v>
      </c>
      <c r="E610" s="1">
        <v>45936</v>
      </c>
      <c r="F610">
        <v>262.74</v>
      </c>
      <c r="G610" t="s">
        <v>1437</v>
      </c>
      <c r="H610">
        <f>_xlfn.XLOOKUP(E610,K:K,L:L)</f>
        <v>1</v>
      </c>
    </row>
    <row r="611" spans="1:8" x14ac:dyDescent="0.3">
      <c r="A611" t="s">
        <v>92</v>
      </c>
      <c r="B611">
        <v>20454820658</v>
      </c>
      <c r="C611" t="s">
        <v>746</v>
      </c>
      <c r="D611" t="s">
        <v>747</v>
      </c>
      <c r="E611" s="1">
        <v>45936</v>
      </c>
      <c r="F611">
        <v>1016.3400000000001</v>
      </c>
      <c r="G611" t="s">
        <v>1437</v>
      </c>
      <c r="H611">
        <f>_xlfn.XLOOKUP(E611,K:K,L:L)</f>
        <v>1</v>
      </c>
    </row>
    <row r="612" spans="1:8" x14ac:dyDescent="0.3">
      <c r="A612" t="s">
        <v>6</v>
      </c>
      <c r="B612">
        <v>20101362885</v>
      </c>
      <c r="C612" t="s">
        <v>80</v>
      </c>
      <c r="D612" t="s">
        <v>7</v>
      </c>
      <c r="E612" s="1">
        <v>45937</v>
      </c>
      <c r="F612">
        <v>236.92</v>
      </c>
      <c r="G612" t="s">
        <v>1437</v>
      </c>
      <c r="H612">
        <f>_xlfn.XLOOKUP(E612,K:K,L:L)</f>
        <v>2</v>
      </c>
    </row>
    <row r="613" spans="1:8" x14ac:dyDescent="0.3">
      <c r="A613" t="s">
        <v>6</v>
      </c>
      <c r="B613">
        <v>20536087878</v>
      </c>
      <c r="C613" t="s">
        <v>81</v>
      </c>
      <c r="D613" t="s">
        <v>7</v>
      </c>
      <c r="E613" s="1">
        <v>45937</v>
      </c>
      <c r="F613">
        <v>392.38</v>
      </c>
      <c r="G613" t="s">
        <v>1437</v>
      </c>
      <c r="H613">
        <f>_xlfn.XLOOKUP(E613,K:K,L:L)</f>
        <v>2</v>
      </c>
    </row>
    <row r="614" spans="1:8" x14ac:dyDescent="0.3">
      <c r="A614" t="s">
        <v>6</v>
      </c>
      <c r="B614">
        <v>20217254125</v>
      </c>
      <c r="C614" t="s">
        <v>82</v>
      </c>
      <c r="D614" t="s">
        <v>83</v>
      </c>
      <c r="E614" s="1">
        <v>45937</v>
      </c>
      <c r="F614">
        <v>12183.31</v>
      </c>
      <c r="G614" t="s">
        <v>1437</v>
      </c>
      <c r="H614">
        <f>_xlfn.XLOOKUP(E614,K:K,L:L)</f>
        <v>2</v>
      </c>
    </row>
    <row r="615" spans="1:8" x14ac:dyDescent="0.3">
      <c r="A615" t="s">
        <v>6</v>
      </c>
      <c r="B615">
        <v>20551703712</v>
      </c>
      <c r="C615" t="s">
        <v>84</v>
      </c>
      <c r="D615" t="s">
        <v>85</v>
      </c>
      <c r="E615" s="1">
        <v>45937</v>
      </c>
      <c r="F615">
        <v>721.43000000000006</v>
      </c>
      <c r="G615" t="s">
        <v>1437</v>
      </c>
      <c r="H615">
        <f>_xlfn.XLOOKUP(E615,K:K,L:L)</f>
        <v>2</v>
      </c>
    </row>
    <row r="616" spans="1:8" x14ac:dyDescent="0.3">
      <c r="A616" t="s">
        <v>6</v>
      </c>
      <c r="B616">
        <v>20604877491</v>
      </c>
      <c r="C616" t="s">
        <v>86</v>
      </c>
      <c r="D616" t="s">
        <v>87</v>
      </c>
      <c r="E616" s="1">
        <v>45937</v>
      </c>
      <c r="F616">
        <v>1338.98</v>
      </c>
      <c r="G616" t="s">
        <v>1437</v>
      </c>
      <c r="H616">
        <f>_xlfn.XLOOKUP(E616,K:K,L:L)</f>
        <v>2</v>
      </c>
    </row>
    <row r="617" spans="1:8" x14ac:dyDescent="0.3">
      <c r="A617" t="s">
        <v>93</v>
      </c>
      <c r="B617">
        <v>20604411409</v>
      </c>
      <c r="C617" t="s">
        <v>697</v>
      </c>
      <c r="D617" t="s">
        <v>698</v>
      </c>
      <c r="E617" s="1">
        <v>45937</v>
      </c>
      <c r="F617">
        <v>2766.29</v>
      </c>
      <c r="G617" t="s">
        <v>1437</v>
      </c>
      <c r="H617">
        <f>_xlfn.XLOOKUP(E617,K:K,L:L)</f>
        <v>2</v>
      </c>
    </row>
    <row r="618" spans="1:8" x14ac:dyDescent="0.3">
      <c r="A618" t="s">
        <v>93</v>
      </c>
      <c r="B618">
        <v>20100170681</v>
      </c>
      <c r="C618" t="s">
        <v>699</v>
      </c>
      <c r="D618" t="s">
        <v>700</v>
      </c>
      <c r="E618" s="1">
        <v>45937</v>
      </c>
      <c r="F618">
        <v>60.11</v>
      </c>
      <c r="G618" t="s">
        <v>1437</v>
      </c>
      <c r="H618">
        <f>_xlfn.XLOOKUP(E618,K:K,L:L)</f>
        <v>2</v>
      </c>
    </row>
    <row r="619" spans="1:8" x14ac:dyDescent="0.3">
      <c r="A619" t="s">
        <v>92</v>
      </c>
      <c r="B619">
        <v>20477767169</v>
      </c>
      <c r="C619" t="s">
        <v>748</v>
      </c>
      <c r="D619" t="s">
        <v>715</v>
      </c>
      <c r="E619" s="1">
        <v>45937</v>
      </c>
      <c r="F619">
        <v>401.93</v>
      </c>
      <c r="G619" t="s">
        <v>1437</v>
      </c>
      <c r="H619">
        <f>_xlfn.XLOOKUP(E619,K:K,L:L)</f>
        <v>2</v>
      </c>
    </row>
    <row r="620" spans="1:8" x14ac:dyDescent="0.3">
      <c r="A620" t="s">
        <v>92</v>
      </c>
      <c r="B620">
        <v>20482298916</v>
      </c>
      <c r="C620" t="s">
        <v>749</v>
      </c>
      <c r="D620" t="s">
        <v>715</v>
      </c>
      <c r="E620" s="1">
        <v>45937</v>
      </c>
      <c r="F620">
        <v>887.24</v>
      </c>
      <c r="G620" t="s">
        <v>1437</v>
      </c>
      <c r="H620">
        <f>_xlfn.XLOOKUP(E620,K:K,L:L)</f>
        <v>2</v>
      </c>
    </row>
    <row r="621" spans="1:8" x14ac:dyDescent="0.3">
      <c r="A621" t="s">
        <v>92</v>
      </c>
      <c r="B621">
        <v>20505875843</v>
      </c>
      <c r="C621" t="s">
        <v>750</v>
      </c>
      <c r="D621" t="s">
        <v>715</v>
      </c>
      <c r="E621" s="1">
        <v>45937</v>
      </c>
      <c r="F621">
        <v>444.5</v>
      </c>
      <c r="G621" t="s">
        <v>1437</v>
      </c>
      <c r="H621">
        <f>_xlfn.XLOOKUP(E621,K:K,L:L)</f>
        <v>2</v>
      </c>
    </row>
    <row r="622" spans="1:8" x14ac:dyDescent="0.3">
      <c r="A622" t="s">
        <v>92</v>
      </c>
      <c r="B622">
        <v>20524196469</v>
      </c>
      <c r="C622" t="s">
        <v>751</v>
      </c>
      <c r="D622" t="s">
        <v>720</v>
      </c>
      <c r="E622" s="1">
        <v>45937</v>
      </c>
      <c r="F622">
        <v>1640.9100000000003</v>
      </c>
      <c r="G622" t="s">
        <v>1437</v>
      </c>
      <c r="H622">
        <f>_xlfn.XLOOKUP(E622,K:K,L:L)</f>
        <v>2</v>
      </c>
    </row>
    <row r="623" spans="1:8" x14ac:dyDescent="0.3">
      <c r="A623" t="s">
        <v>92</v>
      </c>
      <c r="B623">
        <v>20546918310</v>
      </c>
      <c r="C623" t="s">
        <v>752</v>
      </c>
      <c r="D623" t="s">
        <v>715</v>
      </c>
      <c r="E623" s="1">
        <v>45937</v>
      </c>
      <c r="F623">
        <v>263.39</v>
      </c>
      <c r="G623" t="s">
        <v>1437</v>
      </c>
      <c r="H623">
        <f>_xlfn.XLOOKUP(E623,K:K,L:L)</f>
        <v>2</v>
      </c>
    </row>
    <row r="624" spans="1:8" x14ac:dyDescent="0.3">
      <c r="A624" t="s">
        <v>92</v>
      </c>
      <c r="B624">
        <v>20547907168</v>
      </c>
      <c r="C624" t="s">
        <v>753</v>
      </c>
      <c r="D624" t="s">
        <v>754</v>
      </c>
      <c r="E624" s="1">
        <v>45937</v>
      </c>
      <c r="F624">
        <v>851.63</v>
      </c>
      <c r="G624" t="s">
        <v>1437</v>
      </c>
      <c r="H624">
        <f>_xlfn.XLOOKUP(E624,K:K,L:L)</f>
        <v>2</v>
      </c>
    </row>
    <row r="625" spans="1:8" x14ac:dyDescent="0.3">
      <c r="A625" t="s">
        <v>92</v>
      </c>
      <c r="B625">
        <v>20566225868</v>
      </c>
      <c r="C625" t="s">
        <v>755</v>
      </c>
      <c r="D625" t="s">
        <v>715</v>
      </c>
      <c r="E625" s="1">
        <v>45937</v>
      </c>
      <c r="F625">
        <v>379.62</v>
      </c>
      <c r="G625" t="s">
        <v>1437</v>
      </c>
      <c r="H625">
        <f>_xlfn.XLOOKUP(E625,K:K,L:L)</f>
        <v>2</v>
      </c>
    </row>
    <row r="626" spans="1:8" x14ac:dyDescent="0.3">
      <c r="A626" t="s">
        <v>92</v>
      </c>
      <c r="B626">
        <v>20600316851</v>
      </c>
      <c r="C626" t="s">
        <v>756</v>
      </c>
      <c r="D626" t="s">
        <v>715</v>
      </c>
      <c r="E626" s="1">
        <v>45937</v>
      </c>
      <c r="F626">
        <v>333.26</v>
      </c>
      <c r="G626" t="s">
        <v>1437</v>
      </c>
      <c r="H626">
        <f>_xlfn.XLOOKUP(E626,K:K,L:L)</f>
        <v>2</v>
      </c>
    </row>
    <row r="627" spans="1:8" x14ac:dyDescent="0.3">
      <c r="A627" t="s">
        <v>92</v>
      </c>
      <c r="B627">
        <v>20601832781</v>
      </c>
      <c r="C627" t="s">
        <v>757</v>
      </c>
      <c r="D627" t="s">
        <v>711</v>
      </c>
      <c r="E627" s="1">
        <v>45937</v>
      </c>
      <c r="F627">
        <v>484.03999999999996</v>
      </c>
      <c r="G627" t="s">
        <v>1437</v>
      </c>
      <c r="H627">
        <f>_xlfn.XLOOKUP(E627,K:K,L:L)</f>
        <v>2</v>
      </c>
    </row>
    <row r="628" spans="1:8" x14ac:dyDescent="0.3">
      <c r="A628" t="s">
        <v>92</v>
      </c>
      <c r="B628">
        <v>20602869564</v>
      </c>
      <c r="C628" t="s">
        <v>758</v>
      </c>
      <c r="D628" t="s">
        <v>715</v>
      </c>
      <c r="E628" s="1">
        <v>45937</v>
      </c>
      <c r="F628">
        <v>458.64</v>
      </c>
      <c r="G628" t="s">
        <v>1437</v>
      </c>
      <c r="H628">
        <f>_xlfn.XLOOKUP(E628,K:K,L:L)</f>
        <v>2</v>
      </c>
    </row>
    <row r="629" spans="1:8" x14ac:dyDescent="0.3">
      <c r="A629" t="s">
        <v>92</v>
      </c>
      <c r="B629">
        <v>20603472242</v>
      </c>
      <c r="C629" t="s">
        <v>759</v>
      </c>
      <c r="D629" t="s">
        <v>711</v>
      </c>
      <c r="E629" s="1">
        <v>45937</v>
      </c>
      <c r="F629">
        <v>260.54999999999995</v>
      </c>
      <c r="G629" t="s">
        <v>1437</v>
      </c>
      <c r="H629">
        <f>_xlfn.XLOOKUP(E629,K:K,L:L)</f>
        <v>2</v>
      </c>
    </row>
    <row r="630" spans="1:8" x14ac:dyDescent="0.3">
      <c r="A630" t="s">
        <v>92</v>
      </c>
      <c r="B630">
        <v>20603513712</v>
      </c>
      <c r="C630" t="s">
        <v>760</v>
      </c>
      <c r="D630" t="s">
        <v>711</v>
      </c>
      <c r="E630" s="1">
        <v>45937</v>
      </c>
      <c r="F630">
        <v>260.54999999999995</v>
      </c>
      <c r="G630" t="s">
        <v>1437</v>
      </c>
      <c r="H630">
        <f>_xlfn.XLOOKUP(E630,K:K,L:L)</f>
        <v>2</v>
      </c>
    </row>
    <row r="631" spans="1:8" x14ac:dyDescent="0.3">
      <c r="A631" t="s">
        <v>92</v>
      </c>
      <c r="B631">
        <v>20604096031</v>
      </c>
      <c r="C631" t="s">
        <v>761</v>
      </c>
      <c r="D631" t="s">
        <v>713</v>
      </c>
      <c r="E631" s="1">
        <v>45937</v>
      </c>
      <c r="F631">
        <v>392.61999999999995</v>
      </c>
      <c r="G631" t="s">
        <v>1437</v>
      </c>
      <c r="H631">
        <f>_xlfn.XLOOKUP(E631,K:K,L:L)</f>
        <v>2</v>
      </c>
    </row>
    <row r="632" spans="1:8" x14ac:dyDescent="0.3">
      <c r="A632" t="s">
        <v>92</v>
      </c>
      <c r="B632">
        <v>20604118779</v>
      </c>
      <c r="C632" t="s">
        <v>762</v>
      </c>
      <c r="D632" t="s">
        <v>715</v>
      </c>
      <c r="E632" s="1">
        <v>45937</v>
      </c>
      <c r="F632">
        <v>407.56</v>
      </c>
      <c r="G632" t="s">
        <v>1437</v>
      </c>
      <c r="H632">
        <f>_xlfn.XLOOKUP(E632,K:K,L:L)</f>
        <v>2</v>
      </c>
    </row>
    <row r="633" spans="1:8" x14ac:dyDescent="0.3">
      <c r="A633" t="s">
        <v>92</v>
      </c>
      <c r="B633">
        <v>20606076895</v>
      </c>
      <c r="C633" t="s">
        <v>763</v>
      </c>
      <c r="D633" t="s">
        <v>715</v>
      </c>
      <c r="E633" s="1">
        <v>45937</v>
      </c>
      <c r="F633">
        <v>259.52999999999997</v>
      </c>
      <c r="G633" t="s">
        <v>1437</v>
      </c>
      <c r="H633">
        <f>_xlfn.XLOOKUP(E633,K:K,L:L)</f>
        <v>2</v>
      </c>
    </row>
    <row r="634" spans="1:8" x14ac:dyDescent="0.3">
      <c r="A634" t="s">
        <v>92</v>
      </c>
      <c r="B634">
        <v>20607936812</v>
      </c>
      <c r="C634" t="s">
        <v>764</v>
      </c>
      <c r="D634" t="s">
        <v>715</v>
      </c>
      <c r="E634" s="1">
        <v>45937</v>
      </c>
      <c r="F634">
        <v>503.49</v>
      </c>
      <c r="G634" t="s">
        <v>1437</v>
      </c>
      <c r="H634">
        <f>_xlfn.XLOOKUP(E634,K:K,L:L)</f>
        <v>2</v>
      </c>
    </row>
    <row r="635" spans="1:8" x14ac:dyDescent="0.3">
      <c r="A635" t="s">
        <v>92</v>
      </c>
      <c r="B635">
        <v>20609313626</v>
      </c>
      <c r="C635" t="s">
        <v>765</v>
      </c>
      <c r="D635" t="s">
        <v>754</v>
      </c>
      <c r="E635" s="1">
        <v>45937</v>
      </c>
      <c r="F635">
        <v>525.84999999999991</v>
      </c>
      <c r="G635" t="s">
        <v>1437</v>
      </c>
      <c r="H635">
        <f>_xlfn.XLOOKUP(E635,K:K,L:L)</f>
        <v>2</v>
      </c>
    </row>
    <row r="636" spans="1:8" x14ac:dyDescent="0.3">
      <c r="A636" t="s">
        <v>92</v>
      </c>
      <c r="B636">
        <v>20609572770</v>
      </c>
      <c r="C636" t="s">
        <v>766</v>
      </c>
      <c r="D636" t="s">
        <v>711</v>
      </c>
      <c r="E636" s="1">
        <v>45937</v>
      </c>
      <c r="F636">
        <v>287.32</v>
      </c>
      <c r="G636" t="s">
        <v>1437</v>
      </c>
      <c r="H636">
        <f>_xlfn.XLOOKUP(E636,K:K,L:L)</f>
        <v>2</v>
      </c>
    </row>
    <row r="637" spans="1:8" x14ac:dyDescent="0.3">
      <c r="A637" t="s">
        <v>92</v>
      </c>
      <c r="B637">
        <v>20610173358</v>
      </c>
      <c r="C637" t="s">
        <v>767</v>
      </c>
      <c r="D637" t="s">
        <v>715</v>
      </c>
      <c r="E637" s="1">
        <v>45937</v>
      </c>
      <c r="F637">
        <v>429.45</v>
      </c>
      <c r="G637" t="s">
        <v>1437</v>
      </c>
      <c r="H637">
        <f>_xlfn.XLOOKUP(E637,K:K,L:L)</f>
        <v>2</v>
      </c>
    </row>
    <row r="638" spans="1:8" x14ac:dyDescent="0.3">
      <c r="A638" t="s">
        <v>92</v>
      </c>
      <c r="B638">
        <v>20611019476</v>
      </c>
      <c r="C638" t="s">
        <v>768</v>
      </c>
      <c r="D638" t="s">
        <v>754</v>
      </c>
      <c r="E638" s="1">
        <v>45937</v>
      </c>
      <c r="F638">
        <v>525.84999999999991</v>
      </c>
      <c r="G638" t="s">
        <v>1437</v>
      </c>
      <c r="H638">
        <f>_xlfn.XLOOKUP(E638,K:K,L:L)</f>
        <v>2</v>
      </c>
    </row>
    <row r="639" spans="1:8" x14ac:dyDescent="0.3">
      <c r="A639" t="s">
        <v>92</v>
      </c>
      <c r="B639">
        <v>20611513489</v>
      </c>
      <c r="C639" t="s">
        <v>769</v>
      </c>
      <c r="D639" t="s">
        <v>715</v>
      </c>
      <c r="E639" s="1">
        <v>45937</v>
      </c>
      <c r="F639">
        <v>746.44</v>
      </c>
      <c r="G639" t="s">
        <v>1437</v>
      </c>
      <c r="H639">
        <f>_xlfn.XLOOKUP(E639,K:K,L:L)</f>
        <v>2</v>
      </c>
    </row>
    <row r="640" spans="1:8" x14ac:dyDescent="0.3">
      <c r="A640" t="s">
        <v>92</v>
      </c>
      <c r="B640">
        <v>20612001775</v>
      </c>
      <c r="C640" t="s">
        <v>770</v>
      </c>
      <c r="D640" t="s">
        <v>715</v>
      </c>
      <c r="E640" s="1">
        <v>45937</v>
      </c>
      <c r="F640">
        <v>336.47</v>
      </c>
      <c r="G640" t="s">
        <v>1437</v>
      </c>
      <c r="H640">
        <f>_xlfn.XLOOKUP(E640,K:K,L:L)</f>
        <v>2</v>
      </c>
    </row>
    <row r="641" spans="1:8" x14ac:dyDescent="0.3">
      <c r="A641" t="s">
        <v>92</v>
      </c>
      <c r="B641">
        <v>20612470562</v>
      </c>
      <c r="C641" t="s">
        <v>771</v>
      </c>
      <c r="D641" t="s">
        <v>715</v>
      </c>
      <c r="E641" s="1">
        <v>45937</v>
      </c>
      <c r="F641">
        <v>549.96</v>
      </c>
      <c r="G641" t="s">
        <v>1437</v>
      </c>
      <c r="H641">
        <f>_xlfn.XLOOKUP(E641,K:K,L:L)</f>
        <v>2</v>
      </c>
    </row>
    <row r="642" spans="1:8" x14ac:dyDescent="0.3">
      <c r="A642" t="s">
        <v>92</v>
      </c>
      <c r="B642">
        <v>20612937789</v>
      </c>
      <c r="C642" t="s">
        <v>772</v>
      </c>
      <c r="D642" t="s">
        <v>715</v>
      </c>
      <c r="E642" s="1">
        <v>45937</v>
      </c>
      <c r="F642">
        <v>277.78999999999996</v>
      </c>
      <c r="G642" t="s">
        <v>1437</v>
      </c>
      <c r="H642">
        <f>_xlfn.XLOOKUP(E642,K:K,L:L)</f>
        <v>2</v>
      </c>
    </row>
    <row r="643" spans="1:8" x14ac:dyDescent="0.3">
      <c r="A643" t="s">
        <v>92</v>
      </c>
      <c r="B643">
        <v>20613942468</v>
      </c>
      <c r="C643" t="s">
        <v>773</v>
      </c>
      <c r="D643" t="s">
        <v>715</v>
      </c>
      <c r="E643" s="1">
        <v>45937</v>
      </c>
      <c r="F643">
        <v>545.36</v>
      </c>
      <c r="G643" t="s">
        <v>1437</v>
      </c>
      <c r="H643">
        <f>_xlfn.XLOOKUP(E643,K:K,L:L)</f>
        <v>2</v>
      </c>
    </row>
    <row r="644" spans="1:8" x14ac:dyDescent="0.3">
      <c r="A644" t="s">
        <v>92</v>
      </c>
      <c r="B644">
        <v>20614000610</v>
      </c>
      <c r="C644" t="s">
        <v>774</v>
      </c>
      <c r="D644" t="s">
        <v>715</v>
      </c>
      <c r="E644" s="1">
        <v>45937</v>
      </c>
      <c r="F644">
        <v>459.35</v>
      </c>
      <c r="G644" t="s">
        <v>1437</v>
      </c>
      <c r="H644">
        <f>_xlfn.XLOOKUP(E644,K:K,L:L)</f>
        <v>2</v>
      </c>
    </row>
    <row r="645" spans="1:8" x14ac:dyDescent="0.3">
      <c r="A645" t="s">
        <v>92</v>
      </c>
      <c r="B645">
        <v>10055803311</v>
      </c>
      <c r="C645" t="s">
        <v>775</v>
      </c>
      <c r="D645" t="s">
        <v>7</v>
      </c>
      <c r="E645" s="1">
        <v>45937</v>
      </c>
      <c r="F645">
        <v>138.9</v>
      </c>
      <c r="G645" t="s">
        <v>1437</v>
      </c>
      <c r="H645">
        <f>_xlfn.XLOOKUP(E645,K:K,L:L)</f>
        <v>2</v>
      </c>
    </row>
    <row r="646" spans="1:8" x14ac:dyDescent="0.3">
      <c r="A646" t="s">
        <v>92</v>
      </c>
      <c r="B646">
        <v>10435256711</v>
      </c>
      <c r="C646" t="s">
        <v>776</v>
      </c>
      <c r="D646" t="s">
        <v>743</v>
      </c>
      <c r="E646" s="1">
        <v>45937</v>
      </c>
      <c r="F646">
        <v>499.71</v>
      </c>
      <c r="G646" t="s">
        <v>1437</v>
      </c>
      <c r="H646">
        <f>_xlfn.XLOOKUP(E646,K:K,L:L)</f>
        <v>2</v>
      </c>
    </row>
    <row r="647" spans="1:8" x14ac:dyDescent="0.3">
      <c r="A647" t="s">
        <v>92</v>
      </c>
      <c r="B647">
        <v>20612889989</v>
      </c>
      <c r="C647" t="s">
        <v>219</v>
      </c>
      <c r="D647" t="s">
        <v>743</v>
      </c>
      <c r="E647" s="1">
        <v>45937</v>
      </c>
      <c r="F647">
        <v>260.42999999999995</v>
      </c>
      <c r="G647" t="s">
        <v>1437</v>
      </c>
      <c r="H647">
        <f>_xlfn.XLOOKUP(E647,K:K,L:L)</f>
        <v>2</v>
      </c>
    </row>
    <row r="648" spans="1:8" x14ac:dyDescent="0.3">
      <c r="A648" t="s">
        <v>92</v>
      </c>
      <c r="B648">
        <v>20602188567</v>
      </c>
      <c r="C648" t="s">
        <v>777</v>
      </c>
      <c r="D648" t="s">
        <v>778</v>
      </c>
      <c r="E648" s="1">
        <v>45937</v>
      </c>
      <c r="F648">
        <v>655.49</v>
      </c>
      <c r="G648" t="s">
        <v>1437</v>
      </c>
      <c r="H648">
        <f>_xlfn.XLOOKUP(E648,K:K,L:L)</f>
        <v>2</v>
      </c>
    </row>
    <row r="649" spans="1:8" x14ac:dyDescent="0.3">
      <c r="A649" t="s">
        <v>92</v>
      </c>
      <c r="B649">
        <v>20607969877</v>
      </c>
      <c r="C649" t="s">
        <v>779</v>
      </c>
      <c r="D649" t="s">
        <v>114</v>
      </c>
      <c r="E649" s="1">
        <v>45937</v>
      </c>
      <c r="F649">
        <v>969.79</v>
      </c>
      <c r="G649" t="s">
        <v>1437</v>
      </c>
      <c r="H649">
        <f>_xlfn.XLOOKUP(E649,K:K,L:L)</f>
        <v>2</v>
      </c>
    </row>
    <row r="650" spans="1:8" x14ac:dyDescent="0.3">
      <c r="A650" t="s">
        <v>92</v>
      </c>
      <c r="B650">
        <v>20612859435</v>
      </c>
      <c r="C650" t="s">
        <v>780</v>
      </c>
      <c r="D650" t="s">
        <v>65</v>
      </c>
      <c r="E650" s="1">
        <v>45937</v>
      </c>
      <c r="F650">
        <v>342.46</v>
      </c>
      <c r="G650" t="s">
        <v>1437</v>
      </c>
      <c r="H650">
        <f>_xlfn.XLOOKUP(E650,K:K,L:L)</f>
        <v>2</v>
      </c>
    </row>
    <row r="651" spans="1:8" x14ac:dyDescent="0.3">
      <c r="A651" t="s">
        <v>92</v>
      </c>
      <c r="B651">
        <v>10752224434</v>
      </c>
      <c r="C651" t="s">
        <v>781</v>
      </c>
      <c r="D651" t="s">
        <v>782</v>
      </c>
      <c r="E651" s="1">
        <v>45937</v>
      </c>
      <c r="F651">
        <v>526.64</v>
      </c>
      <c r="G651" t="s">
        <v>1437</v>
      </c>
      <c r="H651">
        <f>_xlfn.XLOOKUP(E651,K:K,L:L)</f>
        <v>2</v>
      </c>
    </row>
    <row r="652" spans="1:8" x14ac:dyDescent="0.3">
      <c r="A652" t="s">
        <v>92</v>
      </c>
      <c r="B652">
        <v>20600426673</v>
      </c>
      <c r="C652" t="s">
        <v>783</v>
      </c>
      <c r="D652" t="s">
        <v>164</v>
      </c>
      <c r="E652" s="1">
        <v>45937</v>
      </c>
      <c r="F652">
        <v>696.25</v>
      </c>
      <c r="G652" t="s">
        <v>1437</v>
      </c>
      <c r="H652">
        <f>_xlfn.XLOOKUP(E652,K:K,L:L)</f>
        <v>2</v>
      </c>
    </row>
    <row r="653" spans="1:8" x14ac:dyDescent="0.3">
      <c r="A653" t="s">
        <v>92</v>
      </c>
      <c r="B653">
        <v>20610965777</v>
      </c>
      <c r="C653" t="s">
        <v>784</v>
      </c>
      <c r="D653" t="s">
        <v>18</v>
      </c>
      <c r="E653" s="1">
        <v>45937</v>
      </c>
      <c r="F653">
        <v>142.72</v>
      </c>
      <c r="G653" t="s">
        <v>1437</v>
      </c>
      <c r="H653">
        <f>_xlfn.XLOOKUP(E653,K:K,L:L)</f>
        <v>2</v>
      </c>
    </row>
    <row r="654" spans="1:8" x14ac:dyDescent="0.3">
      <c r="A654" t="s">
        <v>6</v>
      </c>
      <c r="B654">
        <v>20551703712</v>
      </c>
      <c r="C654" t="s">
        <v>84</v>
      </c>
      <c r="D654" t="s">
        <v>85</v>
      </c>
      <c r="E654" s="1">
        <v>45937</v>
      </c>
      <c r="F654">
        <v>721.43000000000006</v>
      </c>
      <c r="G654" t="s">
        <v>1437</v>
      </c>
      <c r="H654">
        <f>_xlfn.XLOOKUP(E654,K:K,L:L)</f>
        <v>2</v>
      </c>
    </row>
    <row r="655" spans="1:8" x14ac:dyDescent="0.3">
      <c r="A655" t="s">
        <v>93</v>
      </c>
      <c r="B655">
        <v>20100170681</v>
      </c>
      <c r="C655" t="s">
        <v>699</v>
      </c>
      <c r="D655" t="s">
        <v>700</v>
      </c>
      <c r="E655" s="1">
        <v>45937</v>
      </c>
      <c r="F655">
        <v>60.11</v>
      </c>
      <c r="G655" t="s">
        <v>1437</v>
      </c>
      <c r="H655">
        <f>_xlfn.XLOOKUP(E655,K:K,L:L)</f>
        <v>2</v>
      </c>
    </row>
    <row r="656" spans="1:8" x14ac:dyDescent="0.3">
      <c r="A656" t="s">
        <v>92</v>
      </c>
      <c r="B656">
        <v>10076223403</v>
      </c>
      <c r="C656" t="s">
        <v>785</v>
      </c>
      <c r="D656" t="s">
        <v>786</v>
      </c>
      <c r="E656" s="1">
        <v>45938</v>
      </c>
      <c r="F656">
        <v>1311.24</v>
      </c>
      <c r="G656" t="s">
        <v>1437</v>
      </c>
      <c r="H656">
        <f>_xlfn.XLOOKUP(E656,K:K,L:L)</f>
        <v>3</v>
      </c>
    </row>
    <row r="657" spans="1:8" x14ac:dyDescent="0.3">
      <c r="A657" t="s">
        <v>92</v>
      </c>
      <c r="B657">
        <v>10422904056</v>
      </c>
      <c r="C657" t="s">
        <v>787</v>
      </c>
      <c r="D657" t="s">
        <v>715</v>
      </c>
      <c r="E657" s="1">
        <v>45938</v>
      </c>
      <c r="F657">
        <v>287.09000000000003</v>
      </c>
      <c r="G657" t="s">
        <v>1437</v>
      </c>
      <c r="H657">
        <f>_xlfn.XLOOKUP(E657,K:K,L:L)</f>
        <v>3</v>
      </c>
    </row>
    <row r="658" spans="1:8" x14ac:dyDescent="0.3">
      <c r="A658" t="s">
        <v>92</v>
      </c>
      <c r="B658">
        <v>20567292241</v>
      </c>
      <c r="C658" t="s">
        <v>788</v>
      </c>
      <c r="D658" t="s">
        <v>754</v>
      </c>
      <c r="E658" s="1">
        <v>45938</v>
      </c>
      <c r="F658">
        <v>526.11</v>
      </c>
      <c r="G658" t="s">
        <v>1437</v>
      </c>
      <c r="H658">
        <f>_xlfn.XLOOKUP(E658,K:K,L:L)</f>
        <v>3</v>
      </c>
    </row>
    <row r="659" spans="1:8" x14ac:dyDescent="0.3">
      <c r="A659" t="s">
        <v>92</v>
      </c>
      <c r="B659">
        <v>20568877099</v>
      </c>
      <c r="C659" t="s">
        <v>789</v>
      </c>
      <c r="D659" t="s">
        <v>715</v>
      </c>
      <c r="E659" s="1">
        <v>45938</v>
      </c>
      <c r="F659">
        <v>442.82</v>
      </c>
      <c r="G659" t="s">
        <v>1437</v>
      </c>
      <c r="H659">
        <f>_xlfn.XLOOKUP(E659,K:K,L:L)</f>
        <v>3</v>
      </c>
    </row>
    <row r="660" spans="1:8" x14ac:dyDescent="0.3">
      <c r="A660" t="s">
        <v>92</v>
      </c>
      <c r="B660">
        <v>20612072907</v>
      </c>
      <c r="C660" t="s">
        <v>790</v>
      </c>
      <c r="D660" t="s">
        <v>715</v>
      </c>
      <c r="E660" s="1">
        <v>45938</v>
      </c>
      <c r="F660">
        <v>532.04999999999995</v>
      </c>
      <c r="G660" t="s">
        <v>1437</v>
      </c>
      <c r="H660">
        <f>_xlfn.XLOOKUP(E660,K:K,L:L)</f>
        <v>3</v>
      </c>
    </row>
    <row r="661" spans="1:8" x14ac:dyDescent="0.3">
      <c r="A661" t="s">
        <v>92</v>
      </c>
      <c r="B661">
        <v>20481024171</v>
      </c>
      <c r="C661" t="s">
        <v>791</v>
      </c>
      <c r="D661" t="s">
        <v>792</v>
      </c>
      <c r="E661" s="1">
        <v>45938</v>
      </c>
      <c r="F661">
        <v>883.54</v>
      </c>
      <c r="G661" t="s">
        <v>1437</v>
      </c>
      <c r="H661">
        <f>_xlfn.XLOOKUP(E661,K:K,L:L)</f>
        <v>3</v>
      </c>
    </row>
    <row r="662" spans="1:8" x14ac:dyDescent="0.3">
      <c r="A662" t="s">
        <v>92</v>
      </c>
      <c r="B662">
        <v>20604444234</v>
      </c>
      <c r="C662" t="s">
        <v>793</v>
      </c>
      <c r="D662" t="s">
        <v>169</v>
      </c>
      <c r="E662" s="1">
        <v>45938</v>
      </c>
      <c r="F662">
        <v>2738.58</v>
      </c>
      <c r="G662" t="s">
        <v>1437</v>
      </c>
      <c r="H662">
        <f>_xlfn.XLOOKUP(E662,K:K,L:L)</f>
        <v>3</v>
      </c>
    </row>
    <row r="663" spans="1:8" x14ac:dyDescent="0.3">
      <c r="A663" t="s">
        <v>6</v>
      </c>
      <c r="B663">
        <v>10413443771</v>
      </c>
      <c r="C663" t="s">
        <v>90</v>
      </c>
      <c r="D663" t="s">
        <v>91</v>
      </c>
      <c r="E663" s="1">
        <v>45939</v>
      </c>
      <c r="F663">
        <v>1604.3799999999999</v>
      </c>
      <c r="G663" t="s">
        <v>1437</v>
      </c>
      <c r="H663">
        <f>_xlfn.XLOOKUP(E663,K:K,L:L)</f>
        <v>4</v>
      </c>
    </row>
    <row r="664" spans="1:8" x14ac:dyDescent="0.3">
      <c r="A664" t="s">
        <v>92</v>
      </c>
      <c r="B664">
        <v>10091153136</v>
      </c>
      <c r="C664" t="s">
        <v>794</v>
      </c>
      <c r="D664" t="s">
        <v>715</v>
      </c>
      <c r="E664" s="1">
        <v>45939</v>
      </c>
      <c r="F664">
        <v>334.52</v>
      </c>
      <c r="G664" t="s">
        <v>1437</v>
      </c>
      <c r="H664">
        <f>_xlfn.XLOOKUP(E664,K:K,L:L)</f>
        <v>4</v>
      </c>
    </row>
    <row r="665" spans="1:8" x14ac:dyDescent="0.3">
      <c r="A665" t="s">
        <v>92</v>
      </c>
      <c r="B665">
        <v>10470198651</v>
      </c>
      <c r="C665" t="s">
        <v>795</v>
      </c>
      <c r="D665" t="s">
        <v>796</v>
      </c>
      <c r="E665" s="1">
        <v>45939</v>
      </c>
      <c r="F665">
        <v>660.7600000000001</v>
      </c>
      <c r="G665" t="s">
        <v>1437</v>
      </c>
      <c r="H665">
        <f>_xlfn.XLOOKUP(E665,K:K,L:L)</f>
        <v>4</v>
      </c>
    </row>
    <row r="666" spans="1:8" x14ac:dyDescent="0.3">
      <c r="A666" t="s">
        <v>92</v>
      </c>
      <c r="B666">
        <v>20477677682</v>
      </c>
      <c r="C666" t="s">
        <v>797</v>
      </c>
      <c r="D666" t="s">
        <v>715</v>
      </c>
      <c r="E666" s="1">
        <v>45939</v>
      </c>
      <c r="F666">
        <v>229.67000000000002</v>
      </c>
      <c r="G666" t="s">
        <v>1437</v>
      </c>
      <c r="H666">
        <f>_xlfn.XLOOKUP(E666,K:K,L:L)</f>
        <v>4</v>
      </c>
    </row>
    <row r="667" spans="1:8" x14ac:dyDescent="0.3">
      <c r="A667" t="s">
        <v>92</v>
      </c>
      <c r="B667">
        <v>20501610306</v>
      </c>
      <c r="C667" t="s">
        <v>798</v>
      </c>
      <c r="D667" t="s">
        <v>715</v>
      </c>
      <c r="E667" s="1">
        <v>45939</v>
      </c>
      <c r="F667">
        <v>259.52999999999997</v>
      </c>
      <c r="G667" t="s">
        <v>1437</v>
      </c>
      <c r="H667">
        <f>_xlfn.XLOOKUP(E667,K:K,L:L)</f>
        <v>4</v>
      </c>
    </row>
    <row r="668" spans="1:8" x14ac:dyDescent="0.3">
      <c r="A668" t="s">
        <v>92</v>
      </c>
      <c r="B668">
        <v>20506731209</v>
      </c>
      <c r="C668" t="s">
        <v>799</v>
      </c>
      <c r="D668" t="s">
        <v>715</v>
      </c>
      <c r="E668" s="1">
        <v>45939</v>
      </c>
      <c r="F668">
        <v>218.19</v>
      </c>
      <c r="G668" t="s">
        <v>1437</v>
      </c>
      <c r="H668">
        <f>_xlfn.XLOOKUP(E668,K:K,L:L)</f>
        <v>4</v>
      </c>
    </row>
    <row r="669" spans="1:8" x14ac:dyDescent="0.3">
      <c r="A669" t="s">
        <v>92</v>
      </c>
      <c r="B669">
        <v>20513644222</v>
      </c>
      <c r="C669" t="s">
        <v>800</v>
      </c>
      <c r="D669" t="s">
        <v>713</v>
      </c>
      <c r="E669" s="1">
        <v>45939</v>
      </c>
      <c r="F669">
        <v>2789.93</v>
      </c>
      <c r="G669" t="s">
        <v>1437</v>
      </c>
      <c r="H669">
        <f>_xlfn.XLOOKUP(E669,K:K,L:L)</f>
        <v>4</v>
      </c>
    </row>
    <row r="670" spans="1:8" x14ac:dyDescent="0.3">
      <c r="A670" t="s">
        <v>92</v>
      </c>
      <c r="B670">
        <v>20547326513</v>
      </c>
      <c r="C670" t="s">
        <v>801</v>
      </c>
      <c r="D670" t="s">
        <v>715</v>
      </c>
      <c r="E670" s="1">
        <v>45939</v>
      </c>
      <c r="F670">
        <v>229.67000000000002</v>
      </c>
      <c r="G670" t="s">
        <v>1437</v>
      </c>
      <c r="H670">
        <f>_xlfn.XLOOKUP(E670,K:K,L:L)</f>
        <v>4</v>
      </c>
    </row>
    <row r="671" spans="1:8" x14ac:dyDescent="0.3">
      <c r="A671" t="s">
        <v>92</v>
      </c>
      <c r="B671">
        <v>20550330483</v>
      </c>
      <c r="C671" t="s">
        <v>802</v>
      </c>
      <c r="D671" t="s">
        <v>715</v>
      </c>
      <c r="E671" s="1">
        <v>45939</v>
      </c>
      <c r="F671">
        <v>287.09000000000003</v>
      </c>
      <c r="G671" t="s">
        <v>1437</v>
      </c>
      <c r="H671">
        <f>_xlfn.XLOOKUP(E671,K:K,L:L)</f>
        <v>4</v>
      </c>
    </row>
    <row r="672" spans="1:8" x14ac:dyDescent="0.3">
      <c r="A672" t="s">
        <v>92</v>
      </c>
      <c r="B672">
        <v>20600739540</v>
      </c>
      <c r="C672" t="s">
        <v>803</v>
      </c>
      <c r="D672" t="s">
        <v>715</v>
      </c>
      <c r="E672" s="1">
        <v>45939</v>
      </c>
      <c r="F672">
        <v>344.51</v>
      </c>
      <c r="G672" t="s">
        <v>1437</v>
      </c>
      <c r="H672">
        <f>_xlfn.XLOOKUP(E672,K:K,L:L)</f>
        <v>4</v>
      </c>
    </row>
    <row r="673" spans="1:8" x14ac:dyDescent="0.3">
      <c r="A673" t="s">
        <v>92</v>
      </c>
      <c r="B673">
        <v>20601508657</v>
      </c>
      <c r="C673" t="s">
        <v>804</v>
      </c>
      <c r="D673" t="s">
        <v>715</v>
      </c>
      <c r="E673" s="1">
        <v>45939</v>
      </c>
      <c r="F673">
        <v>248.39000000000001</v>
      </c>
      <c r="G673" t="s">
        <v>1437</v>
      </c>
      <c r="H673">
        <f>_xlfn.XLOOKUP(E673,K:K,L:L)</f>
        <v>4</v>
      </c>
    </row>
    <row r="674" spans="1:8" x14ac:dyDescent="0.3">
      <c r="A674" t="s">
        <v>92</v>
      </c>
      <c r="B674">
        <v>20601952450</v>
      </c>
      <c r="C674" t="s">
        <v>805</v>
      </c>
      <c r="D674" t="s">
        <v>711</v>
      </c>
      <c r="E674" s="1">
        <v>45939</v>
      </c>
      <c r="F674">
        <v>260.68</v>
      </c>
      <c r="G674" t="s">
        <v>1437</v>
      </c>
      <c r="H674">
        <f>_xlfn.XLOOKUP(E674,K:K,L:L)</f>
        <v>4</v>
      </c>
    </row>
    <row r="675" spans="1:8" x14ac:dyDescent="0.3">
      <c r="A675" t="s">
        <v>92</v>
      </c>
      <c r="B675">
        <v>20602428568</v>
      </c>
      <c r="C675" t="s">
        <v>806</v>
      </c>
      <c r="D675" t="s">
        <v>715</v>
      </c>
      <c r="E675" s="1">
        <v>45939</v>
      </c>
      <c r="F675">
        <v>287.09000000000003</v>
      </c>
      <c r="G675" t="s">
        <v>1437</v>
      </c>
      <c r="H675">
        <f>_xlfn.XLOOKUP(E675,K:K,L:L)</f>
        <v>4</v>
      </c>
    </row>
    <row r="676" spans="1:8" x14ac:dyDescent="0.3">
      <c r="A676" t="s">
        <v>92</v>
      </c>
      <c r="B676">
        <v>20602433138</v>
      </c>
      <c r="C676" t="s">
        <v>807</v>
      </c>
      <c r="D676" t="s">
        <v>711</v>
      </c>
      <c r="E676" s="1">
        <v>45939</v>
      </c>
      <c r="F676">
        <v>1108.44</v>
      </c>
      <c r="G676" t="s">
        <v>1437</v>
      </c>
      <c r="H676">
        <f>_xlfn.XLOOKUP(E676,K:K,L:L)</f>
        <v>4</v>
      </c>
    </row>
    <row r="677" spans="1:8" x14ac:dyDescent="0.3">
      <c r="A677" t="s">
        <v>92</v>
      </c>
      <c r="B677">
        <v>20604243263</v>
      </c>
      <c r="C677" t="s">
        <v>808</v>
      </c>
      <c r="D677" t="s">
        <v>715</v>
      </c>
      <c r="E677" s="1">
        <v>45939</v>
      </c>
      <c r="F677">
        <v>359.27000000000004</v>
      </c>
      <c r="G677" t="s">
        <v>1437</v>
      </c>
      <c r="H677">
        <f>_xlfn.XLOOKUP(E677,K:K,L:L)</f>
        <v>4</v>
      </c>
    </row>
    <row r="678" spans="1:8" x14ac:dyDescent="0.3">
      <c r="A678" t="s">
        <v>92</v>
      </c>
      <c r="B678">
        <v>20607390909</v>
      </c>
      <c r="C678" t="s">
        <v>809</v>
      </c>
      <c r="D678" t="s">
        <v>715</v>
      </c>
      <c r="E678" s="1">
        <v>45939</v>
      </c>
      <c r="F678">
        <v>259.52999999999997</v>
      </c>
      <c r="G678" t="s">
        <v>1437</v>
      </c>
      <c r="H678">
        <f>_xlfn.XLOOKUP(E678,K:K,L:L)</f>
        <v>4</v>
      </c>
    </row>
    <row r="679" spans="1:8" x14ac:dyDescent="0.3">
      <c r="A679" t="s">
        <v>92</v>
      </c>
      <c r="B679">
        <v>20608844415</v>
      </c>
      <c r="C679" t="s">
        <v>395</v>
      </c>
      <c r="D679" t="s">
        <v>715</v>
      </c>
      <c r="E679" s="1">
        <v>45939</v>
      </c>
      <c r="F679">
        <v>242.65</v>
      </c>
      <c r="G679" t="s">
        <v>1437</v>
      </c>
      <c r="H679">
        <f>_xlfn.XLOOKUP(E679,K:K,L:L)</f>
        <v>4</v>
      </c>
    </row>
    <row r="680" spans="1:8" x14ac:dyDescent="0.3">
      <c r="A680" t="s">
        <v>92</v>
      </c>
      <c r="B680">
        <v>20608946200</v>
      </c>
      <c r="C680" t="s">
        <v>810</v>
      </c>
      <c r="D680" t="s">
        <v>715</v>
      </c>
      <c r="E680" s="1">
        <v>45939</v>
      </c>
      <c r="F680">
        <v>689.02</v>
      </c>
      <c r="G680" t="s">
        <v>1437</v>
      </c>
      <c r="H680">
        <f>_xlfn.XLOOKUP(E680,K:K,L:L)</f>
        <v>4</v>
      </c>
    </row>
    <row r="681" spans="1:8" x14ac:dyDescent="0.3">
      <c r="A681" t="s">
        <v>92</v>
      </c>
      <c r="B681">
        <v>20609541203</v>
      </c>
      <c r="C681" t="s">
        <v>811</v>
      </c>
      <c r="D681" t="s">
        <v>715</v>
      </c>
      <c r="E681" s="1">
        <v>45939</v>
      </c>
      <c r="F681">
        <v>676.62</v>
      </c>
      <c r="G681" t="s">
        <v>1437</v>
      </c>
      <c r="H681">
        <f>_xlfn.XLOOKUP(E681,K:K,L:L)</f>
        <v>4</v>
      </c>
    </row>
    <row r="682" spans="1:8" x14ac:dyDescent="0.3">
      <c r="A682" t="s">
        <v>92</v>
      </c>
      <c r="B682">
        <v>20609694905</v>
      </c>
      <c r="C682" t="s">
        <v>812</v>
      </c>
      <c r="D682" t="s">
        <v>715</v>
      </c>
      <c r="E682" s="1">
        <v>45939</v>
      </c>
      <c r="F682">
        <v>342.25</v>
      </c>
      <c r="G682" t="s">
        <v>1437</v>
      </c>
      <c r="H682">
        <f>_xlfn.XLOOKUP(E682,K:K,L:L)</f>
        <v>4</v>
      </c>
    </row>
    <row r="683" spans="1:8" x14ac:dyDescent="0.3">
      <c r="A683" t="s">
        <v>92</v>
      </c>
      <c r="B683">
        <v>20610990747</v>
      </c>
      <c r="C683" t="s">
        <v>813</v>
      </c>
      <c r="D683" t="s">
        <v>715</v>
      </c>
      <c r="E683" s="1">
        <v>45939</v>
      </c>
      <c r="F683">
        <v>272.51</v>
      </c>
      <c r="G683" t="s">
        <v>1437</v>
      </c>
      <c r="H683">
        <f>_xlfn.XLOOKUP(E683,K:K,L:L)</f>
        <v>4</v>
      </c>
    </row>
    <row r="684" spans="1:8" x14ac:dyDescent="0.3">
      <c r="A684" t="s">
        <v>92</v>
      </c>
      <c r="B684">
        <v>20611143274</v>
      </c>
      <c r="C684" t="s">
        <v>814</v>
      </c>
      <c r="D684" t="s">
        <v>715</v>
      </c>
      <c r="E684" s="1">
        <v>45939</v>
      </c>
      <c r="F684">
        <v>219.68</v>
      </c>
      <c r="G684" t="s">
        <v>1437</v>
      </c>
      <c r="H684">
        <f>_xlfn.XLOOKUP(E684,K:K,L:L)</f>
        <v>4</v>
      </c>
    </row>
    <row r="685" spans="1:8" x14ac:dyDescent="0.3">
      <c r="A685" t="s">
        <v>92</v>
      </c>
      <c r="B685">
        <v>20612058572</v>
      </c>
      <c r="C685" t="s">
        <v>815</v>
      </c>
      <c r="D685" t="s">
        <v>715</v>
      </c>
      <c r="E685" s="1">
        <v>45939</v>
      </c>
      <c r="F685">
        <v>229.67000000000002</v>
      </c>
      <c r="G685" t="s">
        <v>1437</v>
      </c>
      <c r="H685">
        <f>_xlfn.XLOOKUP(E685,K:K,L:L)</f>
        <v>4</v>
      </c>
    </row>
    <row r="686" spans="1:8" x14ac:dyDescent="0.3">
      <c r="A686" t="s">
        <v>92</v>
      </c>
      <c r="B686">
        <v>20613293419</v>
      </c>
      <c r="C686" t="s">
        <v>816</v>
      </c>
      <c r="D686" t="s">
        <v>715</v>
      </c>
      <c r="E686" s="1">
        <v>45939</v>
      </c>
      <c r="F686">
        <v>518.29</v>
      </c>
      <c r="G686" t="s">
        <v>1437</v>
      </c>
      <c r="H686">
        <f>_xlfn.XLOOKUP(E686,K:K,L:L)</f>
        <v>4</v>
      </c>
    </row>
    <row r="687" spans="1:8" x14ac:dyDescent="0.3">
      <c r="A687" t="s">
        <v>92</v>
      </c>
      <c r="B687">
        <v>20613624032</v>
      </c>
      <c r="C687" t="s">
        <v>817</v>
      </c>
      <c r="D687" t="s">
        <v>715</v>
      </c>
      <c r="E687" s="1">
        <v>45939</v>
      </c>
      <c r="F687">
        <v>1097.3499999999999</v>
      </c>
      <c r="G687" t="s">
        <v>1437</v>
      </c>
      <c r="H687">
        <f>_xlfn.XLOOKUP(E687,K:K,L:L)</f>
        <v>4</v>
      </c>
    </row>
    <row r="688" spans="1:8" x14ac:dyDescent="0.3">
      <c r="A688" t="s">
        <v>92</v>
      </c>
      <c r="B688">
        <v>20613896288</v>
      </c>
      <c r="C688" t="s">
        <v>818</v>
      </c>
      <c r="D688" t="s">
        <v>715</v>
      </c>
      <c r="E688" s="1">
        <v>45939</v>
      </c>
      <c r="F688">
        <v>259.52999999999997</v>
      </c>
      <c r="G688" t="s">
        <v>1437</v>
      </c>
      <c r="H688">
        <f>_xlfn.XLOOKUP(E688,K:K,L:L)</f>
        <v>4</v>
      </c>
    </row>
    <row r="689" spans="1:8" x14ac:dyDescent="0.3">
      <c r="A689" t="s">
        <v>92</v>
      </c>
      <c r="B689">
        <v>20605464689</v>
      </c>
      <c r="C689" t="s">
        <v>819</v>
      </c>
      <c r="D689" t="s">
        <v>743</v>
      </c>
      <c r="E689" s="1">
        <v>45939</v>
      </c>
      <c r="F689">
        <v>260.81</v>
      </c>
      <c r="G689" t="s">
        <v>1437</v>
      </c>
      <c r="H689">
        <f>_xlfn.XLOOKUP(E689,K:K,L:L)</f>
        <v>4</v>
      </c>
    </row>
    <row r="690" spans="1:8" x14ac:dyDescent="0.3">
      <c r="A690" t="s">
        <v>92</v>
      </c>
      <c r="B690">
        <v>20606376627</v>
      </c>
      <c r="C690" t="s">
        <v>820</v>
      </c>
      <c r="D690" t="s">
        <v>743</v>
      </c>
      <c r="E690" s="1">
        <v>45939</v>
      </c>
      <c r="F690">
        <v>3062.7400000000002</v>
      </c>
      <c r="G690" t="s">
        <v>1437</v>
      </c>
      <c r="H690">
        <f>_xlfn.XLOOKUP(E690,K:K,L:L)</f>
        <v>4</v>
      </c>
    </row>
    <row r="691" spans="1:8" x14ac:dyDescent="0.3">
      <c r="A691" t="s">
        <v>92</v>
      </c>
      <c r="B691">
        <v>20607525839</v>
      </c>
      <c r="C691" t="s">
        <v>821</v>
      </c>
      <c r="D691" t="s">
        <v>743</v>
      </c>
      <c r="E691" s="1">
        <v>45939</v>
      </c>
      <c r="F691">
        <v>462.30000000000007</v>
      </c>
      <c r="G691" t="s">
        <v>1437</v>
      </c>
      <c r="H691">
        <f>_xlfn.XLOOKUP(E691,K:K,L:L)</f>
        <v>4</v>
      </c>
    </row>
    <row r="692" spans="1:8" x14ac:dyDescent="0.3">
      <c r="A692" t="s">
        <v>92</v>
      </c>
      <c r="B692">
        <v>20613455893</v>
      </c>
      <c r="C692" t="s">
        <v>822</v>
      </c>
      <c r="D692" t="s">
        <v>743</v>
      </c>
      <c r="E692" s="1">
        <v>45939</v>
      </c>
      <c r="F692">
        <v>480.06999999999994</v>
      </c>
      <c r="G692" t="s">
        <v>1437</v>
      </c>
      <c r="H692">
        <f>_xlfn.XLOOKUP(E692,K:K,L:L)</f>
        <v>4</v>
      </c>
    </row>
    <row r="693" spans="1:8" x14ac:dyDescent="0.3">
      <c r="A693" t="s">
        <v>92</v>
      </c>
      <c r="B693">
        <v>20480174951</v>
      </c>
      <c r="C693" t="s">
        <v>823</v>
      </c>
      <c r="D693" t="s">
        <v>65</v>
      </c>
      <c r="E693" s="1">
        <v>45939</v>
      </c>
      <c r="F693">
        <v>134.4</v>
      </c>
      <c r="G693" t="s">
        <v>1437</v>
      </c>
      <c r="H693">
        <f>_xlfn.XLOOKUP(E693,K:K,L:L)</f>
        <v>4</v>
      </c>
    </row>
    <row r="694" spans="1:8" x14ac:dyDescent="0.3">
      <c r="A694" t="s">
        <v>92</v>
      </c>
      <c r="B694">
        <v>20493233361</v>
      </c>
      <c r="C694" t="s">
        <v>824</v>
      </c>
      <c r="D694" t="s">
        <v>778</v>
      </c>
      <c r="E694" s="1">
        <v>45939</v>
      </c>
      <c r="F694">
        <v>1302.01</v>
      </c>
      <c r="G694" t="s">
        <v>1437</v>
      </c>
      <c r="H694">
        <f>_xlfn.XLOOKUP(E694,K:K,L:L)</f>
        <v>4</v>
      </c>
    </row>
    <row r="695" spans="1:8" x14ac:dyDescent="0.3">
      <c r="A695" t="s">
        <v>92</v>
      </c>
      <c r="B695">
        <v>20565571134</v>
      </c>
      <c r="C695" t="s">
        <v>825</v>
      </c>
      <c r="D695" t="s">
        <v>162</v>
      </c>
      <c r="E695" s="1">
        <v>45939</v>
      </c>
      <c r="F695">
        <v>336.36</v>
      </c>
      <c r="G695" t="s">
        <v>1437</v>
      </c>
      <c r="H695">
        <f>_xlfn.XLOOKUP(E695,K:K,L:L)</f>
        <v>4</v>
      </c>
    </row>
    <row r="696" spans="1:8" x14ac:dyDescent="0.3">
      <c r="A696" t="s">
        <v>92</v>
      </c>
      <c r="B696">
        <v>20611460521</v>
      </c>
      <c r="C696" t="s">
        <v>826</v>
      </c>
      <c r="D696" t="s">
        <v>782</v>
      </c>
      <c r="E696" s="1">
        <v>45939</v>
      </c>
      <c r="F696">
        <v>527.54999999999995</v>
      </c>
      <c r="G696" t="s">
        <v>1437</v>
      </c>
      <c r="H696">
        <f>_xlfn.XLOOKUP(E696,K:K,L:L)</f>
        <v>4</v>
      </c>
    </row>
    <row r="697" spans="1:8" x14ac:dyDescent="0.3">
      <c r="A697" t="s">
        <v>6</v>
      </c>
      <c r="B697">
        <v>20527818762</v>
      </c>
      <c r="C697" t="s">
        <v>827</v>
      </c>
      <c r="D697" t="s">
        <v>715</v>
      </c>
      <c r="E697" s="1">
        <v>45939</v>
      </c>
      <c r="F697">
        <v>77.86</v>
      </c>
      <c r="G697" t="s">
        <v>1437</v>
      </c>
      <c r="H697">
        <f>_xlfn.XLOOKUP(E697,K:K,L:L)</f>
        <v>4</v>
      </c>
    </row>
    <row r="698" spans="1:8" x14ac:dyDescent="0.3">
      <c r="A698" t="s">
        <v>93</v>
      </c>
      <c r="B698">
        <v>20554078789</v>
      </c>
      <c r="C698" t="s">
        <v>318</v>
      </c>
      <c r="D698" t="s">
        <v>828</v>
      </c>
      <c r="E698" s="1">
        <v>45939</v>
      </c>
      <c r="F698">
        <v>950.32999999999993</v>
      </c>
      <c r="G698" t="s">
        <v>1437</v>
      </c>
      <c r="H698">
        <f>_xlfn.XLOOKUP(E698,K:K,L:L)</f>
        <v>4</v>
      </c>
    </row>
    <row r="699" spans="1:8" x14ac:dyDescent="0.3">
      <c r="A699" t="s">
        <v>92</v>
      </c>
      <c r="B699">
        <v>10001106878</v>
      </c>
      <c r="C699" t="s">
        <v>829</v>
      </c>
      <c r="D699" t="s">
        <v>715</v>
      </c>
      <c r="E699" s="1">
        <v>45940</v>
      </c>
      <c r="F699">
        <v>259.79000000000002</v>
      </c>
      <c r="G699" t="s">
        <v>1437</v>
      </c>
      <c r="H699">
        <f>_xlfn.XLOOKUP(E699,K:K,L:L)</f>
        <v>5</v>
      </c>
    </row>
    <row r="700" spans="1:8" x14ac:dyDescent="0.3">
      <c r="A700" t="s">
        <v>92</v>
      </c>
      <c r="B700">
        <v>10181316336</v>
      </c>
      <c r="C700" t="s">
        <v>830</v>
      </c>
      <c r="D700" t="s">
        <v>715</v>
      </c>
      <c r="E700" s="1">
        <v>45940</v>
      </c>
      <c r="F700">
        <v>237.95</v>
      </c>
      <c r="G700" t="s">
        <v>1437</v>
      </c>
      <c r="H700">
        <f>_xlfn.XLOOKUP(E700,K:K,L:L)</f>
        <v>5</v>
      </c>
    </row>
    <row r="701" spans="1:8" x14ac:dyDescent="0.3">
      <c r="A701" t="s">
        <v>92</v>
      </c>
      <c r="B701">
        <v>10306754535</v>
      </c>
      <c r="C701" t="s">
        <v>831</v>
      </c>
      <c r="D701" t="s">
        <v>754</v>
      </c>
      <c r="E701" s="1">
        <v>45940</v>
      </c>
      <c r="F701">
        <v>526.38</v>
      </c>
      <c r="G701" t="s">
        <v>1437</v>
      </c>
      <c r="H701">
        <f>_xlfn.XLOOKUP(E701,K:K,L:L)</f>
        <v>5</v>
      </c>
    </row>
    <row r="702" spans="1:8" x14ac:dyDescent="0.3">
      <c r="A702" t="s">
        <v>92</v>
      </c>
      <c r="B702">
        <v>10401937094</v>
      </c>
      <c r="C702" t="s">
        <v>832</v>
      </c>
      <c r="D702" t="s">
        <v>786</v>
      </c>
      <c r="E702" s="1">
        <v>45940</v>
      </c>
      <c r="F702">
        <v>1805.42</v>
      </c>
      <c r="G702" t="s">
        <v>1437</v>
      </c>
      <c r="H702">
        <f>_xlfn.XLOOKUP(E702,K:K,L:L)</f>
        <v>5</v>
      </c>
    </row>
    <row r="703" spans="1:8" x14ac:dyDescent="0.3">
      <c r="A703" t="s">
        <v>92</v>
      </c>
      <c r="B703">
        <v>10780196594</v>
      </c>
      <c r="C703" t="s">
        <v>833</v>
      </c>
      <c r="D703" t="s">
        <v>834</v>
      </c>
      <c r="E703" s="1">
        <v>45940</v>
      </c>
      <c r="F703">
        <v>663.22</v>
      </c>
      <c r="G703" t="s">
        <v>1437</v>
      </c>
      <c r="H703">
        <f>_xlfn.XLOOKUP(E703,K:K,L:L)</f>
        <v>5</v>
      </c>
    </row>
    <row r="704" spans="1:8" x14ac:dyDescent="0.3">
      <c r="A704" t="s">
        <v>92</v>
      </c>
      <c r="B704">
        <v>20103809445</v>
      </c>
      <c r="C704" t="s">
        <v>835</v>
      </c>
      <c r="D704" t="s">
        <v>715</v>
      </c>
      <c r="E704" s="1">
        <v>45940</v>
      </c>
      <c r="F704">
        <v>339.07000000000005</v>
      </c>
      <c r="G704" t="s">
        <v>1437</v>
      </c>
      <c r="H704">
        <f>_xlfn.XLOOKUP(E704,K:K,L:L)</f>
        <v>5</v>
      </c>
    </row>
    <row r="705" spans="1:8" x14ac:dyDescent="0.3">
      <c r="A705" t="s">
        <v>92</v>
      </c>
      <c r="B705">
        <v>20448202004</v>
      </c>
      <c r="C705" t="s">
        <v>836</v>
      </c>
      <c r="D705" t="s">
        <v>715</v>
      </c>
      <c r="E705" s="1">
        <v>45940</v>
      </c>
      <c r="F705">
        <v>344.85</v>
      </c>
      <c r="G705" t="s">
        <v>1437</v>
      </c>
      <c r="H705">
        <f>_xlfn.XLOOKUP(E705,K:K,L:L)</f>
        <v>5</v>
      </c>
    </row>
    <row r="706" spans="1:8" x14ac:dyDescent="0.3">
      <c r="A706" t="s">
        <v>92</v>
      </c>
      <c r="B706">
        <v>20509113069</v>
      </c>
      <c r="C706" t="s">
        <v>837</v>
      </c>
      <c r="D706" t="s">
        <v>715</v>
      </c>
      <c r="E706" s="1">
        <v>45940</v>
      </c>
      <c r="F706">
        <v>210.75</v>
      </c>
      <c r="G706" t="s">
        <v>1437</v>
      </c>
      <c r="H706">
        <f>_xlfn.XLOOKUP(E706,K:K,L:L)</f>
        <v>5</v>
      </c>
    </row>
    <row r="707" spans="1:8" x14ac:dyDescent="0.3">
      <c r="A707" t="s">
        <v>92</v>
      </c>
      <c r="B707">
        <v>20513477148</v>
      </c>
      <c r="C707" t="s">
        <v>838</v>
      </c>
      <c r="D707" t="s">
        <v>754</v>
      </c>
      <c r="E707" s="1">
        <v>45940</v>
      </c>
      <c r="F707">
        <v>1022.34</v>
      </c>
      <c r="G707" t="s">
        <v>1437</v>
      </c>
      <c r="H707">
        <f>_xlfn.XLOOKUP(E707,K:K,L:L)</f>
        <v>5</v>
      </c>
    </row>
    <row r="708" spans="1:8" x14ac:dyDescent="0.3">
      <c r="A708" t="s">
        <v>92</v>
      </c>
      <c r="B708">
        <v>20520834517</v>
      </c>
      <c r="C708" t="s">
        <v>839</v>
      </c>
      <c r="D708" t="s">
        <v>715</v>
      </c>
      <c r="E708" s="1">
        <v>45940</v>
      </c>
      <c r="F708">
        <v>1079.96</v>
      </c>
      <c r="G708" t="s">
        <v>1437</v>
      </c>
      <c r="H708">
        <f>_xlfn.XLOOKUP(E708,K:K,L:L)</f>
        <v>5</v>
      </c>
    </row>
    <row r="709" spans="1:8" x14ac:dyDescent="0.3">
      <c r="A709" t="s">
        <v>92</v>
      </c>
      <c r="B709">
        <v>20530009832</v>
      </c>
      <c r="C709" t="s">
        <v>840</v>
      </c>
      <c r="D709" t="s">
        <v>711</v>
      </c>
      <c r="E709" s="1">
        <v>45940</v>
      </c>
      <c r="F709">
        <v>642.81999999999994</v>
      </c>
      <c r="G709" t="s">
        <v>1437</v>
      </c>
      <c r="H709">
        <f>_xlfn.XLOOKUP(E709,K:K,L:L)</f>
        <v>5</v>
      </c>
    </row>
    <row r="710" spans="1:8" x14ac:dyDescent="0.3">
      <c r="A710" t="s">
        <v>92</v>
      </c>
      <c r="B710">
        <v>20554095012</v>
      </c>
      <c r="C710" t="s">
        <v>841</v>
      </c>
      <c r="D710" t="s">
        <v>713</v>
      </c>
      <c r="E710" s="1">
        <v>45940</v>
      </c>
      <c r="F710">
        <v>393.02</v>
      </c>
      <c r="G710" t="s">
        <v>1437</v>
      </c>
      <c r="H710">
        <f>_xlfn.XLOOKUP(E710,K:K,L:L)</f>
        <v>5</v>
      </c>
    </row>
    <row r="711" spans="1:8" x14ac:dyDescent="0.3">
      <c r="A711" t="s">
        <v>92</v>
      </c>
      <c r="B711">
        <v>20554557679</v>
      </c>
      <c r="C711" t="s">
        <v>842</v>
      </c>
      <c r="D711" t="s">
        <v>715</v>
      </c>
      <c r="E711" s="1">
        <v>45940</v>
      </c>
      <c r="F711">
        <v>1357.4499999999998</v>
      </c>
      <c r="G711" t="s">
        <v>1437</v>
      </c>
      <c r="H711">
        <f>_xlfn.XLOOKUP(E711,K:K,L:L)</f>
        <v>5</v>
      </c>
    </row>
    <row r="712" spans="1:8" x14ac:dyDescent="0.3">
      <c r="A712" t="s">
        <v>92</v>
      </c>
      <c r="B712">
        <v>20556106496</v>
      </c>
      <c r="C712" t="s">
        <v>843</v>
      </c>
      <c r="D712" t="s">
        <v>715</v>
      </c>
      <c r="E712" s="1">
        <v>45940</v>
      </c>
      <c r="F712">
        <v>415.65999999999997</v>
      </c>
      <c r="G712" t="s">
        <v>1437</v>
      </c>
      <c r="H712">
        <f>_xlfn.XLOOKUP(E712,K:K,L:L)</f>
        <v>5</v>
      </c>
    </row>
    <row r="713" spans="1:8" x14ac:dyDescent="0.3">
      <c r="A713" t="s">
        <v>92</v>
      </c>
      <c r="B713">
        <v>20558148641</v>
      </c>
      <c r="C713" t="s">
        <v>844</v>
      </c>
      <c r="D713" t="s">
        <v>713</v>
      </c>
      <c r="E713" s="1">
        <v>45940</v>
      </c>
      <c r="F713">
        <v>393.02</v>
      </c>
      <c r="G713" t="s">
        <v>1437</v>
      </c>
      <c r="H713">
        <f>_xlfn.XLOOKUP(E713,K:K,L:L)</f>
        <v>5</v>
      </c>
    </row>
    <row r="714" spans="1:8" x14ac:dyDescent="0.3">
      <c r="A714" t="s">
        <v>92</v>
      </c>
      <c r="B714">
        <v>20558353814</v>
      </c>
      <c r="C714" t="s">
        <v>845</v>
      </c>
      <c r="D714" t="s">
        <v>715</v>
      </c>
      <c r="E714" s="1">
        <v>45940</v>
      </c>
      <c r="F714">
        <v>279.33</v>
      </c>
      <c r="G714" t="s">
        <v>1437</v>
      </c>
      <c r="H714">
        <f>_xlfn.XLOOKUP(E714,K:K,L:L)</f>
        <v>5</v>
      </c>
    </row>
    <row r="715" spans="1:8" x14ac:dyDescent="0.3">
      <c r="A715" t="s">
        <v>92</v>
      </c>
      <c r="B715">
        <v>20561130966</v>
      </c>
      <c r="C715" t="s">
        <v>846</v>
      </c>
      <c r="D715" t="s">
        <v>715</v>
      </c>
      <c r="E715" s="1">
        <v>45940</v>
      </c>
      <c r="F715">
        <v>717.64</v>
      </c>
      <c r="G715" t="s">
        <v>1437</v>
      </c>
      <c r="H715">
        <f>_xlfn.XLOOKUP(E715,K:K,L:L)</f>
        <v>5</v>
      </c>
    </row>
    <row r="716" spans="1:8" x14ac:dyDescent="0.3">
      <c r="A716" t="s">
        <v>92</v>
      </c>
      <c r="B716">
        <v>20600042611</v>
      </c>
      <c r="C716" t="s">
        <v>847</v>
      </c>
      <c r="D716" t="s">
        <v>848</v>
      </c>
      <c r="E716" s="1">
        <v>45940</v>
      </c>
      <c r="F716">
        <v>1071.4099999999999</v>
      </c>
      <c r="G716" t="s">
        <v>1437</v>
      </c>
      <c r="H716">
        <f>_xlfn.XLOOKUP(E716,K:K,L:L)</f>
        <v>5</v>
      </c>
    </row>
    <row r="717" spans="1:8" x14ac:dyDescent="0.3">
      <c r="A717" t="s">
        <v>92</v>
      </c>
      <c r="B717">
        <v>20600234715</v>
      </c>
      <c r="C717" t="s">
        <v>849</v>
      </c>
      <c r="D717" t="s">
        <v>715</v>
      </c>
      <c r="E717" s="1">
        <v>45940</v>
      </c>
      <c r="F717">
        <v>285.76</v>
      </c>
      <c r="G717" t="s">
        <v>1437</v>
      </c>
      <c r="H717">
        <f>_xlfn.XLOOKUP(E717,K:K,L:L)</f>
        <v>5</v>
      </c>
    </row>
    <row r="718" spans="1:8" x14ac:dyDescent="0.3">
      <c r="A718" t="s">
        <v>92</v>
      </c>
      <c r="B718">
        <v>20600493150</v>
      </c>
      <c r="C718" t="s">
        <v>850</v>
      </c>
      <c r="D718" t="s">
        <v>715</v>
      </c>
      <c r="E718" s="1">
        <v>45940</v>
      </c>
      <c r="F718">
        <v>298.52999999999997</v>
      </c>
      <c r="G718" t="s">
        <v>1437</v>
      </c>
      <c r="H718">
        <f>_xlfn.XLOOKUP(E718,K:K,L:L)</f>
        <v>5</v>
      </c>
    </row>
    <row r="719" spans="1:8" x14ac:dyDescent="0.3">
      <c r="A719" t="s">
        <v>92</v>
      </c>
      <c r="B719">
        <v>20601404061</v>
      </c>
      <c r="C719" t="s">
        <v>851</v>
      </c>
      <c r="D719" t="s">
        <v>715</v>
      </c>
      <c r="E719" s="1">
        <v>45940</v>
      </c>
      <c r="F719">
        <v>287.38</v>
      </c>
      <c r="G719" t="s">
        <v>1437</v>
      </c>
      <c r="H719">
        <f>_xlfn.XLOOKUP(E719,K:K,L:L)</f>
        <v>5</v>
      </c>
    </row>
    <row r="720" spans="1:8" x14ac:dyDescent="0.3">
      <c r="A720" t="s">
        <v>92</v>
      </c>
      <c r="B720">
        <v>20603731507</v>
      </c>
      <c r="C720" t="s">
        <v>852</v>
      </c>
      <c r="D720" t="s">
        <v>713</v>
      </c>
      <c r="E720" s="1">
        <v>45940</v>
      </c>
      <c r="F720">
        <v>393.02</v>
      </c>
      <c r="G720" t="s">
        <v>1437</v>
      </c>
      <c r="H720">
        <f>_xlfn.XLOOKUP(E720,K:K,L:L)</f>
        <v>5</v>
      </c>
    </row>
    <row r="721" spans="1:8" x14ac:dyDescent="0.3">
      <c r="A721" t="s">
        <v>92</v>
      </c>
      <c r="B721">
        <v>20603981040</v>
      </c>
      <c r="C721" t="s">
        <v>853</v>
      </c>
      <c r="D721" t="s">
        <v>715</v>
      </c>
      <c r="E721" s="1">
        <v>45940</v>
      </c>
      <c r="F721">
        <v>242.89000000000001</v>
      </c>
      <c r="G721" t="s">
        <v>1437</v>
      </c>
      <c r="H721">
        <f>_xlfn.XLOOKUP(E721,K:K,L:L)</f>
        <v>5</v>
      </c>
    </row>
    <row r="722" spans="1:8" x14ac:dyDescent="0.3">
      <c r="A722" t="s">
        <v>92</v>
      </c>
      <c r="B722">
        <v>20604662398</v>
      </c>
      <c r="C722" t="s">
        <v>854</v>
      </c>
      <c r="D722" t="s">
        <v>715</v>
      </c>
      <c r="E722" s="1">
        <v>45940</v>
      </c>
      <c r="F722">
        <v>221.48</v>
      </c>
      <c r="G722" t="s">
        <v>1437</v>
      </c>
      <c r="H722">
        <f>_xlfn.XLOOKUP(E722,K:K,L:L)</f>
        <v>5</v>
      </c>
    </row>
    <row r="723" spans="1:8" x14ac:dyDescent="0.3">
      <c r="A723" t="s">
        <v>92</v>
      </c>
      <c r="B723">
        <v>20605825061</v>
      </c>
      <c r="C723" t="s">
        <v>855</v>
      </c>
      <c r="D723" t="s">
        <v>715</v>
      </c>
      <c r="E723" s="1">
        <v>45940</v>
      </c>
      <c r="F723">
        <v>208.39999999999998</v>
      </c>
      <c r="G723" t="s">
        <v>1437</v>
      </c>
      <c r="H723">
        <f>_xlfn.XLOOKUP(E723,K:K,L:L)</f>
        <v>5</v>
      </c>
    </row>
    <row r="724" spans="1:8" x14ac:dyDescent="0.3">
      <c r="A724" t="s">
        <v>92</v>
      </c>
      <c r="B724">
        <v>20608458281</v>
      </c>
      <c r="C724" t="s">
        <v>856</v>
      </c>
      <c r="D724" t="s">
        <v>715</v>
      </c>
      <c r="E724" s="1">
        <v>45940</v>
      </c>
      <c r="F724">
        <v>246.8</v>
      </c>
      <c r="G724" t="s">
        <v>1437</v>
      </c>
      <c r="H724">
        <f>_xlfn.XLOOKUP(E724,K:K,L:L)</f>
        <v>5</v>
      </c>
    </row>
    <row r="725" spans="1:8" x14ac:dyDescent="0.3">
      <c r="A725" t="s">
        <v>92</v>
      </c>
      <c r="B725">
        <v>20608909576</v>
      </c>
      <c r="C725" t="s">
        <v>857</v>
      </c>
      <c r="D725" t="s">
        <v>711</v>
      </c>
      <c r="E725" s="1">
        <v>45940</v>
      </c>
      <c r="F725">
        <v>260.81</v>
      </c>
      <c r="G725" t="s">
        <v>1437</v>
      </c>
      <c r="H725">
        <f>_xlfn.XLOOKUP(E725,K:K,L:L)</f>
        <v>5</v>
      </c>
    </row>
    <row r="726" spans="1:8" x14ac:dyDescent="0.3">
      <c r="A726" t="s">
        <v>92</v>
      </c>
      <c r="B726">
        <v>20611247886</v>
      </c>
      <c r="C726" t="s">
        <v>858</v>
      </c>
      <c r="D726" t="s">
        <v>715</v>
      </c>
      <c r="E726" s="1">
        <v>45940</v>
      </c>
      <c r="F726">
        <v>620.73</v>
      </c>
      <c r="G726" t="s">
        <v>1437</v>
      </c>
      <c r="H726">
        <f>_xlfn.XLOOKUP(E726,K:K,L:L)</f>
        <v>5</v>
      </c>
    </row>
    <row r="727" spans="1:8" x14ac:dyDescent="0.3">
      <c r="A727" t="s">
        <v>92</v>
      </c>
      <c r="B727">
        <v>20613474057</v>
      </c>
      <c r="C727" t="s">
        <v>859</v>
      </c>
      <c r="D727" t="s">
        <v>715</v>
      </c>
      <c r="E727" s="1">
        <v>45940</v>
      </c>
      <c r="F727">
        <v>295.38</v>
      </c>
      <c r="G727" t="s">
        <v>1437</v>
      </c>
      <c r="H727">
        <f>_xlfn.XLOOKUP(E727,K:K,L:L)</f>
        <v>5</v>
      </c>
    </row>
    <row r="728" spans="1:8" x14ac:dyDescent="0.3">
      <c r="A728" t="s">
        <v>92</v>
      </c>
      <c r="B728">
        <v>20613925849</v>
      </c>
      <c r="C728" t="s">
        <v>860</v>
      </c>
      <c r="D728" t="s">
        <v>715</v>
      </c>
      <c r="E728" s="1">
        <v>45940</v>
      </c>
      <c r="F728">
        <v>355.08000000000004</v>
      </c>
      <c r="G728" t="s">
        <v>1437</v>
      </c>
      <c r="H728">
        <f>_xlfn.XLOOKUP(E728,K:K,L:L)</f>
        <v>5</v>
      </c>
    </row>
    <row r="729" spans="1:8" x14ac:dyDescent="0.3">
      <c r="A729" t="s">
        <v>92</v>
      </c>
      <c r="B729">
        <v>20613979779</v>
      </c>
      <c r="C729" t="s">
        <v>861</v>
      </c>
      <c r="D729" t="s">
        <v>711</v>
      </c>
      <c r="E729" s="1">
        <v>45940</v>
      </c>
      <c r="F729">
        <v>260.81</v>
      </c>
      <c r="G729" t="s">
        <v>1437</v>
      </c>
      <c r="H729">
        <f>_xlfn.XLOOKUP(E729,K:K,L:L)</f>
        <v>5</v>
      </c>
    </row>
    <row r="730" spans="1:8" x14ac:dyDescent="0.3">
      <c r="A730" t="s">
        <v>92</v>
      </c>
      <c r="B730">
        <v>20613988492</v>
      </c>
      <c r="C730" t="s">
        <v>862</v>
      </c>
      <c r="D730" t="s">
        <v>711</v>
      </c>
      <c r="E730" s="1">
        <v>45940</v>
      </c>
      <c r="F730">
        <v>598.97</v>
      </c>
      <c r="G730" t="s">
        <v>1437</v>
      </c>
      <c r="H730">
        <f>_xlfn.XLOOKUP(E730,K:K,L:L)</f>
        <v>5</v>
      </c>
    </row>
    <row r="731" spans="1:8" x14ac:dyDescent="0.3">
      <c r="A731" t="s">
        <v>92</v>
      </c>
      <c r="B731">
        <v>10316732009</v>
      </c>
      <c r="C731" t="s">
        <v>863</v>
      </c>
      <c r="D731" t="s">
        <v>7</v>
      </c>
      <c r="E731" s="1">
        <v>45940</v>
      </c>
      <c r="F731">
        <v>246.06</v>
      </c>
      <c r="G731" t="s">
        <v>1437</v>
      </c>
      <c r="H731">
        <f>_xlfn.XLOOKUP(E731,K:K,L:L)</f>
        <v>5</v>
      </c>
    </row>
    <row r="732" spans="1:8" x14ac:dyDescent="0.3">
      <c r="A732" t="s">
        <v>92</v>
      </c>
      <c r="B732">
        <v>20601417937</v>
      </c>
      <c r="C732" t="s">
        <v>864</v>
      </c>
      <c r="D732" t="s">
        <v>7</v>
      </c>
      <c r="E732" s="1">
        <v>45940</v>
      </c>
      <c r="F732">
        <v>210.26999999999998</v>
      </c>
      <c r="G732" t="s">
        <v>1437</v>
      </c>
      <c r="H732">
        <f>_xlfn.XLOOKUP(E732,K:K,L:L)</f>
        <v>5</v>
      </c>
    </row>
    <row r="733" spans="1:8" x14ac:dyDescent="0.3">
      <c r="A733" t="s">
        <v>92</v>
      </c>
      <c r="B733">
        <v>20610764691</v>
      </c>
      <c r="C733" t="s">
        <v>865</v>
      </c>
      <c r="D733" t="s">
        <v>54</v>
      </c>
      <c r="E733" s="1">
        <v>45940</v>
      </c>
      <c r="F733">
        <v>396.49</v>
      </c>
      <c r="G733" t="s">
        <v>1437</v>
      </c>
      <c r="H733">
        <f>_xlfn.XLOOKUP(E733,K:K,L:L)</f>
        <v>5</v>
      </c>
    </row>
    <row r="734" spans="1:8" x14ac:dyDescent="0.3">
      <c r="A734" t="s">
        <v>92</v>
      </c>
      <c r="B734">
        <v>20545240212</v>
      </c>
      <c r="C734" t="s">
        <v>866</v>
      </c>
      <c r="D734" t="s">
        <v>867</v>
      </c>
      <c r="E734" s="1">
        <v>45940</v>
      </c>
      <c r="F734">
        <v>1145.6200000000001</v>
      </c>
      <c r="G734" t="s">
        <v>1437</v>
      </c>
      <c r="H734">
        <f>_xlfn.XLOOKUP(E734,K:K,L:L)</f>
        <v>5</v>
      </c>
    </row>
    <row r="735" spans="1:8" x14ac:dyDescent="0.3">
      <c r="A735" t="s">
        <v>6</v>
      </c>
      <c r="B735">
        <v>20545781485</v>
      </c>
      <c r="C735" t="s">
        <v>868</v>
      </c>
      <c r="D735" t="s">
        <v>869</v>
      </c>
      <c r="E735" s="1">
        <v>45940</v>
      </c>
      <c r="F735">
        <v>161.44</v>
      </c>
      <c r="G735" t="s">
        <v>1437</v>
      </c>
      <c r="H735">
        <f>_xlfn.XLOOKUP(E735,K:K,L:L)</f>
        <v>5</v>
      </c>
    </row>
    <row r="736" spans="1:8" x14ac:dyDescent="0.3">
      <c r="A736" t="s">
        <v>6</v>
      </c>
      <c r="B736">
        <v>20607496430</v>
      </c>
      <c r="C736" t="s">
        <v>870</v>
      </c>
      <c r="D736" t="s">
        <v>345</v>
      </c>
      <c r="E736" s="1">
        <v>45940</v>
      </c>
      <c r="F736">
        <v>302.85000000000002</v>
      </c>
      <c r="G736" t="s">
        <v>1437</v>
      </c>
      <c r="H736">
        <f>_xlfn.XLOOKUP(E736,K:K,L:L)</f>
        <v>5</v>
      </c>
    </row>
    <row r="737" spans="1:8" x14ac:dyDescent="0.3">
      <c r="A737" t="s">
        <v>6</v>
      </c>
      <c r="B737">
        <v>20602804055</v>
      </c>
      <c r="C737" t="s">
        <v>88</v>
      </c>
      <c r="D737" t="s">
        <v>871</v>
      </c>
      <c r="E737" s="1">
        <v>45940</v>
      </c>
      <c r="F737">
        <v>10808.81</v>
      </c>
      <c r="G737" t="s">
        <v>1437</v>
      </c>
      <c r="H737">
        <f>_xlfn.XLOOKUP(E737,K:K,L:L)</f>
        <v>5</v>
      </c>
    </row>
    <row r="738" spans="1:8" x14ac:dyDescent="0.3">
      <c r="A738" t="s">
        <v>93</v>
      </c>
      <c r="B738">
        <v>20605242937</v>
      </c>
      <c r="C738" t="s">
        <v>872</v>
      </c>
      <c r="D738" t="s">
        <v>473</v>
      </c>
      <c r="E738" s="1">
        <v>45940</v>
      </c>
      <c r="F738">
        <v>682.32999999999993</v>
      </c>
      <c r="G738" t="s">
        <v>1437</v>
      </c>
      <c r="H738">
        <f>_xlfn.XLOOKUP(E738,K:K,L:L)</f>
        <v>5</v>
      </c>
    </row>
    <row r="739" spans="1:8" x14ac:dyDescent="0.3">
      <c r="A739" t="s">
        <v>93</v>
      </c>
      <c r="B739">
        <v>10079417616</v>
      </c>
      <c r="C739" t="s">
        <v>873</v>
      </c>
      <c r="D739" t="s">
        <v>874</v>
      </c>
      <c r="E739" s="1">
        <v>45940</v>
      </c>
      <c r="F739">
        <v>47.129999999999995</v>
      </c>
      <c r="G739" t="s">
        <v>1437</v>
      </c>
      <c r="H739">
        <f>_xlfn.XLOOKUP(E739,K:K,L:L)</f>
        <v>5</v>
      </c>
    </row>
    <row r="740" spans="1:8" x14ac:dyDescent="0.3">
      <c r="A740" t="s">
        <v>875</v>
      </c>
      <c r="B740">
        <v>20456334971</v>
      </c>
      <c r="C740" t="s">
        <v>876</v>
      </c>
      <c r="D740" t="s">
        <v>877</v>
      </c>
      <c r="E740" s="1">
        <v>45940</v>
      </c>
      <c r="F740">
        <v>479.98</v>
      </c>
      <c r="G740" t="s">
        <v>1437</v>
      </c>
      <c r="H740">
        <f>_xlfn.XLOOKUP(E740,K:K,L:L)</f>
        <v>5</v>
      </c>
    </row>
    <row r="741" spans="1:8" x14ac:dyDescent="0.3">
      <c r="A741" t="s">
        <v>875</v>
      </c>
      <c r="B741">
        <v>20565246144</v>
      </c>
      <c r="C741" t="s">
        <v>878</v>
      </c>
      <c r="D741" t="s">
        <v>879</v>
      </c>
      <c r="E741" s="1">
        <v>45940</v>
      </c>
      <c r="F741">
        <v>878.62999999999988</v>
      </c>
      <c r="G741" t="s">
        <v>1437</v>
      </c>
      <c r="H741">
        <f>_xlfn.XLOOKUP(E741,K:K,L:L)</f>
        <v>5</v>
      </c>
    </row>
    <row r="742" spans="1:8" x14ac:dyDescent="0.3">
      <c r="A742" t="s">
        <v>875</v>
      </c>
      <c r="B742">
        <v>20503986419</v>
      </c>
      <c r="C742" t="s">
        <v>880</v>
      </c>
      <c r="D742" t="s">
        <v>881</v>
      </c>
      <c r="E742" s="1">
        <v>45940</v>
      </c>
      <c r="F742">
        <v>11269.519999999999</v>
      </c>
      <c r="G742" t="s">
        <v>1437</v>
      </c>
      <c r="H742">
        <f>_xlfn.XLOOKUP(E742,K:K,L:L)</f>
        <v>5</v>
      </c>
    </row>
    <row r="743" spans="1:8" x14ac:dyDescent="0.3">
      <c r="A743" t="s">
        <v>875</v>
      </c>
      <c r="B743">
        <v>20514740152</v>
      </c>
      <c r="C743" t="s">
        <v>882</v>
      </c>
      <c r="D743" t="s">
        <v>883</v>
      </c>
      <c r="E743" s="1">
        <v>45940</v>
      </c>
      <c r="F743">
        <v>13122.090000000002</v>
      </c>
      <c r="G743" t="s">
        <v>1437</v>
      </c>
      <c r="H743">
        <f>_xlfn.XLOOKUP(E743,K:K,L:L)</f>
        <v>5</v>
      </c>
    </row>
    <row r="744" spans="1:8" x14ac:dyDescent="0.3">
      <c r="A744" t="s">
        <v>92</v>
      </c>
      <c r="B744">
        <v>10067565148</v>
      </c>
      <c r="C744" t="s">
        <v>884</v>
      </c>
      <c r="D744" t="s">
        <v>715</v>
      </c>
      <c r="E744" s="1">
        <v>45941</v>
      </c>
      <c r="F744">
        <v>283.07</v>
      </c>
      <c r="G744" t="s">
        <v>1437</v>
      </c>
      <c r="H744">
        <f>_xlfn.XLOOKUP(E744,K:K,L:L)</f>
        <v>5</v>
      </c>
    </row>
    <row r="745" spans="1:8" x14ac:dyDescent="0.3">
      <c r="A745" t="s">
        <v>92</v>
      </c>
      <c r="B745">
        <v>10105351173</v>
      </c>
      <c r="C745" t="s">
        <v>885</v>
      </c>
      <c r="D745" t="s">
        <v>715</v>
      </c>
      <c r="E745" s="1">
        <v>45941</v>
      </c>
      <c r="F745">
        <v>432.21999999999997</v>
      </c>
      <c r="G745" t="s">
        <v>1437</v>
      </c>
      <c r="H745">
        <f>_xlfn.XLOOKUP(E745,K:K,L:L)</f>
        <v>5</v>
      </c>
    </row>
    <row r="746" spans="1:8" x14ac:dyDescent="0.3">
      <c r="A746" t="s">
        <v>92</v>
      </c>
      <c r="B746">
        <v>10413861468</v>
      </c>
      <c r="C746" t="s">
        <v>886</v>
      </c>
      <c r="D746" t="s">
        <v>715</v>
      </c>
      <c r="E746" s="1">
        <v>45941</v>
      </c>
      <c r="F746">
        <v>236.8</v>
      </c>
      <c r="G746" t="s">
        <v>1437</v>
      </c>
      <c r="H746">
        <f>_xlfn.XLOOKUP(E746,K:K,L:L)</f>
        <v>5</v>
      </c>
    </row>
    <row r="747" spans="1:8" x14ac:dyDescent="0.3">
      <c r="A747" t="s">
        <v>92</v>
      </c>
      <c r="B747">
        <v>10455500261</v>
      </c>
      <c r="C747" t="s">
        <v>887</v>
      </c>
      <c r="D747" t="s">
        <v>715</v>
      </c>
      <c r="E747" s="1">
        <v>45941</v>
      </c>
      <c r="F747">
        <v>259.79000000000002</v>
      </c>
      <c r="G747" t="s">
        <v>1437</v>
      </c>
      <c r="H747">
        <f>_xlfn.XLOOKUP(E747,K:K,L:L)</f>
        <v>5</v>
      </c>
    </row>
    <row r="748" spans="1:8" x14ac:dyDescent="0.3">
      <c r="A748" t="s">
        <v>92</v>
      </c>
      <c r="B748">
        <v>20445722147</v>
      </c>
      <c r="C748" t="s">
        <v>888</v>
      </c>
      <c r="D748" t="s">
        <v>711</v>
      </c>
      <c r="E748" s="1">
        <v>45941</v>
      </c>
      <c r="F748">
        <v>208.52999999999997</v>
      </c>
      <c r="G748" t="s">
        <v>1437</v>
      </c>
      <c r="H748">
        <f>_xlfn.XLOOKUP(E748,K:K,L:L)</f>
        <v>5</v>
      </c>
    </row>
    <row r="749" spans="1:8" x14ac:dyDescent="0.3">
      <c r="A749" t="s">
        <v>92</v>
      </c>
      <c r="B749">
        <v>20527831432</v>
      </c>
      <c r="C749" t="s">
        <v>889</v>
      </c>
      <c r="D749" t="s">
        <v>711</v>
      </c>
      <c r="E749" s="1">
        <v>45941</v>
      </c>
      <c r="F749">
        <v>287.04999999999995</v>
      </c>
      <c r="G749" t="s">
        <v>1437</v>
      </c>
      <c r="H749">
        <f>_xlfn.XLOOKUP(E749,K:K,L:L)</f>
        <v>5</v>
      </c>
    </row>
    <row r="750" spans="1:8" x14ac:dyDescent="0.3">
      <c r="A750" t="s">
        <v>92</v>
      </c>
      <c r="B750">
        <v>20542410621</v>
      </c>
      <c r="C750" t="s">
        <v>890</v>
      </c>
      <c r="D750" t="s">
        <v>711</v>
      </c>
      <c r="E750" s="1">
        <v>45941</v>
      </c>
      <c r="F750">
        <v>260.94</v>
      </c>
      <c r="G750" t="s">
        <v>1437</v>
      </c>
      <c r="H750">
        <f>_xlfn.XLOOKUP(E750,K:K,L:L)</f>
        <v>5</v>
      </c>
    </row>
    <row r="751" spans="1:8" x14ac:dyDescent="0.3">
      <c r="A751" t="s">
        <v>92</v>
      </c>
      <c r="B751">
        <v>20557208195</v>
      </c>
      <c r="C751" t="s">
        <v>891</v>
      </c>
      <c r="D751" t="s">
        <v>715</v>
      </c>
      <c r="E751" s="1">
        <v>45941</v>
      </c>
      <c r="F751">
        <v>229.89999999999998</v>
      </c>
      <c r="G751" t="s">
        <v>1437</v>
      </c>
      <c r="H751">
        <f>_xlfn.XLOOKUP(E751,K:K,L:L)</f>
        <v>5</v>
      </c>
    </row>
    <row r="752" spans="1:8" x14ac:dyDescent="0.3">
      <c r="A752" t="s">
        <v>92</v>
      </c>
      <c r="B752">
        <v>20601372933</v>
      </c>
      <c r="C752" t="s">
        <v>892</v>
      </c>
      <c r="D752" t="s">
        <v>715</v>
      </c>
      <c r="E752" s="1">
        <v>45941</v>
      </c>
      <c r="F752">
        <v>574.75</v>
      </c>
      <c r="G752" t="s">
        <v>1437</v>
      </c>
      <c r="H752">
        <f>_xlfn.XLOOKUP(E752,K:K,L:L)</f>
        <v>5</v>
      </c>
    </row>
    <row r="753" spans="1:8" x14ac:dyDescent="0.3">
      <c r="A753" t="s">
        <v>92</v>
      </c>
      <c r="B753">
        <v>20603086776</v>
      </c>
      <c r="C753" t="s">
        <v>893</v>
      </c>
      <c r="D753" t="s">
        <v>711</v>
      </c>
      <c r="E753" s="1">
        <v>45941</v>
      </c>
      <c r="F753">
        <v>260.94</v>
      </c>
      <c r="G753" t="s">
        <v>1437</v>
      </c>
      <c r="H753">
        <f>_xlfn.XLOOKUP(E753,K:K,L:L)</f>
        <v>5</v>
      </c>
    </row>
    <row r="754" spans="1:8" x14ac:dyDescent="0.3">
      <c r="A754" t="s">
        <v>92</v>
      </c>
      <c r="B754">
        <v>20604251401</v>
      </c>
      <c r="C754" t="s">
        <v>894</v>
      </c>
      <c r="D754" t="s">
        <v>715</v>
      </c>
      <c r="E754" s="1">
        <v>45941</v>
      </c>
      <c r="F754">
        <v>402.33000000000004</v>
      </c>
      <c r="G754" t="s">
        <v>1437</v>
      </c>
      <c r="H754">
        <f>_xlfn.XLOOKUP(E754,K:K,L:L)</f>
        <v>5</v>
      </c>
    </row>
    <row r="755" spans="1:8" x14ac:dyDescent="0.3">
      <c r="A755" t="s">
        <v>92</v>
      </c>
      <c r="B755">
        <v>20608422022</v>
      </c>
      <c r="C755" t="s">
        <v>895</v>
      </c>
      <c r="D755" t="s">
        <v>715</v>
      </c>
      <c r="E755" s="1">
        <v>45941</v>
      </c>
      <c r="F755">
        <v>229.89999999999998</v>
      </c>
      <c r="G755" t="s">
        <v>1437</v>
      </c>
      <c r="H755">
        <f>_xlfn.XLOOKUP(E755,K:K,L:L)</f>
        <v>5</v>
      </c>
    </row>
    <row r="756" spans="1:8" x14ac:dyDescent="0.3">
      <c r="A756" t="s">
        <v>92</v>
      </c>
      <c r="B756">
        <v>20610437916</v>
      </c>
      <c r="C756" t="s">
        <v>896</v>
      </c>
      <c r="D756" t="s">
        <v>715</v>
      </c>
      <c r="E756" s="1">
        <v>45941</v>
      </c>
      <c r="F756">
        <v>574.75</v>
      </c>
      <c r="G756" t="s">
        <v>1437</v>
      </c>
      <c r="H756">
        <f>_xlfn.XLOOKUP(E756,K:K,L:L)</f>
        <v>5</v>
      </c>
    </row>
    <row r="757" spans="1:8" x14ac:dyDescent="0.3">
      <c r="A757" t="s">
        <v>92</v>
      </c>
      <c r="B757">
        <v>20612047708</v>
      </c>
      <c r="C757" t="s">
        <v>897</v>
      </c>
      <c r="D757" t="s">
        <v>715</v>
      </c>
      <c r="E757" s="1">
        <v>45941</v>
      </c>
      <c r="F757">
        <v>450.5</v>
      </c>
      <c r="G757" t="s">
        <v>1437</v>
      </c>
      <c r="H757">
        <f>_xlfn.XLOOKUP(E757,K:K,L:L)</f>
        <v>5</v>
      </c>
    </row>
    <row r="758" spans="1:8" x14ac:dyDescent="0.3">
      <c r="A758" t="s">
        <v>92</v>
      </c>
      <c r="B758">
        <v>20612237183</v>
      </c>
      <c r="C758" t="s">
        <v>898</v>
      </c>
      <c r="D758" t="s">
        <v>715</v>
      </c>
      <c r="E758" s="1">
        <v>45941</v>
      </c>
      <c r="F758">
        <v>287.38</v>
      </c>
      <c r="G758" t="s">
        <v>1437</v>
      </c>
      <c r="H758">
        <f>_xlfn.XLOOKUP(E758,K:K,L:L)</f>
        <v>5</v>
      </c>
    </row>
    <row r="759" spans="1:8" x14ac:dyDescent="0.3">
      <c r="A759" t="s">
        <v>92</v>
      </c>
      <c r="B759">
        <v>20600491211</v>
      </c>
      <c r="C759" t="s">
        <v>899</v>
      </c>
      <c r="D759" t="s">
        <v>138</v>
      </c>
      <c r="E759" s="1">
        <v>45941</v>
      </c>
      <c r="F759">
        <v>940.30000000000007</v>
      </c>
      <c r="G759" t="s">
        <v>1437</v>
      </c>
      <c r="H759">
        <f>_xlfn.XLOOKUP(E759,K:K,L:L)</f>
        <v>5</v>
      </c>
    </row>
    <row r="760" spans="1:8" x14ac:dyDescent="0.3">
      <c r="A760" t="s">
        <v>93</v>
      </c>
      <c r="B760">
        <v>20533620443</v>
      </c>
      <c r="C760" t="s">
        <v>900</v>
      </c>
      <c r="D760" t="s">
        <v>473</v>
      </c>
      <c r="E760" s="1">
        <v>45941</v>
      </c>
      <c r="F760">
        <v>27.400000000000002</v>
      </c>
      <c r="G760" t="s">
        <v>1437</v>
      </c>
      <c r="H760">
        <f>_xlfn.XLOOKUP(E760,K:K,L:L)</f>
        <v>5</v>
      </c>
    </row>
    <row r="761" spans="1:8" x14ac:dyDescent="0.3">
      <c r="A761" t="s">
        <v>93</v>
      </c>
      <c r="B761">
        <v>20605647856</v>
      </c>
      <c r="C761" t="s">
        <v>901</v>
      </c>
      <c r="D761" t="s">
        <v>473</v>
      </c>
      <c r="E761" s="1">
        <v>45941</v>
      </c>
      <c r="F761">
        <v>149.38999999999999</v>
      </c>
      <c r="G761" t="s">
        <v>1437</v>
      </c>
      <c r="H761">
        <f>_xlfn.XLOOKUP(E761,K:K,L:L)</f>
        <v>5</v>
      </c>
    </row>
    <row r="762" spans="1:8" x14ac:dyDescent="0.3">
      <c r="A762" t="s">
        <v>93</v>
      </c>
      <c r="B762">
        <v>20603840250</v>
      </c>
      <c r="C762" t="s">
        <v>902</v>
      </c>
      <c r="D762" t="s">
        <v>903</v>
      </c>
      <c r="E762" s="1">
        <v>45941</v>
      </c>
      <c r="F762">
        <v>466.78999999999996</v>
      </c>
      <c r="G762" t="s">
        <v>1437</v>
      </c>
      <c r="H762">
        <f>_xlfn.XLOOKUP(E762,K:K,L:L)</f>
        <v>5</v>
      </c>
    </row>
    <row r="763" spans="1:8" x14ac:dyDescent="0.3">
      <c r="A763" t="s">
        <v>92</v>
      </c>
      <c r="B763">
        <v>20506436461</v>
      </c>
      <c r="C763" t="s">
        <v>904</v>
      </c>
      <c r="D763" t="s">
        <v>715</v>
      </c>
      <c r="E763" s="1">
        <v>45942</v>
      </c>
      <c r="F763">
        <v>278.07</v>
      </c>
      <c r="G763" t="s">
        <v>1437</v>
      </c>
      <c r="H763">
        <f>_xlfn.XLOOKUP(E763,K:K,L:L)</f>
        <v>5</v>
      </c>
    </row>
    <row r="764" spans="1:8" x14ac:dyDescent="0.3">
      <c r="A764" t="s">
        <v>92</v>
      </c>
      <c r="B764">
        <v>20607713368</v>
      </c>
      <c r="C764" t="s">
        <v>905</v>
      </c>
      <c r="D764" t="s">
        <v>715</v>
      </c>
      <c r="E764" s="1">
        <v>45942</v>
      </c>
      <c r="F764">
        <v>630.1</v>
      </c>
      <c r="G764" t="s">
        <v>1437</v>
      </c>
      <c r="H764">
        <f>_xlfn.XLOOKUP(E764,K:K,L:L)</f>
        <v>5</v>
      </c>
    </row>
    <row r="765" spans="1:8" x14ac:dyDescent="0.3">
      <c r="A765" t="s">
        <v>92</v>
      </c>
      <c r="B765">
        <v>20545529123</v>
      </c>
      <c r="C765" t="s">
        <v>906</v>
      </c>
      <c r="D765" t="s">
        <v>907</v>
      </c>
      <c r="E765" s="1">
        <v>45942</v>
      </c>
      <c r="F765">
        <v>1774.76</v>
      </c>
      <c r="G765" t="s">
        <v>1437</v>
      </c>
      <c r="H765">
        <f>_xlfn.XLOOKUP(E765,K:K,L:L)</f>
        <v>5</v>
      </c>
    </row>
    <row r="766" spans="1:8" x14ac:dyDescent="0.3">
      <c r="A766" t="s">
        <v>92</v>
      </c>
      <c r="B766">
        <v>10430842094</v>
      </c>
      <c r="C766" t="s">
        <v>908</v>
      </c>
      <c r="D766" t="s">
        <v>715</v>
      </c>
      <c r="E766" s="1">
        <v>45943</v>
      </c>
      <c r="F766">
        <v>390.61</v>
      </c>
      <c r="G766" t="s">
        <v>1437</v>
      </c>
      <c r="H766">
        <f>_xlfn.XLOOKUP(E766,K:K,L:L)</f>
        <v>6</v>
      </c>
    </row>
    <row r="767" spans="1:8" x14ac:dyDescent="0.3">
      <c r="A767" t="s">
        <v>92</v>
      </c>
      <c r="B767">
        <v>20438509039</v>
      </c>
      <c r="C767" t="s">
        <v>909</v>
      </c>
      <c r="D767" t="s">
        <v>715</v>
      </c>
      <c r="E767" s="1">
        <v>45943</v>
      </c>
      <c r="F767">
        <v>242.89000000000001</v>
      </c>
      <c r="G767" t="s">
        <v>1437</v>
      </c>
      <c r="H767">
        <f>_xlfn.XLOOKUP(E767,K:K,L:L)</f>
        <v>6</v>
      </c>
    </row>
    <row r="768" spans="1:8" x14ac:dyDescent="0.3">
      <c r="A768" t="s">
        <v>92</v>
      </c>
      <c r="B768">
        <v>20449356943</v>
      </c>
      <c r="C768" t="s">
        <v>910</v>
      </c>
      <c r="D768" t="s">
        <v>720</v>
      </c>
      <c r="E768" s="1">
        <v>45943</v>
      </c>
      <c r="F768">
        <v>1410.56</v>
      </c>
      <c r="G768" t="s">
        <v>1437</v>
      </c>
      <c r="H768">
        <f>_xlfn.XLOOKUP(E768,K:K,L:L)</f>
        <v>6</v>
      </c>
    </row>
    <row r="769" spans="1:8" x14ac:dyDescent="0.3">
      <c r="A769" t="s">
        <v>92</v>
      </c>
      <c r="B769">
        <v>20474382924</v>
      </c>
      <c r="C769" t="s">
        <v>911</v>
      </c>
      <c r="D769" t="s">
        <v>715</v>
      </c>
      <c r="E769" s="1">
        <v>45943</v>
      </c>
      <c r="F769">
        <v>262.42</v>
      </c>
      <c r="G769" t="s">
        <v>1437</v>
      </c>
      <c r="H769">
        <f>_xlfn.XLOOKUP(E769,K:K,L:L)</f>
        <v>6</v>
      </c>
    </row>
    <row r="770" spans="1:8" x14ac:dyDescent="0.3">
      <c r="A770" t="s">
        <v>92</v>
      </c>
      <c r="B770">
        <v>20481110760</v>
      </c>
      <c r="C770" t="s">
        <v>912</v>
      </c>
      <c r="D770" t="s">
        <v>715</v>
      </c>
      <c r="E770" s="1">
        <v>45943</v>
      </c>
      <c r="F770">
        <v>407.33000000000004</v>
      </c>
      <c r="G770" t="s">
        <v>1437</v>
      </c>
      <c r="H770">
        <f>_xlfn.XLOOKUP(E770,K:K,L:L)</f>
        <v>6</v>
      </c>
    </row>
    <row r="771" spans="1:8" x14ac:dyDescent="0.3">
      <c r="A771" t="s">
        <v>92</v>
      </c>
      <c r="B771">
        <v>20488249356</v>
      </c>
      <c r="C771" t="s">
        <v>913</v>
      </c>
      <c r="D771" t="s">
        <v>711</v>
      </c>
      <c r="E771" s="1">
        <v>45943</v>
      </c>
      <c r="F771">
        <v>828.43000000000006</v>
      </c>
      <c r="G771" t="s">
        <v>1437</v>
      </c>
      <c r="H771">
        <f>_xlfn.XLOOKUP(E771,K:K,L:L)</f>
        <v>6</v>
      </c>
    </row>
    <row r="772" spans="1:8" x14ac:dyDescent="0.3">
      <c r="A772" t="s">
        <v>92</v>
      </c>
      <c r="B772">
        <v>20521850923</v>
      </c>
      <c r="C772" t="s">
        <v>914</v>
      </c>
      <c r="D772" t="s">
        <v>715</v>
      </c>
      <c r="E772" s="1">
        <v>45943</v>
      </c>
      <c r="F772">
        <v>407.96000000000004</v>
      </c>
      <c r="G772" t="s">
        <v>1437</v>
      </c>
      <c r="H772">
        <f>_xlfn.XLOOKUP(E772,K:K,L:L)</f>
        <v>6</v>
      </c>
    </row>
    <row r="773" spans="1:8" x14ac:dyDescent="0.3">
      <c r="A773" t="s">
        <v>92</v>
      </c>
      <c r="B773">
        <v>20555337419</v>
      </c>
      <c r="C773" t="s">
        <v>915</v>
      </c>
      <c r="D773" t="s">
        <v>715</v>
      </c>
      <c r="E773" s="1">
        <v>45943</v>
      </c>
      <c r="F773">
        <v>344.85</v>
      </c>
      <c r="G773" t="s">
        <v>1437</v>
      </c>
      <c r="H773">
        <f>_xlfn.XLOOKUP(E773,K:K,L:L)</f>
        <v>6</v>
      </c>
    </row>
    <row r="774" spans="1:8" x14ac:dyDescent="0.3">
      <c r="A774" t="s">
        <v>92</v>
      </c>
      <c r="B774">
        <v>20559743225</v>
      </c>
      <c r="C774" t="s">
        <v>916</v>
      </c>
      <c r="D774" t="s">
        <v>786</v>
      </c>
      <c r="E774" s="1">
        <v>45943</v>
      </c>
      <c r="F774">
        <v>718.15</v>
      </c>
      <c r="G774" t="s">
        <v>1437</v>
      </c>
      <c r="H774">
        <f>_xlfn.XLOOKUP(E774,K:K,L:L)</f>
        <v>6</v>
      </c>
    </row>
    <row r="775" spans="1:8" x14ac:dyDescent="0.3">
      <c r="A775" t="s">
        <v>92</v>
      </c>
      <c r="B775">
        <v>20601232660</v>
      </c>
      <c r="C775" t="s">
        <v>917</v>
      </c>
      <c r="D775" t="s">
        <v>715</v>
      </c>
      <c r="E775" s="1">
        <v>45943</v>
      </c>
      <c r="F775">
        <v>365.21999999999997</v>
      </c>
      <c r="G775" t="s">
        <v>1437</v>
      </c>
      <c r="H775">
        <f>_xlfn.XLOOKUP(E775,K:K,L:L)</f>
        <v>6</v>
      </c>
    </row>
    <row r="776" spans="1:8" x14ac:dyDescent="0.3">
      <c r="A776" t="s">
        <v>92</v>
      </c>
      <c r="B776">
        <v>20603361904</v>
      </c>
      <c r="C776" t="s">
        <v>918</v>
      </c>
      <c r="D776" t="s">
        <v>715</v>
      </c>
      <c r="E776" s="1">
        <v>45943</v>
      </c>
      <c r="F776">
        <v>459.79999999999995</v>
      </c>
      <c r="G776" t="s">
        <v>1437</v>
      </c>
      <c r="H776">
        <f>_xlfn.XLOOKUP(E776,K:K,L:L)</f>
        <v>6</v>
      </c>
    </row>
    <row r="777" spans="1:8" x14ac:dyDescent="0.3">
      <c r="A777" t="s">
        <v>92</v>
      </c>
      <c r="B777">
        <v>20608562720</v>
      </c>
      <c r="C777" t="s">
        <v>919</v>
      </c>
      <c r="D777" t="s">
        <v>920</v>
      </c>
      <c r="E777" s="1">
        <v>45943</v>
      </c>
      <c r="F777">
        <v>1737.66</v>
      </c>
      <c r="G777" t="s">
        <v>1437</v>
      </c>
      <c r="H777">
        <f>_xlfn.XLOOKUP(E777,K:K,L:L)</f>
        <v>6</v>
      </c>
    </row>
    <row r="778" spans="1:8" x14ac:dyDescent="0.3">
      <c r="A778" t="s">
        <v>92</v>
      </c>
      <c r="B778">
        <v>20610289887</v>
      </c>
      <c r="C778" t="s">
        <v>921</v>
      </c>
      <c r="D778" t="s">
        <v>715</v>
      </c>
      <c r="E778" s="1">
        <v>45943</v>
      </c>
      <c r="F778">
        <v>402.66999999999996</v>
      </c>
      <c r="G778" t="s">
        <v>1437</v>
      </c>
      <c r="H778">
        <f>_xlfn.XLOOKUP(E778,K:K,L:L)</f>
        <v>6</v>
      </c>
    </row>
    <row r="779" spans="1:8" x14ac:dyDescent="0.3">
      <c r="A779" t="s">
        <v>92</v>
      </c>
      <c r="B779">
        <v>20611941375</v>
      </c>
      <c r="C779" t="s">
        <v>922</v>
      </c>
      <c r="D779" t="s">
        <v>720</v>
      </c>
      <c r="E779" s="1">
        <v>45943</v>
      </c>
      <c r="F779">
        <v>796.96</v>
      </c>
      <c r="G779" t="s">
        <v>1437</v>
      </c>
      <c r="H779">
        <f>_xlfn.XLOOKUP(E779,K:K,L:L)</f>
        <v>6</v>
      </c>
    </row>
    <row r="780" spans="1:8" x14ac:dyDescent="0.3">
      <c r="A780" t="s">
        <v>92</v>
      </c>
      <c r="B780">
        <v>20613337955</v>
      </c>
      <c r="C780" t="s">
        <v>923</v>
      </c>
      <c r="D780" t="s">
        <v>715</v>
      </c>
      <c r="E780" s="1">
        <v>45943</v>
      </c>
      <c r="F780">
        <v>287.38</v>
      </c>
      <c r="G780" t="s">
        <v>1437</v>
      </c>
      <c r="H780">
        <f>_xlfn.XLOOKUP(E780,K:K,L:L)</f>
        <v>6</v>
      </c>
    </row>
    <row r="781" spans="1:8" x14ac:dyDescent="0.3">
      <c r="A781" t="s">
        <v>92</v>
      </c>
      <c r="B781">
        <v>20614312166</v>
      </c>
      <c r="C781" t="s">
        <v>924</v>
      </c>
      <c r="D781" t="s">
        <v>715</v>
      </c>
      <c r="E781" s="1">
        <v>45943</v>
      </c>
      <c r="F781">
        <v>584.52</v>
      </c>
      <c r="G781" t="s">
        <v>1437</v>
      </c>
      <c r="H781">
        <f>_xlfn.XLOOKUP(E781,K:K,L:L)</f>
        <v>6</v>
      </c>
    </row>
    <row r="782" spans="1:8" x14ac:dyDescent="0.3">
      <c r="A782" t="s">
        <v>92</v>
      </c>
      <c r="B782">
        <v>20603316119</v>
      </c>
      <c r="C782" t="s">
        <v>925</v>
      </c>
      <c r="D782" t="s">
        <v>743</v>
      </c>
      <c r="E782" s="1">
        <v>45943</v>
      </c>
      <c r="F782">
        <v>1306.6599999999999</v>
      </c>
      <c r="G782" t="s">
        <v>1437</v>
      </c>
      <c r="H782">
        <f>_xlfn.XLOOKUP(E782,K:K,L:L)</f>
        <v>6</v>
      </c>
    </row>
    <row r="783" spans="1:8" x14ac:dyDescent="0.3">
      <c r="A783" t="s">
        <v>92</v>
      </c>
      <c r="B783">
        <v>20556100617</v>
      </c>
      <c r="C783" t="s">
        <v>926</v>
      </c>
      <c r="D783" t="s">
        <v>16</v>
      </c>
      <c r="E783" s="1">
        <v>45943</v>
      </c>
      <c r="F783">
        <v>606.90000000000009</v>
      </c>
      <c r="G783" t="s">
        <v>1437</v>
      </c>
      <c r="H783">
        <f>_xlfn.XLOOKUP(E783,K:K,L:L)</f>
        <v>6</v>
      </c>
    </row>
    <row r="784" spans="1:8" x14ac:dyDescent="0.3">
      <c r="A784" t="s">
        <v>92</v>
      </c>
      <c r="B784">
        <v>20612208892</v>
      </c>
      <c r="C784" t="s">
        <v>927</v>
      </c>
      <c r="D784" t="s">
        <v>928</v>
      </c>
      <c r="E784" s="1">
        <v>45943</v>
      </c>
      <c r="F784">
        <v>464.8</v>
      </c>
      <c r="G784" t="s">
        <v>1437</v>
      </c>
      <c r="H784">
        <f>_xlfn.XLOOKUP(E784,K:K,L:L)</f>
        <v>6</v>
      </c>
    </row>
    <row r="785" spans="1:8" x14ac:dyDescent="0.3">
      <c r="A785" t="s">
        <v>93</v>
      </c>
      <c r="B785">
        <v>20462256940</v>
      </c>
      <c r="C785" t="s">
        <v>929</v>
      </c>
      <c r="D785" t="s">
        <v>169</v>
      </c>
      <c r="E785" s="1">
        <v>45943</v>
      </c>
      <c r="F785">
        <v>2368</v>
      </c>
      <c r="G785" t="s">
        <v>1437</v>
      </c>
      <c r="H785">
        <f>_xlfn.XLOOKUP(E785,K:K,L:L)</f>
        <v>6</v>
      </c>
    </row>
    <row r="786" spans="1:8" x14ac:dyDescent="0.3">
      <c r="A786" t="s">
        <v>93</v>
      </c>
      <c r="B786">
        <v>20609241820</v>
      </c>
      <c r="C786" t="s">
        <v>930</v>
      </c>
      <c r="D786" t="s">
        <v>442</v>
      </c>
      <c r="E786" s="1">
        <v>45943</v>
      </c>
      <c r="F786">
        <v>416.28</v>
      </c>
      <c r="G786" t="s">
        <v>1437</v>
      </c>
      <c r="H786">
        <f>_xlfn.XLOOKUP(E786,K:K,L:L)</f>
        <v>6</v>
      </c>
    </row>
    <row r="787" spans="1:8" x14ac:dyDescent="0.3">
      <c r="A787" t="s">
        <v>93</v>
      </c>
      <c r="B787">
        <v>20107494848</v>
      </c>
      <c r="C787" t="s">
        <v>931</v>
      </c>
      <c r="D787" t="s">
        <v>450</v>
      </c>
      <c r="E787" s="1">
        <v>45943</v>
      </c>
      <c r="F787">
        <v>80.569999999999993</v>
      </c>
      <c r="G787" t="s">
        <v>1437</v>
      </c>
      <c r="H787">
        <f>_xlfn.XLOOKUP(E787,K:K,L:L)</f>
        <v>6</v>
      </c>
    </row>
    <row r="788" spans="1:8" x14ac:dyDescent="0.3">
      <c r="A788" t="s">
        <v>875</v>
      </c>
      <c r="B788">
        <v>20519499780</v>
      </c>
      <c r="C788" t="s">
        <v>932</v>
      </c>
      <c r="D788" t="s">
        <v>933</v>
      </c>
      <c r="E788" s="1">
        <v>45943</v>
      </c>
      <c r="F788">
        <v>4455.71</v>
      </c>
      <c r="G788" t="s">
        <v>1437</v>
      </c>
      <c r="H788">
        <f>_xlfn.XLOOKUP(E788,K:K,L:L)</f>
        <v>6</v>
      </c>
    </row>
    <row r="789" spans="1:8" x14ac:dyDescent="0.3">
      <c r="A789" t="s">
        <v>92</v>
      </c>
      <c r="B789">
        <v>10104266067</v>
      </c>
      <c r="C789" t="s">
        <v>934</v>
      </c>
      <c r="D789" t="s">
        <v>920</v>
      </c>
      <c r="E789" s="1">
        <v>45944</v>
      </c>
      <c r="F789">
        <v>1685.08</v>
      </c>
      <c r="G789" t="s">
        <v>1437</v>
      </c>
      <c r="H789">
        <f>_xlfn.XLOOKUP(E789,K:K,L:L)</f>
        <v>7</v>
      </c>
    </row>
    <row r="790" spans="1:8" x14ac:dyDescent="0.3">
      <c r="A790" t="s">
        <v>92</v>
      </c>
      <c r="B790">
        <v>10306553297</v>
      </c>
      <c r="C790" t="s">
        <v>935</v>
      </c>
      <c r="D790" t="s">
        <v>720</v>
      </c>
      <c r="E790" s="1">
        <v>45944</v>
      </c>
      <c r="F790">
        <v>797.34000000000015</v>
      </c>
      <c r="G790" t="s">
        <v>1437</v>
      </c>
      <c r="H790">
        <f>_xlfn.XLOOKUP(E790,K:K,L:L)</f>
        <v>7</v>
      </c>
    </row>
    <row r="791" spans="1:8" x14ac:dyDescent="0.3">
      <c r="A791" t="s">
        <v>92</v>
      </c>
      <c r="B791">
        <v>10417328357</v>
      </c>
      <c r="C791" t="s">
        <v>936</v>
      </c>
      <c r="D791" t="s">
        <v>711</v>
      </c>
      <c r="E791" s="1">
        <v>45944</v>
      </c>
      <c r="F791">
        <v>366.41</v>
      </c>
      <c r="G791" t="s">
        <v>1437</v>
      </c>
      <c r="H791">
        <f>_xlfn.XLOOKUP(E791,K:K,L:L)</f>
        <v>7</v>
      </c>
    </row>
    <row r="792" spans="1:8" x14ac:dyDescent="0.3">
      <c r="A792" t="s">
        <v>92</v>
      </c>
      <c r="B792">
        <v>20498014594</v>
      </c>
      <c r="C792" t="s">
        <v>937</v>
      </c>
      <c r="D792" t="s">
        <v>715</v>
      </c>
      <c r="E792" s="1">
        <v>45944</v>
      </c>
      <c r="F792">
        <v>345.19000000000005</v>
      </c>
      <c r="G792" t="s">
        <v>1437</v>
      </c>
      <c r="H792">
        <f>_xlfn.XLOOKUP(E792,K:K,L:L)</f>
        <v>7</v>
      </c>
    </row>
    <row r="793" spans="1:8" x14ac:dyDescent="0.3">
      <c r="A793" t="s">
        <v>92</v>
      </c>
      <c r="B793">
        <v>20510017880</v>
      </c>
      <c r="C793" t="s">
        <v>938</v>
      </c>
      <c r="D793" t="s">
        <v>711</v>
      </c>
      <c r="E793" s="1">
        <v>45944</v>
      </c>
      <c r="F793">
        <v>415.87</v>
      </c>
      <c r="G793" t="s">
        <v>1437</v>
      </c>
      <c r="H793">
        <f>_xlfn.XLOOKUP(E793,K:K,L:L)</f>
        <v>7</v>
      </c>
    </row>
    <row r="794" spans="1:8" x14ac:dyDescent="0.3">
      <c r="A794" t="s">
        <v>92</v>
      </c>
      <c r="B794">
        <v>20522270629</v>
      </c>
      <c r="C794" t="s">
        <v>939</v>
      </c>
      <c r="D794" t="s">
        <v>754</v>
      </c>
      <c r="E794" s="1">
        <v>45944</v>
      </c>
      <c r="F794">
        <v>526.90000000000009</v>
      </c>
      <c r="G794" t="s">
        <v>1437</v>
      </c>
      <c r="H794">
        <f>_xlfn.XLOOKUP(E794,K:K,L:L)</f>
        <v>7</v>
      </c>
    </row>
    <row r="795" spans="1:8" x14ac:dyDescent="0.3">
      <c r="A795" t="s">
        <v>92</v>
      </c>
      <c r="B795">
        <v>20557295730</v>
      </c>
      <c r="C795" t="s">
        <v>940</v>
      </c>
      <c r="D795" t="s">
        <v>715</v>
      </c>
      <c r="E795" s="1">
        <v>45944</v>
      </c>
      <c r="F795">
        <v>260.04000000000002</v>
      </c>
      <c r="G795" t="s">
        <v>1437</v>
      </c>
      <c r="H795">
        <f>_xlfn.XLOOKUP(E795,K:K,L:L)</f>
        <v>7</v>
      </c>
    </row>
    <row r="796" spans="1:8" x14ac:dyDescent="0.3">
      <c r="A796" t="s">
        <v>92</v>
      </c>
      <c r="B796">
        <v>20602260179</v>
      </c>
      <c r="C796" t="s">
        <v>941</v>
      </c>
      <c r="D796" t="s">
        <v>715</v>
      </c>
      <c r="E796" s="1">
        <v>45944</v>
      </c>
      <c r="F796">
        <v>244.38</v>
      </c>
      <c r="G796" t="s">
        <v>1437</v>
      </c>
      <c r="H796">
        <f>_xlfn.XLOOKUP(E796,K:K,L:L)</f>
        <v>7</v>
      </c>
    </row>
    <row r="797" spans="1:8" x14ac:dyDescent="0.3">
      <c r="A797" t="s">
        <v>92</v>
      </c>
      <c r="B797">
        <v>20602360670</v>
      </c>
      <c r="C797" t="s">
        <v>942</v>
      </c>
      <c r="D797" t="s">
        <v>711</v>
      </c>
      <c r="E797" s="1">
        <v>45944</v>
      </c>
      <c r="F797">
        <v>261.08000000000004</v>
      </c>
      <c r="G797" t="s">
        <v>1437</v>
      </c>
      <c r="H797">
        <f>_xlfn.XLOOKUP(E797,K:K,L:L)</f>
        <v>7</v>
      </c>
    </row>
    <row r="798" spans="1:8" x14ac:dyDescent="0.3">
      <c r="A798" t="s">
        <v>92</v>
      </c>
      <c r="B798">
        <v>20605042652</v>
      </c>
      <c r="C798" t="s">
        <v>943</v>
      </c>
      <c r="D798" t="s">
        <v>713</v>
      </c>
      <c r="E798" s="1">
        <v>45944</v>
      </c>
      <c r="F798">
        <v>665</v>
      </c>
      <c r="G798" t="s">
        <v>1437</v>
      </c>
      <c r="H798">
        <f>_xlfn.XLOOKUP(E798,K:K,L:L)</f>
        <v>7</v>
      </c>
    </row>
    <row r="799" spans="1:8" x14ac:dyDescent="0.3">
      <c r="A799" t="s">
        <v>92</v>
      </c>
      <c r="B799">
        <v>20606523778</v>
      </c>
      <c r="C799" t="s">
        <v>944</v>
      </c>
      <c r="D799" t="s">
        <v>711</v>
      </c>
      <c r="E799" s="1">
        <v>45944</v>
      </c>
      <c r="F799">
        <v>261.08000000000004</v>
      </c>
      <c r="G799" t="s">
        <v>1437</v>
      </c>
      <c r="H799">
        <f>_xlfn.XLOOKUP(E799,K:K,L:L)</f>
        <v>7</v>
      </c>
    </row>
    <row r="800" spans="1:8" x14ac:dyDescent="0.3">
      <c r="A800" t="s">
        <v>92</v>
      </c>
      <c r="B800">
        <v>20607411027</v>
      </c>
      <c r="C800" t="s">
        <v>945</v>
      </c>
      <c r="D800" t="s">
        <v>715</v>
      </c>
      <c r="E800" s="1">
        <v>45944</v>
      </c>
      <c r="F800">
        <v>460.26</v>
      </c>
      <c r="G800" t="s">
        <v>1437</v>
      </c>
      <c r="H800">
        <f>_xlfn.XLOOKUP(E800,K:K,L:L)</f>
        <v>7</v>
      </c>
    </row>
    <row r="801" spans="1:8" x14ac:dyDescent="0.3">
      <c r="A801" t="s">
        <v>92</v>
      </c>
      <c r="B801">
        <v>20607589195</v>
      </c>
      <c r="C801" t="s">
        <v>946</v>
      </c>
      <c r="D801" t="s">
        <v>715</v>
      </c>
      <c r="E801" s="1">
        <v>45944</v>
      </c>
      <c r="F801">
        <v>329.43</v>
      </c>
      <c r="G801" t="s">
        <v>1437</v>
      </c>
      <c r="H801">
        <f>_xlfn.XLOOKUP(E801,K:K,L:L)</f>
        <v>7</v>
      </c>
    </row>
    <row r="802" spans="1:8" x14ac:dyDescent="0.3">
      <c r="A802" t="s">
        <v>92</v>
      </c>
      <c r="B802">
        <v>20609346907</v>
      </c>
      <c r="C802" t="s">
        <v>947</v>
      </c>
      <c r="D802" t="s">
        <v>715</v>
      </c>
      <c r="E802" s="1">
        <v>45944</v>
      </c>
      <c r="F802">
        <v>230.52</v>
      </c>
      <c r="G802" t="s">
        <v>1437</v>
      </c>
      <c r="H802">
        <f>_xlfn.XLOOKUP(E802,K:K,L:L)</f>
        <v>7</v>
      </c>
    </row>
    <row r="803" spans="1:8" x14ac:dyDescent="0.3">
      <c r="A803" t="s">
        <v>92</v>
      </c>
      <c r="B803">
        <v>20611814446</v>
      </c>
      <c r="C803" t="s">
        <v>948</v>
      </c>
      <c r="D803" t="s">
        <v>713</v>
      </c>
      <c r="E803" s="1">
        <v>45944</v>
      </c>
      <c r="F803">
        <v>786.81000000000017</v>
      </c>
      <c r="G803" t="s">
        <v>1437</v>
      </c>
      <c r="H803">
        <f>_xlfn.XLOOKUP(E803,K:K,L:L)</f>
        <v>7</v>
      </c>
    </row>
    <row r="804" spans="1:8" x14ac:dyDescent="0.3">
      <c r="A804" t="s">
        <v>92</v>
      </c>
      <c r="B804">
        <v>20613483358</v>
      </c>
      <c r="C804" t="s">
        <v>949</v>
      </c>
      <c r="D804" t="s">
        <v>715</v>
      </c>
      <c r="E804" s="1">
        <v>45944</v>
      </c>
      <c r="F804">
        <v>232.84</v>
      </c>
      <c r="G804" t="s">
        <v>1437</v>
      </c>
      <c r="H804">
        <f>_xlfn.XLOOKUP(E804,K:K,L:L)</f>
        <v>7</v>
      </c>
    </row>
    <row r="805" spans="1:8" x14ac:dyDescent="0.3">
      <c r="A805" t="s">
        <v>92</v>
      </c>
      <c r="B805">
        <v>20608786342</v>
      </c>
      <c r="C805" t="s">
        <v>950</v>
      </c>
      <c r="D805" t="s">
        <v>951</v>
      </c>
      <c r="E805" s="1">
        <v>45944</v>
      </c>
      <c r="F805">
        <v>3226.45</v>
      </c>
      <c r="G805" t="s">
        <v>1437</v>
      </c>
      <c r="H805">
        <f>_xlfn.XLOOKUP(E805,K:K,L:L)</f>
        <v>7</v>
      </c>
    </row>
    <row r="806" spans="1:8" x14ac:dyDescent="0.3">
      <c r="A806" t="s">
        <v>92</v>
      </c>
      <c r="B806">
        <v>20606480513</v>
      </c>
      <c r="C806" t="s">
        <v>952</v>
      </c>
      <c r="D806" t="s">
        <v>114</v>
      </c>
      <c r="E806" s="1">
        <v>45944</v>
      </c>
      <c r="F806">
        <v>282.28999999999996</v>
      </c>
      <c r="G806" t="s">
        <v>1437</v>
      </c>
      <c r="H806">
        <f>_xlfn.XLOOKUP(E806,K:K,L:L)</f>
        <v>7</v>
      </c>
    </row>
    <row r="807" spans="1:8" x14ac:dyDescent="0.3">
      <c r="A807" t="s">
        <v>92</v>
      </c>
      <c r="B807">
        <v>20609540754</v>
      </c>
      <c r="C807" t="s">
        <v>953</v>
      </c>
      <c r="D807" t="s">
        <v>65</v>
      </c>
      <c r="E807" s="1">
        <v>45944</v>
      </c>
      <c r="F807">
        <v>264.67</v>
      </c>
      <c r="G807" t="s">
        <v>1437</v>
      </c>
      <c r="H807">
        <f>_xlfn.XLOOKUP(E807,K:K,L:L)</f>
        <v>7</v>
      </c>
    </row>
    <row r="808" spans="1:8" x14ac:dyDescent="0.3">
      <c r="A808" t="s">
        <v>6</v>
      </c>
      <c r="B808">
        <v>20481285306</v>
      </c>
      <c r="C808" t="s">
        <v>954</v>
      </c>
      <c r="D808" t="s">
        <v>715</v>
      </c>
      <c r="E808" s="1">
        <v>45944</v>
      </c>
      <c r="F808">
        <v>393.77000000000004</v>
      </c>
      <c r="G808" t="s">
        <v>1437</v>
      </c>
      <c r="H808">
        <f>_xlfn.XLOOKUP(E808,K:K,L:L)</f>
        <v>7</v>
      </c>
    </row>
    <row r="809" spans="1:8" x14ac:dyDescent="0.3">
      <c r="A809" t="s">
        <v>93</v>
      </c>
      <c r="B809">
        <v>20601071232</v>
      </c>
      <c r="C809" t="s">
        <v>955</v>
      </c>
      <c r="D809" t="s">
        <v>956</v>
      </c>
      <c r="E809" s="1">
        <v>45944</v>
      </c>
      <c r="F809">
        <v>1220.1100000000001</v>
      </c>
      <c r="G809" t="s">
        <v>1437</v>
      </c>
      <c r="H809">
        <f>_xlfn.XLOOKUP(E809,K:K,L:L)</f>
        <v>7</v>
      </c>
    </row>
    <row r="810" spans="1:8" x14ac:dyDescent="0.3">
      <c r="A810" t="s">
        <v>93</v>
      </c>
      <c r="B810">
        <v>10724820226</v>
      </c>
      <c r="C810" t="s">
        <v>957</v>
      </c>
      <c r="D810" t="s">
        <v>958</v>
      </c>
      <c r="E810" s="1">
        <v>45944</v>
      </c>
      <c r="F810">
        <v>9.32</v>
      </c>
      <c r="G810" t="s">
        <v>1437</v>
      </c>
      <c r="H810">
        <f>_xlfn.XLOOKUP(E810,K:K,L:L)</f>
        <v>7</v>
      </c>
    </row>
    <row r="811" spans="1:8" x14ac:dyDescent="0.3">
      <c r="A811" t="s">
        <v>93</v>
      </c>
      <c r="B811">
        <v>20267366412</v>
      </c>
      <c r="C811" t="s">
        <v>643</v>
      </c>
      <c r="D811" t="s">
        <v>959</v>
      </c>
      <c r="E811" s="1">
        <v>45944</v>
      </c>
      <c r="F811">
        <v>576.91000000000008</v>
      </c>
      <c r="G811" t="s">
        <v>1437</v>
      </c>
      <c r="H811">
        <f>_xlfn.XLOOKUP(E811,K:K,L:L)</f>
        <v>7</v>
      </c>
    </row>
    <row r="812" spans="1:8" x14ac:dyDescent="0.3">
      <c r="A812" t="s">
        <v>875</v>
      </c>
      <c r="B812">
        <v>20544273443</v>
      </c>
      <c r="C812" t="s">
        <v>960</v>
      </c>
      <c r="D812" t="s">
        <v>961</v>
      </c>
      <c r="E812" s="1">
        <v>45944</v>
      </c>
      <c r="F812">
        <v>2843.47</v>
      </c>
      <c r="G812" t="s">
        <v>1437</v>
      </c>
      <c r="H812">
        <f>_xlfn.XLOOKUP(E812,K:K,L:L)</f>
        <v>7</v>
      </c>
    </row>
    <row r="813" spans="1:8" x14ac:dyDescent="0.3">
      <c r="A813" t="s">
        <v>875</v>
      </c>
      <c r="B813">
        <v>20555887672</v>
      </c>
      <c r="C813" t="s">
        <v>962</v>
      </c>
      <c r="D813" t="s">
        <v>963</v>
      </c>
      <c r="E813" s="1">
        <v>45944</v>
      </c>
      <c r="F813">
        <v>4015.7500000000009</v>
      </c>
      <c r="G813" t="s">
        <v>1437</v>
      </c>
      <c r="H813">
        <f>_xlfn.XLOOKUP(E813,K:K,L:L)</f>
        <v>7</v>
      </c>
    </row>
    <row r="814" spans="1:8" x14ac:dyDescent="0.3">
      <c r="A814" t="s">
        <v>875</v>
      </c>
      <c r="B814">
        <v>20527601356</v>
      </c>
      <c r="C814" t="s">
        <v>964</v>
      </c>
      <c r="D814" t="s">
        <v>965</v>
      </c>
      <c r="E814" s="1">
        <v>45944</v>
      </c>
      <c r="F814">
        <v>4709.9699999999993</v>
      </c>
      <c r="G814" t="s">
        <v>1437</v>
      </c>
      <c r="H814">
        <f>_xlfn.XLOOKUP(E814,K:K,L:L)</f>
        <v>7</v>
      </c>
    </row>
    <row r="815" spans="1:8" x14ac:dyDescent="0.3">
      <c r="A815" t="s">
        <v>92</v>
      </c>
      <c r="B815">
        <v>10094187597</v>
      </c>
      <c r="C815" t="s">
        <v>966</v>
      </c>
      <c r="D815" t="s">
        <v>715</v>
      </c>
      <c r="E815" s="1">
        <v>45945</v>
      </c>
      <c r="F815">
        <v>278.05</v>
      </c>
      <c r="G815" t="s">
        <v>1437</v>
      </c>
      <c r="H815">
        <f>_xlfn.XLOOKUP(E815,K:K,L:L)</f>
        <v>8</v>
      </c>
    </row>
    <row r="816" spans="1:8" x14ac:dyDescent="0.3">
      <c r="A816" t="s">
        <v>92</v>
      </c>
      <c r="B816">
        <v>10295907024</v>
      </c>
      <c r="C816" t="s">
        <v>967</v>
      </c>
      <c r="D816" t="s">
        <v>715</v>
      </c>
      <c r="E816" s="1">
        <v>45945</v>
      </c>
      <c r="F816">
        <v>316.39</v>
      </c>
      <c r="G816" t="s">
        <v>1437</v>
      </c>
      <c r="H816">
        <f>_xlfn.XLOOKUP(E816,K:K,L:L)</f>
        <v>8</v>
      </c>
    </row>
    <row r="817" spans="1:8" x14ac:dyDescent="0.3">
      <c r="A817" t="s">
        <v>92</v>
      </c>
      <c r="B817">
        <v>10478151344</v>
      </c>
      <c r="C817" t="s">
        <v>968</v>
      </c>
      <c r="D817" t="s">
        <v>711</v>
      </c>
      <c r="E817" s="1">
        <v>45945</v>
      </c>
      <c r="F817">
        <v>300.35000000000002</v>
      </c>
      <c r="G817" t="s">
        <v>1437</v>
      </c>
      <c r="H817">
        <f>_xlfn.XLOOKUP(E817,K:K,L:L)</f>
        <v>8</v>
      </c>
    </row>
    <row r="818" spans="1:8" x14ac:dyDescent="0.3">
      <c r="A818" t="s">
        <v>92</v>
      </c>
      <c r="B818">
        <v>20440328726</v>
      </c>
      <c r="C818" t="s">
        <v>969</v>
      </c>
      <c r="D818" t="s">
        <v>715</v>
      </c>
      <c r="E818" s="1">
        <v>45945</v>
      </c>
      <c r="F818">
        <v>260.04000000000002</v>
      </c>
      <c r="G818" t="s">
        <v>1437</v>
      </c>
      <c r="H818">
        <f>_xlfn.XLOOKUP(E818,K:K,L:L)</f>
        <v>8</v>
      </c>
    </row>
    <row r="819" spans="1:8" x14ac:dyDescent="0.3">
      <c r="A819" t="s">
        <v>92</v>
      </c>
      <c r="B819">
        <v>20518875061</v>
      </c>
      <c r="C819" t="s">
        <v>970</v>
      </c>
      <c r="D819" t="s">
        <v>715</v>
      </c>
      <c r="E819" s="1">
        <v>45945</v>
      </c>
      <c r="F819">
        <v>390.07</v>
      </c>
      <c r="G819" t="s">
        <v>1437</v>
      </c>
      <c r="H819">
        <f>_xlfn.XLOOKUP(E819,K:K,L:L)</f>
        <v>8</v>
      </c>
    </row>
    <row r="820" spans="1:8" x14ac:dyDescent="0.3">
      <c r="A820" t="s">
        <v>92</v>
      </c>
      <c r="B820">
        <v>20536670158</v>
      </c>
      <c r="C820" t="s">
        <v>971</v>
      </c>
      <c r="D820" t="s">
        <v>715</v>
      </c>
      <c r="E820" s="1">
        <v>45945</v>
      </c>
      <c r="F820">
        <v>488.21999999999997</v>
      </c>
      <c r="G820" t="s">
        <v>1437</v>
      </c>
      <c r="H820">
        <f>_xlfn.XLOOKUP(E820,K:K,L:L)</f>
        <v>8</v>
      </c>
    </row>
    <row r="821" spans="1:8" x14ac:dyDescent="0.3">
      <c r="A821" t="s">
        <v>92</v>
      </c>
      <c r="B821">
        <v>20563643740</v>
      </c>
      <c r="C821" t="s">
        <v>972</v>
      </c>
      <c r="D821" t="s">
        <v>711</v>
      </c>
      <c r="E821" s="1">
        <v>45945</v>
      </c>
      <c r="F821">
        <v>1021.0999999999999</v>
      </c>
      <c r="G821" t="s">
        <v>1437</v>
      </c>
      <c r="H821">
        <f>_xlfn.XLOOKUP(E821,K:K,L:L)</f>
        <v>8</v>
      </c>
    </row>
    <row r="822" spans="1:8" x14ac:dyDescent="0.3">
      <c r="A822" t="s">
        <v>92</v>
      </c>
      <c r="B822">
        <v>20565971744</v>
      </c>
      <c r="C822" t="s">
        <v>973</v>
      </c>
      <c r="D822" t="s">
        <v>974</v>
      </c>
      <c r="E822" s="1">
        <v>45945</v>
      </c>
      <c r="F822">
        <v>3160.29</v>
      </c>
      <c r="G822" t="s">
        <v>1437</v>
      </c>
      <c r="H822">
        <f>_xlfn.XLOOKUP(E822,K:K,L:L)</f>
        <v>8</v>
      </c>
    </row>
    <row r="823" spans="1:8" x14ac:dyDescent="0.3">
      <c r="A823" t="s">
        <v>92</v>
      </c>
      <c r="B823">
        <v>20600535171</v>
      </c>
      <c r="C823" t="s">
        <v>975</v>
      </c>
      <c r="D823" t="s">
        <v>713</v>
      </c>
      <c r="E823" s="1">
        <v>45945</v>
      </c>
      <c r="F823">
        <v>522.23</v>
      </c>
      <c r="G823" t="s">
        <v>1437</v>
      </c>
      <c r="H823">
        <f>_xlfn.XLOOKUP(E823,K:K,L:L)</f>
        <v>8</v>
      </c>
    </row>
    <row r="824" spans="1:8" x14ac:dyDescent="0.3">
      <c r="A824" t="s">
        <v>92</v>
      </c>
      <c r="B824">
        <v>20601439051</v>
      </c>
      <c r="C824" t="s">
        <v>976</v>
      </c>
      <c r="D824" t="s">
        <v>715</v>
      </c>
      <c r="E824" s="1">
        <v>45945</v>
      </c>
      <c r="F824">
        <v>260.04000000000002</v>
      </c>
      <c r="G824" t="s">
        <v>1437</v>
      </c>
      <c r="H824">
        <f>_xlfn.XLOOKUP(E824,K:K,L:L)</f>
        <v>8</v>
      </c>
    </row>
    <row r="825" spans="1:8" x14ac:dyDescent="0.3">
      <c r="A825" t="s">
        <v>92</v>
      </c>
      <c r="B825">
        <v>20601497060</v>
      </c>
      <c r="C825" t="s">
        <v>977</v>
      </c>
      <c r="D825" t="s">
        <v>711</v>
      </c>
      <c r="E825" s="1">
        <v>45945</v>
      </c>
      <c r="F825">
        <v>261.08000000000004</v>
      </c>
      <c r="G825" t="s">
        <v>1437</v>
      </c>
      <c r="H825">
        <f>_xlfn.XLOOKUP(E825,K:K,L:L)</f>
        <v>8</v>
      </c>
    </row>
    <row r="826" spans="1:8" x14ac:dyDescent="0.3">
      <c r="A826" t="s">
        <v>92</v>
      </c>
      <c r="B826">
        <v>20602121501</v>
      </c>
      <c r="C826" t="s">
        <v>978</v>
      </c>
      <c r="D826" t="s">
        <v>715</v>
      </c>
      <c r="E826" s="1">
        <v>45945</v>
      </c>
      <c r="F826">
        <v>345.19000000000005</v>
      </c>
      <c r="G826" t="s">
        <v>1437</v>
      </c>
      <c r="H826">
        <f>_xlfn.XLOOKUP(E826,K:K,L:L)</f>
        <v>8</v>
      </c>
    </row>
    <row r="827" spans="1:8" x14ac:dyDescent="0.3">
      <c r="A827" t="s">
        <v>92</v>
      </c>
      <c r="B827">
        <v>20602460712</v>
      </c>
      <c r="C827" t="s">
        <v>979</v>
      </c>
      <c r="D827" t="s">
        <v>715</v>
      </c>
      <c r="E827" s="1">
        <v>45945</v>
      </c>
      <c r="F827">
        <v>366.32</v>
      </c>
      <c r="G827" t="s">
        <v>1437</v>
      </c>
      <c r="H827">
        <f>_xlfn.XLOOKUP(E827,K:K,L:L)</f>
        <v>8</v>
      </c>
    </row>
    <row r="828" spans="1:8" x14ac:dyDescent="0.3">
      <c r="A828" t="s">
        <v>92</v>
      </c>
      <c r="B828">
        <v>20602550291</v>
      </c>
      <c r="C828" t="s">
        <v>980</v>
      </c>
      <c r="D828" t="s">
        <v>715</v>
      </c>
      <c r="E828" s="1">
        <v>45945</v>
      </c>
      <c r="F828">
        <v>672.48</v>
      </c>
      <c r="G828" t="s">
        <v>1437</v>
      </c>
      <c r="H828">
        <f>_xlfn.XLOOKUP(E828,K:K,L:L)</f>
        <v>8</v>
      </c>
    </row>
    <row r="829" spans="1:8" x14ac:dyDescent="0.3">
      <c r="A829" t="s">
        <v>92</v>
      </c>
      <c r="B829">
        <v>20603995938</v>
      </c>
      <c r="C829" t="s">
        <v>981</v>
      </c>
      <c r="D829" t="s">
        <v>711</v>
      </c>
      <c r="E829" s="1">
        <v>45945</v>
      </c>
      <c r="F829">
        <v>261.08000000000004</v>
      </c>
      <c r="G829" t="s">
        <v>1437</v>
      </c>
      <c r="H829">
        <f>_xlfn.XLOOKUP(E829,K:K,L:L)</f>
        <v>8</v>
      </c>
    </row>
    <row r="830" spans="1:8" x14ac:dyDescent="0.3">
      <c r="A830" t="s">
        <v>92</v>
      </c>
      <c r="B830">
        <v>20604512442</v>
      </c>
      <c r="C830" t="s">
        <v>982</v>
      </c>
      <c r="D830" t="s">
        <v>711</v>
      </c>
      <c r="E830" s="1">
        <v>45945</v>
      </c>
      <c r="F830">
        <v>261.08000000000004</v>
      </c>
      <c r="G830" t="s">
        <v>1437</v>
      </c>
      <c r="H830">
        <f>_xlfn.XLOOKUP(E830,K:K,L:L)</f>
        <v>8</v>
      </c>
    </row>
    <row r="831" spans="1:8" x14ac:dyDescent="0.3">
      <c r="A831" t="s">
        <v>92</v>
      </c>
      <c r="B831">
        <v>20605398228</v>
      </c>
      <c r="C831" t="s">
        <v>983</v>
      </c>
      <c r="D831" t="s">
        <v>715</v>
      </c>
      <c r="E831" s="1">
        <v>45945</v>
      </c>
      <c r="F831">
        <v>629.98</v>
      </c>
      <c r="G831" t="s">
        <v>1437</v>
      </c>
      <c r="H831">
        <f>_xlfn.XLOOKUP(E831,K:K,L:L)</f>
        <v>8</v>
      </c>
    </row>
    <row r="832" spans="1:8" x14ac:dyDescent="0.3">
      <c r="A832" t="s">
        <v>92</v>
      </c>
      <c r="B832">
        <v>20609429497</v>
      </c>
      <c r="C832" t="s">
        <v>984</v>
      </c>
      <c r="D832" t="s">
        <v>715</v>
      </c>
      <c r="E832" s="1">
        <v>45945</v>
      </c>
      <c r="F832">
        <v>242.48</v>
      </c>
      <c r="G832" t="s">
        <v>1437</v>
      </c>
      <c r="H832">
        <f>_xlfn.XLOOKUP(E832,K:K,L:L)</f>
        <v>8</v>
      </c>
    </row>
    <row r="833" spans="1:8" x14ac:dyDescent="0.3">
      <c r="A833" t="s">
        <v>92</v>
      </c>
      <c r="B833">
        <v>20612069787</v>
      </c>
      <c r="C833" t="s">
        <v>985</v>
      </c>
      <c r="D833" t="s">
        <v>713</v>
      </c>
      <c r="E833" s="1">
        <v>45945</v>
      </c>
      <c r="F833">
        <v>840.09999999999991</v>
      </c>
      <c r="G833" t="s">
        <v>1437</v>
      </c>
      <c r="H833">
        <f>_xlfn.XLOOKUP(E833,K:K,L:L)</f>
        <v>8</v>
      </c>
    </row>
    <row r="834" spans="1:8" x14ac:dyDescent="0.3">
      <c r="A834" t="s">
        <v>92</v>
      </c>
      <c r="B834">
        <v>20613086430</v>
      </c>
      <c r="C834" t="s">
        <v>986</v>
      </c>
      <c r="D834" t="s">
        <v>715</v>
      </c>
      <c r="E834" s="1">
        <v>45945</v>
      </c>
      <c r="F834">
        <v>227.54000000000002</v>
      </c>
      <c r="G834" t="s">
        <v>1437</v>
      </c>
      <c r="H834">
        <f>_xlfn.XLOOKUP(E834,K:K,L:L)</f>
        <v>8</v>
      </c>
    </row>
    <row r="835" spans="1:8" x14ac:dyDescent="0.3">
      <c r="A835" t="s">
        <v>92</v>
      </c>
      <c r="B835">
        <v>20613429302</v>
      </c>
      <c r="C835" t="s">
        <v>987</v>
      </c>
      <c r="D835" t="s">
        <v>715</v>
      </c>
      <c r="E835" s="1">
        <v>45945</v>
      </c>
      <c r="F835">
        <v>207.12</v>
      </c>
      <c r="G835" t="s">
        <v>1437</v>
      </c>
      <c r="H835">
        <f>_xlfn.XLOOKUP(E835,K:K,L:L)</f>
        <v>8</v>
      </c>
    </row>
    <row r="836" spans="1:8" x14ac:dyDescent="0.3">
      <c r="A836" t="s">
        <v>92</v>
      </c>
      <c r="B836">
        <v>20613732897</v>
      </c>
      <c r="C836" t="s">
        <v>988</v>
      </c>
      <c r="D836" t="s">
        <v>754</v>
      </c>
      <c r="E836" s="1">
        <v>45945</v>
      </c>
      <c r="F836">
        <v>553.02</v>
      </c>
      <c r="G836" t="s">
        <v>1437</v>
      </c>
      <c r="H836">
        <f>_xlfn.XLOOKUP(E836,K:K,L:L)</f>
        <v>8</v>
      </c>
    </row>
    <row r="837" spans="1:8" x14ac:dyDescent="0.3">
      <c r="A837" t="s">
        <v>92</v>
      </c>
      <c r="B837">
        <v>20512535748</v>
      </c>
      <c r="C837" t="s">
        <v>989</v>
      </c>
      <c r="D837" t="s">
        <v>7</v>
      </c>
      <c r="E837" s="1">
        <v>45945</v>
      </c>
      <c r="F837">
        <v>533.48</v>
      </c>
      <c r="G837" t="s">
        <v>1437</v>
      </c>
      <c r="H837">
        <f>_xlfn.XLOOKUP(E837,K:K,L:L)</f>
        <v>8</v>
      </c>
    </row>
    <row r="838" spans="1:8" x14ac:dyDescent="0.3">
      <c r="A838" t="s">
        <v>92</v>
      </c>
      <c r="B838">
        <v>20539886283</v>
      </c>
      <c r="C838" t="s">
        <v>990</v>
      </c>
      <c r="D838" t="s">
        <v>7</v>
      </c>
      <c r="E838" s="1">
        <v>45945</v>
      </c>
      <c r="F838">
        <v>1264.3499999999999</v>
      </c>
      <c r="G838" t="s">
        <v>1437</v>
      </c>
      <c r="H838">
        <f>_xlfn.XLOOKUP(E838,K:K,L:L)</f>
        <v>8</v>
      </c>
    </row>
    <row r="839" spans="1:8" x14ac:dyDescent="0.3">
      <c r="A839" t="s">
        <v>92</v>
      </c>
      <c r="B839">
        <v>20607643416</v>
      </c>
      <c r="C839" t="s">
        <v>991</v>
      </c>
      <c r="D839" t="s">
        <v>7</v>
      </c>
      <c r="E839" s="1">
        <v>45945</v>
      </c>
      <c r="F839">
        <v>231.95</v>
      </c>
      <c r="G839" t="s">
        <v>1437</v>
      </c>
      <c r="H839">
        <f>_xlfn.XLOOKUP(E839,K:K,L:L)</f>
        <v>8</v>
      </c>
    </row>
    <row r="840" spans="1:8" x14ac:dyDescent="0.3">
      <c r="A840" t="s">
        <v>92</v>
      </c>
      <c r="B840">
        <v>20614016974</v>
      </c>
      <c r="C840" t="s">
        <v>992</v>
      </c>
      <c r="D840" t="s">
        <v>7</v>
      </c>
      <c r="E840" s="1">
        <v>45945</v>
      </c>
      <c r="F840">
        <v>514.63</v>
      </c>
      <c r="G840" t="s">
        <v>1437</v>
      </c>
      <c r="H840">
        <f>_xlfn.XLOOKUP(E840,K:K,L:L)</f>
        <v>8</v>
      </c>
    </row>
    <row r="841" spans="1:8" x14ac:dyDescent="0.3">
      <c r="A841" t="s">
        <v>92</v>
      </c>
      <c r="B841">
        <v>20608853830</v>
      </c>
      <c r="C841" t="s">
        <v>993</v>
      </c>
      <c r="D841" t="s">
        <v>994</v>
      </c>
      <c r="E841" s="1">
        <v>45945</v>
      </c>
      <c r="F841">
        <v>797.47000000000014</v>
      </c>
      <c r="G841" t="s">
        <v>1437</v>
      </c>
      <c r="H841">
        <f>_xlfn.XLOOKUP(E841,K:K,L:L)</f>
        <v>8</v>
      </c>
    </row>
    <row r="842" spans="1:8" x14ac:dyDescent="0.3">
      <c r="A842" t="s">
        <v>92</v>
      </c>
      <c r="B842">
        <v>20611476559</v>
      </c>
      <c r="C842" t="s">
        <v>995</v>
      </c>
      <c r="D842" t="s">
        <v>996</v>
      </c>
      <c r="E842" s="1">
        <v>45945</v>
      </c>
      <c r="F842">
        <v>1039.29</v>
      </c>
      <c r="G842" t="s">
        <v>1437</v>
      </c>
      <c r="H842">
        <f>_xlfn.XLOOKUP(E842,K:K,L:L)</f>
        <v>8</v>
      </c>
    </row>
    <row r="843" spans="1:8" x14ac:dyDescent="0.3">
      <c r="A843" t="s">
        <v>6</v>
      </c>
      <c r="B843">
        <v>20516378876</v>
      </c>
      <c r="C843" t="s">
        <v>997</v>
      </c>
      <c r="D843" t="s">
        <v>715</v>
      </c>
      <c r="E843" s="1">
        <v>45945</v>
      </c>
      <c r="F843">
        <v>3477.41</v>
      </c>
      <c r="G843" t="s">
        <v>1437</v>
      </c>
      <c r="H843">
        <f>_xlfn.XLOOKUP(E843,K:K,L:L)</f>
        <v>8</v>
      </c>
    </row>
    <row r="844" spans="1:8" x14ac:dyDescent="0.3">
      <c r="A844" t="s">
        <v>6</v>
      </c>
      <c r="B844">
        <v>20604712310</v>
      </c>
      <c r="C844" t="s">
        <v>998</v>
      </c>
      <c r="D844" t="s">
        <v>715</v>
      </c>
      <c r="E844" s="1">
        <v>45945</v>
      </c>
      <c r="F844">
        <v>170.42000000000002</v>
      </c>
      <c r="G844" t="s">
        <v>1437</v>
      </c>
      <c r="H844">
        <f>_xlfn.XLOOKUP(E844,K:K,L:L)</f>
        <v>8</v>
      </c>
    </row>
    <row r="845" spans="1:8" x14ac:dyDescent="0.3">
      <c r="A845" t="s">
        <v>6</v>
      </c>
      <c r="B845">
        <v>20606861801</v>
      </c>
      <c r="C845" t="s">
        <v>999</v>
      </c>
      <c r="D845" t="s">
        <v>18</v>
      </c>
      <c r="E845" s="1">
        <v>45945</v>
      </c>
      <c r="F845">
        <v>134.63999999999999</v>
      </c>
      <c r="G845" t="s">
        <v>1437</v>
      </c>
      <c r="H845">
        <f>_xlfn.XLOOKUP(E845,K:K,L:L)</f>
        <v>8</v>
      </c>
    </row>
    <row r="846" spans="1:8" x14ac:dyDescent="0.3">
      <c r="A846" t="s">
        <v>93</v>
      </c>
      <c r="B846">
        <v>20613645897</v>
      </c>
      <c r="C846" t="s">
        <v>1000</v>
      </c>
      <c r="D846" t="s">
        <v>473</v>
      </c>
      <c r="E846" s="1">
        <v>45945</v>
      </c>
      <c r="F846">
        <v>1120.7</v>
      </c>
      <c r="G846" t="s">
        <v>1437</v>
      </c>
      <c r="H846">
        <f>_xlfn.XLOOKUP(E846,K:K,L:L)</f>
        <v>8</v>
      </c>
    </row>
    <row r="847" spans="1:8" x14ac:dyDescent="0.3">
      <c r="A847" t="s">
        <v>93</v>
      </c>
      <c r="B847">
        <v>20601789087</v>
      </c>
      <c r="C847" t="s">
        <v>1001</v>
      </c>
      <c r="D847" t="s">
        <v>1002</v>
      </c>
      <c r="E847" s="1">
        <v>45945</v>
      </c>
      <c r="F847">
        <v>829.07999999999993</v>
      </c>
      <c r="G847" t="s">
        <v>1437</v>
      </c>
      <c r="H847">
        <f>_xlfn.XLOOKUP(E847,K:K,L:L)</f>
        <v>8</v>
      </c>
    </row>
    <row r="848" spans="1:8" x14ac:dyDescent="0.3">
      <c r="A848" t="s">
        <v>93</v>
      </c>
      <c r="B848">
        <v>20455594911</v>
      </c>
      <c r="C848" t="s">
        <v>1003</v>
      </c>
      <c r="D848" t="s">
        <v>1004</v>
      </c>
      <c r="E848" s="1">
        <v>45945</v>
      </c>
      <c r="F848">
        <v>347.86</v>
      </c>
      <c r="G848" t="s">
        <v>1437</v>
      </c>
      <c r="H848">
        <f>_xlfn.XLOOKUP(E848,K:K,L:L)</f>
        <v>8</v>
      </c>
    </row>
    <row r="849" spans="1:8" x14ac:dyDescent="0.3">
      <c r="A849" t="s">
        <v>93</v>
      </c>
      <c r="B849">
        <v>10211417779</v>
      </c>
      <c r="C849" t="s">
        <v>1005</v>
      </c>
      <c r="D849" t="s">
        <v>1006</v>
      </c>
      <c r="E849" s="1">
        <v>45945</v>
      </c>
      <c r="F849">
        <v>209.46</v>
      </c>
      <c r="G849" t="s">
        <v>1437</v>
      </c>
      <c r="H849">
        <f>_xlfn.XLOOKUP(E849,K:K,L:L)</f>
        <v>8</v>
      </c>
    </row>
    <row r="850" spans="1:8" x14ac:dyDescent="0.3">
      <c r="A850" t="s">
        <v>93</v>
      </c>
      <c r="B850">
        <v>20100574773</v>
      </c>
      <c r="C850" t="s">
        <v>229</v>
      </c>
      <c r="D850" t="s">
        <v>1007</v>
      </c>
      <c r="E850" s="1">
        <v>45945</v>
      </c>
      <c r="F850">
        <v>860.64</v>
      </c>
      <c r="G850" t="s">
        <v>1437</v>
      </c>
      <c r="H850">
        <f>_xlfn.XLOOKUP(E850,K:K,L:L)</f>
        <v>8</v>
      </c>
    </row>
    <row r="851" spans="1:8" x14ac:dyDescent="0.3">
      <c r="A851" t="s">
        <v>93</v>
      </c>
      <c r="B851">
        <v>20481171807</v>
      </c>
      <c r="C851" t="s">
        <v>1008</v>
      </c>
      <c r="D851" t="s">
        <v>1009</v>
      </c>
      <c r="E851" s="1">
        <v>45945</v>
      </c>
      <c r="F851">
        <v>846.1</v>
      </c>
      <c r="G851" t="s">
        <v>1437</v>
      </c>
      <c r="H851">
        <f>_xlfn.XLOOKUP(E851,K:K,L:L)</f>
        <v>8</v>
      </c>
    </row>
    <row r="852" spans="1:8" x14ac:dyDescent="0.3">
      <c r="A852" t="s">
        <v>93</v>
      </c>
      <c r="B852">
        <v>20493824563</v>
      </c>
      <c r="C852" t="s">
        <v>528</v>
      </c>
      <c r="D852" t="s">
        <v>1010</v>
      </c>
      <c r="E852" s="1">
        <v>45945</v>
      </c>
      <c r="F852">
        <v>48.97</v>
      </c>
      <c r="G852" t="s">
        <v>1437</v>
      </c>
      <c r="H852">
        <f>_xlfn.XLOOKUP(E852,K:K,L:L)</f>
        <v>8</v>
      </c>
    </row>
    <row r="853" spans="1:8" x14ac:dyDescent="0.3">
      <c r="A853" t="s">
        <v>93</v>
      </c>
      <c r="B853">
        <v>20505434804</v>
      </c>
      <c r="C853" t="s">
        <v>1011</v>
      </c>
      <c r="D853" t="s">
        <v>1012</v>
      </c>
      <c r="E853" s="1">
        <v>45945</v>
      </c>
      <c r="F853">
        <v>233.22</v>
      </c>
      <c r="G853" t="s">
        <v>1437</v>
      </c>
      <c r="H853">
        <f>_xlfn.XLOOKUP(E853,K:K,L:L)</f>
        <v>8</v>
      </c>
    </row>
    <row r="854" spans="1:8" x14ac:dyDescent="0.3">
      <c r="A854" t="s">
        <v>875</v>
      </c>
      <c r="B854">
        <v>20534144602</v>
      </c>
      <c r="C854" t="s">
        <v>1013</v>
      </c>
      <c r="D854" t="s">
        <v>1014</v>
      </c>
      <c r="E854" s="1">
        <v>45945</v>
      </c>
      <c r="F854">
        <v>1987.99</v>
      </c>
      <c r="G854" t="s">
        <v>1437</v>
      </c>
      <c r="H854">
        <f>_xlfn.XLOOKUP(E854,K:K,L:L)</f>
        <v>8</v>
      </c>
    </row>
    <row r="855" spans="1:8" x14ac:dyDescent="0.3">
      <c r="A855" t="s">
        <v>92</v>
      </c>
      <c r="B855">
        <v>10107087881</v>
      </c>
      <c r="C855" t="s">
        <v>1015</v>
      </c>
      <c r="D855" t="s">
        <v>711</v>
      </c>
      <c r="E855" s="1">
        <v>45946</v>
      </c>
      <c r="F855">
        <v>261.21000000000004</v>
      </c>
      <c r="G855" t="s">
        <v>1437</v>
      </c>
      <c r="H855">
        <f>_xlfn.XLOOKUP(E855,K:K,L:L)</f>
        <v>9</v>
      </c>
    </row>
    <row r="856" spans="1:8" x14ac:dyDescent="0.3">
      <c r="A856" t="s">
        <v>92</v>
      </c>
      <c r="B856">
        <v>10475062197</v>
      </c>
      <c r="C856" t="s">
        <v>1016</v>
      </c>
      <c r="D856" t="s">
        <v>920</v>
      </c>
      <c r="E856" s="1">
        <v>45946</v>
      </c>
      <c r="F856">
        <v>934.82</v>
      </c>
      <c r="G856" t="s">
        <v>1437</v>
      </c>
      <c r="H856">
        <f>_xlfn.XLOOKUP(E856,K:K,L:L)</f>
        <v>9</v>
      </c>
    </row>
    <row r="857" spans="1:8" x14ac:dyDescent="0.3">
      <c r="A857" t="s">
        <v>92</v>
      </c>
      <c r="B857">
        <v>20450604381</v>
      </c>
      <c r="C857" t="s">
        <v>1017</v>
      </c>
      <c r="D857" t="s">
        <v>754</v>
      </c>
      <c r="E857" s="1">
        <v>45946</v>
      </c>
      <c r="F857">
        <v>480.5</v>
      </c>
      <c r="G857" t="s">
        <v>1437</v>
      </c>
      <c r="H857">
        <f>_xlfn.XLOOKUP(E857,K:K,L:L)</f>
        <v>9</v>
      </c>
    </row>
    <row r="858" spans="1:8" x14ac:dyDescent="0.3">
      <c r="A858" t="s">
        <v>92</v>
      </c>
      <c r="B858">
        <v>20503405629</v>
      </c>
      <c r="C858" t="s">
        <v>1018</v>
      </c>
      <c r="D858" t="s">
        <v>713</v>
      </c>
      <c r="E858" s="1">
        <v>45946</v>
      </c>
      <c r="F858">
        <v>557.41</v>
      </c>
      <c r="G858" t="s">
        <v>1437</v>
      </c>
      <c r="H858">
        <f>_xlfn.XLOOKUP(E858,K:K,L:L)</f>
        <v>9</v>
      </c>
    </row>
    <row r="859" spans="1:8" x14ac:dyDescent="0.3">
      <c r="A859" t="s">
        <v>92</v>
      </c>
      <c r="B859">
        <v>20539134150</v>
      </c>
      <c r="C859" t="s">
        <v>1019</v>
      </c>
      <c r="D859" t="s">
        <v>715</v>
      </c>
      <c r="E859" s="1">
        <v>45946</v>
      </c>
      <c r="F859">
        <v>401.87</v>
      </c>
      <c r="G859" t="s">
        <v>1437</v>
      </c>
      <c r="H859">
        <f>_xlfn.XLOOKUP(E859,K:K,L:L)</f>
        <v>9</v>
      </c>
    </row>
    <row r="860" spans="1:8" x14ac:dyDescent="0.3">
      <c r="A860" t="s">
        <v>92</v>
      </c>
      <c r="B860">
        <v>20542850940</v>
      </c>
      <c r="C860" t="s">
        <v>1020</v>
      </c>
      <c r="D860" t="s">
        <v>713</v>
      </c>
      <c r="E860" s="1">
        <v>45946</v>
      </c>
      <c r="F860">
        <v>658.51</v>
      </c>
      <c r="G860" t="s">
        <v>1437</v>
      </c>
      <c r="H860">
        <f>_xlfn.XLOOKUP(E860,K:K,L:L)</f>
        <v>9</v>
      </c>
    </row>
    <row r="861" spans="1:8" x14ac:dyDescent="0.3">
      <c r="A861" t="s">
        <v>92</v>
      </c>
      <c r="B861">
        <v>20600495331</v>
      </c>
      <c r="C861" t="s">
        <v>1021</v>
      </c>
      <c r="D861" t="s">
        <v>786</v>
      </c>
      <c r="E861" s="1">
        <v>45946</v>
      </c>
      <c r="F861">
        <v>756.12</v>
      </c>
      <c r="G861" t="s">
        <v>1437</v>
      </c>
      <c r="H861">
        <f>_xlfn.XLOOKUP(E861,K:K,L:L)</f>
        <v>9</v>
      </c>
    </row>
    <row r="862" spans="1:8" x14ac:dyDescent="0.3">
      <c r="A862" t="s">
        <v>92</v>
      </c>
      <c r="B862">
        <v>20601176646</v>
      </c>
      <c r="C862" t="s">
        <v>1022</v>
      </c>
      <c r="D862" t="s">
        <v>715</v>
      </c>
      <c r="E862" s="1">
        <v>45946</v>
      </c>
      <c r="F862">
        <v>530.03</v>
      </c>
      <c r="G862" t="s">
        <v>1437</v>
      </c>
      <c r="H862">
        <f>_xlfn.XLOOKUP(E862,K:K,L:L)</f>
        <v>9</v>
      </c>
    </row>
    <row r="863" spans="1:8" x14ac:dyDescent="0.3">
      <c r="A863" t="s">
        <v>92</v>
      </c>
      <c r="B863">
        <v>20601640156</v>
      </c>
      <c r="C863" t="s">
        <v>1023</v>
      </c>
      <c r="D863" t="s">
        <v>711</v>
      </c>
      <c r="E863" s="1">
        <v>45946</v>
      </c>
      <c r="F863">
        <v>261.21000000000004</v>
      </c>
      <c r="G863" t="s">
        <v>1437</v>
      </c>
      <c r="H863">
        <f>_xlfn.XLOOKUP(E863,K:K,L:L)</f>
        <v>9</v>
      </c>
    </row>
    <row r="864" spans="1:8" x14ac:dyDescent="0.3">
      <c r="A864" t="s">
        <v>92</v>
      </c>
      <c r="B864">
        <v>20601820049</v>
      </c>
      <c r="C864" t="s">
        <v>1024</v>
      </c>
      <c r="D864" t="s">
        <v>720</v>
      </c>
      <c r="E864" s="1">
        <v>45946</v>
      </c>
      <c r="F864">
        <v>2235.02</v>
      </c>
      <c r="G864" t="s">
        <v>1437</v>
      </c>
      <c r="H864">
        <f>_xlfn.XLOOKUP(E864,K:K,L:L)</f>
        <v>9</v>
      </c>
    </row>
    <row r="865" spans="1:8" x14ac:dyDescent="0.3">
      <c r="A865" t="s">
        <v>92</v>
      </c>
      <c r="B865">
        <v>20602241069</v>
      </c>
      <c r="C865" t="s">
        <v>588</v>
      </c>
      <c r="D865" t="s">
        <v>715</v>
      </c>
      <c r="E865" s="1">
        <v>45946</v>
      </c>
      <c r="F865">
        <v>923.69</v>
      </c>
      <c r="G865" t="s">
        <v>1437</v>
      </c>
      <c r="H865">
        <f>_xlfn.XLOOKUP(E865,K:K,L:L)</f>
        <v>9</v>
      </c>
    </row>
    <row r="866" spans="1:8" x14ac:dyDescent="0.3">
      <c r="A866" t="s">
        <v>92</v>
      </c>
      <c r="B866">
        <v>20602411070</v>
      </c>
      <c r="C866" t="s">
        <v>1025</v>
      </c>
      <c r="D866" t="s">
        <v>715</v>
      </c>
      <c r="E866" s="1">
        <v>45946</v>
      </c>
      <c r="F866">
        <v>287.65999999999997</v>
      </c>
      <c r="G866" t="s">
        <v>1437</v>
      </c>
      <c r="H866">
        <f>_xlfn.XLOOKUP(E866,K:K,L:L)</f>
        <v>9</v>
      </c>
    </row>
    <row r="867" spans="1:8" x14ac:dyDescent="0.3">
      <c r="A867" t="s">
        <v>92</v>
      </c>
      <c r="B867">
        <v>20602780890</v>
      </c>
      <c r="C867" t="s">
        <v>1026</v>
      </c>
      <c r="D867" t="s">
        <v>754</v>
      </c>
      <c r="E867" s="1">
        <v>45946</v>
      </c>
      <c r="F867">
        <v>2332.56</v>
      </c>
      <c r="G867" t="s">
        <v>1437</v>
      </c>
      <c r="H867">
        <f>_xlfn.XLOOKUP(E867,K:K,L:L)</f>
        <v>9</v>
      </c>
    </row>
    <row r="868" spans="1:8" x14ac:dyDescent="0.3">
      <c r="A868" t="s">
        <v>92</v>
      </c>
      <c r="B868">
        <v>20606092050</v>
      </c>
      <c r="C868" t="s">
        <v>1027</v>
      </c>
      <c r="D868" t="s">
        <v>715</v>
      </c>
      <c r="E868" s="1">
        <v>45946</v>
      </c>
      <c r="F868">
        <v>289.15999999999997</v>
      </c>
      <c r="G868" t="s">
        <v>1437</v>
      </c>
      <c r="H868">
        <f>_xlfn.XLOOKUP(E868,K:K,L:L)</f>
        <v>9</v>
      </c>
    </row>
    <row r="869" spans="1:8" x14ac:dyDescent="0.3">
      <c r="A869" t="s">
        <v>92</v>
      </c>
      <c r="B869">
        <v>20606134577</v>
      </c>
      <c r="C869" t="s">
        <v>1028</v>
      </c>
      <c r="D869" t="s">
        <v>711</v>
      </c>
      <c r="E869" s="1">
        <v>45946</v>
      </c>
      <c r="F869">
        <v>693.45</v>
      </c>
      <c r="G869" t="s">
        <v>1437</v>
      </c>
      <c r="H869">
        <f>_xlfn.XLOOKUP(E869,K:K,L:L)</f>
        <v>9</v>
      </c>
    </row>
    <row r="870" spans="1:8" x14ac:dyDescent="0.3">
      <c r="A870" t="s">
        <v>92</v>
      </c>
      <c r="B870">
        <v>20610213091</v>
      </c>
      <c r="C870" t="s">
        <v>1029</v>
      </c>
      <c r="D870" t="s">
        <v>754</v>
      </c>
      <c r="E870" s="1">
        <v>45946</v>
      </c>
      <c r="F870">
        <v>2332.56</v>
      </c>
      <c r="G870" t="s">
        <v>1437</v>
      </c>
      <c r="H870">
        <f>_xlfn.XLOOKUP(E870,K:K,L:L)</f>
        <v>9</v>
      </c>
    </row>
    <row r="871" spans="1:8" x14ac:dyDescent="0.3">
      <c r="A871" t="s">
        <v>92</v>
      </c>
      <c r="B871">
        <v>20613275747</v>
      </c>
      <c r="C871" t="s">
        <v>1030</v>
      </c>
      <c r="D871" t="s">
        <v>715</v>
      </c>
      <c r="E871" s="1">
        <v>45946</v>
      </c>
      <c r="F871">
        <v>417.69</v>
      </c>
      <c r="G871" t="s">
        <v>1437</v>
      </c>
      <c r="H871">
        <f>_xlfn.XLOOKUP(E871,K:K,L:L)</f>
        <v>9</v>
      </c>
    </row>
    <row r="872" spans="1:8" x14ac:dyDescent="0.3">
      <c r="A872" t="s">
        <v>92</v>
      </c>
      <c r="B872">
        <v>20613618733</v>
      </c>
      <c r="C872" t="s">
        <v>1031</v>
      </c>
      <c r="D872" t="s">
        <v>713</v>
      </c>
      <c r="E872" s="1">
        <v>45946</v>
      </c>
      <c r="F872">
        <v>694.43999999999994</v>
      </c>
      <c r="G872" t="s">
        <v>1437</v>
      </c>
      <c r="H872">
        <f>_xlfn.XLOOKUP(E872,K:K,L:L)</f>
        <v>9</v>
      </c>
    </row>
    <row r="873" spans="1:8" x14ac:dyDescent="0.3">
      <c r="A873" t="s">
        <v>92</v>
      </c>
      <c r="B873">
        <v>20614396173</v>
      </c>
      <c r="C873" t="s">
        <v>1032</v>
      </c>
      <c r="D873" t="s">
        <v>715</v>
      </c>
      <c r="E873" s="1">
        <v>45946</v>
      </c>
      <c r="F873">
        <v>316.43</v>
      </c>
      <c r="G873" t="s">
        <v>1437</v>
      </c>
      <c r="H873">
        <f>_xlfn.XLOOKUP(E873,K:K,L:L)</f>
        <v>9</v>
      </c>
    </row>
    <row r="874" spans="1:8" x14ac:dyDescent="0.3">
      <c r="A874" t="s">
        <v>92</v>
      </c>
      <c r="B874">
        <v>20544680677</v>
      </c>
      <c r="C874" t="s">
        <v>1033</v>
      </c>
      <c r="D874" t="s">
        <v>7</v>
      </c>
      <c r="E874" s="1">
        <v>45946</v>
      </c>
      <c r="F874">
        <v>479.44</v>
      </c>
      <c r="G874" t="s">
        <v>1437</v>
      </c>
      <c r="H874">
        <f>_xlfn.XLOOKUP(E874,K:K,L:L)</f>
        <v>9</v>
      </c>
    </row>
    <row r="875" spans="1:8" x14ac:dyDescent="0.3">
      <c r="A875" t="s">
        <v>92</v>
      </c>
      <c r="B875">
        <v>20606552191</v>
      </c>
      <c r="C875" t="s">
        <v>1034</v>
      </c>
      <c r="D875" t="s">
        <v>1035</v>
      </c>
      <c r="E875" s="1">
        <v>45946</v>
      </c>
      <c r="F875">
        <v>639.43000000000006</v>
      </c>
      <c r="G875" t="s">
        <v>1437</v>
      </c>
      <c r="H875">
        <f>_xlfn.XLOOKUP(E875,K:K,L:L)</f>
        <v>9</v>
      </c>
    </row>
    <row r="876" spans="1:8" x14ac:dyDescent="0.3">
      <c r="A876" t="s">
        <v>92</v>
      </c>
      <c r="B876">
        <v>20607453757</v>
      </c>
      <c r="C876" t="s">
        <v>1036</v>
      </c>
      <c r="D876" t="s">
        <v>743</v>
      </c>
      <c r="E876" s="1">
        <v>45946</v>
      </c>
      <c r="F876">
        <v>462.76</v>
      </c>
      <c r="G876" t="s">
        <v>1437</v>
      </c>
      <c r="H876">
        <f>_xlfn.XLOOKUP(E876,K:K,L:L)</f>
        <v>9</v>
      </c>
    </row>
    <row r="877" spans="1:8" x14ac:dyDescent="0.3">
      <c r="A877" t="s">
        <v>92</v>
      </c>
      <c r="B877">
        <v>20608066315</v>
      </c>
      <c r="C877" t="s">
        <v>1037</v>
      </c>
      <c r="D877" t="s">
        <v>1038</v>
      </c>
      <c r="E877" s="1">
        <v>45946</v>
      </c>
      <c r="F877">
        <v>6216.8599999999988</v>
      </c>
      <c r="G877" t="s">
        <v>1437</v>
      </c>
      <c r="H877">
        <f>_xlfn.XLOOKUP(E877,K:K,L:L)</f>
        <v>9</v>
      </c>
    </row>
    <row r="878" spans="1:8" x14ac:dyDescent="0.3">
      <c r="A878" t="s">
        <v>92</v>
      </c>
      <c r="B878">
        <v>20481599742</v>
      </c>
      <c r="C878" t="s">
        <v>1039</v>
      </c>
      <c r="D878" t="s">
        <v>65</v>
      </c>
      <c r="E878" s="1">
        <v>45946</v>
      </c>
      <c r="F878">
        <v>169.82</v>
      </c>
      <c r="G878" t="s">
        <v>1437</v>
      </c>
      <c r="H878">
        <f>_xlfn.XLOOKUP(E878,K:K,L:L)</f>
        <v>9</v>
      </c>
    </row>
    <row r="879" spans="1:8" x14ac:dyDescent="0.3">
      <c r="A879" t="s">
        <v>92</v>
      </c>
      <c r="B879">
        <v>20606424125</v>
      </c>
      <c r="C879" t="s">
        <v>1040</v>
      </c>
      <c r="D879" t="s">
        <v>1041</v>
      </c>
      <c r="E879" s="1">
        <v>45946</v>
      </c>
      <c r="F879">
        <v>662.18000000000006</v>
      </c>
      <c r="G879" t="s">
        <v>1437</v>
      </c>
      <c r="H879">
        <f>_xlfn.XLOOKUP(E879,K:K,L:L)</f>
        <v>9</v>
      </c>
    </row>
    <row r="880" spans="1:8" x14ac:dyDescent="0.3">
      <c r="A880" t="s">
        <v>92</v>
      </c>
      <c r="B880">
        <v>20601628687</v>
      </c>
      <c r="C880" t="s">
        <v>1042</v>
      </c>
      <c r="D880" t="s">
        <v>468</v>
      </c>
      <c r="E880" s="1">
        <v>45946</v>
      </c>
      <c r="F880">
        <v>1999.4099999999999</v>
      </c>
      <c r="G880" t="s">
        <v>1437</v>
      </c>
      <c r="H880">
        <f>_xlfn.XLOOKUP(E880,K:K,L:L)</f>
        <v>9</v>
      </c>
    </row>
    <row r="881" spans="1:8" x14ac:dyDescent="0.3">
      <c r="A881" t="s">
        <v>92</v>
      </c>
      <c r="B881">
        <v>10731080441</v>
      </c>
      <c r="C881" t="s">
        <v>1043</v>
      </c>
      <c r="D881" t="s">
        <v>475</v>
      </c>
      <c r="E881" s="1">
        <v>45946</v>
      </c>
      <c r="F881">
        <v>137.68</v>
      </c>
      <c r="G881" t="s">
        <v>1437</v>
      </c>
      <c r="H881">
        <f>_xlfn.XLOOKUP(E881,K:K,L:L)</f>
        <v>9</v>
      </c>
    </row>
    <row r="882" spans="1:8" x14ac:dyDescent="0.3">
      <c r="A882" t="s">
        <v>6</v>
      </c>
      <c r="B882">
        <v>20481851182</v>
      </c>
      <c r="C882" t="s">
        <v>1044</v>
      </c>
      <c r="D882" t="s">
        <v>711</v>
      </c>
      <c r="E882" s="1">
        <v>45946</v>
      </c>
      <c r="F882">
        <v>369.84000000000003</v>
      </c>
      <c r="G882" t="s">
        <v>1437</v>
      </c>
      <c r="H882">
        <f>_xlfn.XLOOKUP(E882,K:K,L:L)</f>
        <v>9</v>
      </c>
    </row>
    <row r="883" spans="1:8" x14ac:dyDescent="0.3">
      <c r="A883" t="s">
        <v>6</v>
      </c>
      <c r="B883">
        <v>20611468823</v>
      </c>
      <c r="C883" t="s">
        <v>1045</v>
      </c>
      <c r="D883" t="s">
        <v>713</v>
      </c>
      <c r="E883" s="1">
        <v>45946</v>
      </c>
      <c r="F883">
        <v>393.54000000000008</v>
      </c>
      <c r="G883" t="s">
        <v>1437</v>
      </c>
      <c r="H883">
        <f>_xlfn.XLOOKUP(E883,K:K,L:L)</f>
        <v>9</v>
      </c>
    </row>
    <row r="884" spans="1:8" x14ac:dyDescent="0.3">
      <c r="A884" t="s">
        <v>6</v>
      </c>
      <c r="B884">
        <v>20601965756</v>
      </c>
      <c r="C884" t="s">
        <v>1046</v>
      </c>
      <c r="D884" t="s">
        <v>116</v>
      </c>
      <c r="E884" s="1">
        <v>45946</v>
      </c>
      <c r="F884">
        <v>574.28</v>
      </c>
      <c r="G884" t="s">
        <v>1437</v>
      </c>
      <c r="H884">
        <f>_xlfn.XLOOKUP(E884,K:K,L:L)</f>
        <v>9</v>
      </c>
    </row>
    <row r="885" spans="1:8" x14ac:dyDescent="0.3">
      <c r="A885" t="s">
        <v>93</v>
      </c>
      <c r="B885">
        <v>20601293430</v>
      </c>
      <c r="C885" t="s">
        <v>1047</v>
      </c>
      <c r="D885" t="s">
        <v>473</v>
      </c>
      <c r="E885" s="1">
        <v>45946</v>
      </c>
      <c r="F885">
        <v>164.67</v>
      </c>
      <c r="G885" t="s">
        <v>1437</v>
      </c>
      <c r="H885">
        <f>_xlfn.XLOOKUP(E885,K:K,L:L)</f>
        <v>9</v>
      </c>
    </row>
    <row r="886" spans="1:8" x14ac:dyDescent="0.3">
      <c r="A886" t="s">
        <v>93</v>
      </c>
      <c r="B886">
        <v>10092345594</v>
      </c>
      <c r="C886" t="s">
        <v>1048</v>
      </c>
      <c r="D886" t="s">
        <v>1049</v>
      </c>
      <c r="E886" s="1">
        <v>45946</v>
      </c>
      <c r="F886">
        <v>284</v>
      </c>
      <c r="G886" t="s">
        <v>1437</v>
      </c>
      <c r="H886">
        <f>_xlfn.XLOOKUP(E886,K:K,L:L)</f>
        <v>9</v>
      </c>
    </row>
    <row r="887" spans="1:8" x14ac:dyDescent="0.3">
      <c r="A887" t="s">
        <v>93</v>
      </c>
      <c r="B887">
        <v>20491191270</v>
      </c>
      <c r="C887" t="s">
        <v>1050</v>
      </c>
      <c r="D887" t="s">
        <v>1051</v>
      </c>
      <c r="E887" s="1">
        <v>45946</v>
      </c>
      <c r="F887">
        <v>363.43</v>
      </c>
      <c r="G887" t="s">
        <v>1437</v>
      </c>
      <c r="H887">
        <f>_xlfn.XLOOKUP(E887,K:K,L:L)</f>
        <v>9</v>
      </c>
    </row>
    <row r="888" spans="1:8" x14ac:dyDescent="0.3">
      <c r="A888" t="s">
        <v>875</v>
      </c>
      <c r="B888">
        <v>20477349243</v>
      </c>
      <c r="C888" t="s">
        <v>1052</v>
      </c>
      <c r="D888" t="s">
        <v>1053</v>
      </c>
      <c r="E888" s="1">
        <v>45946</v>
      </c>
      <c r="F888">
        <v>19529.679999999993</v>
      </c>
      <c r="G888" t="s">
        <v>1437</v>
      </c>
      <c r="H888">
        <f>_xlfn.XLOOKUP(E888,K:K,L:L)</f>
        <v>9</v>
      </c>
    </row>
    <row r="889" spans="1:8" x14ac:dyDescent="0.3">
      <c r="A889" t="s">
        <v>875</v>
      </c>
      <c r="B889">
        <v>20477349243</v>
      </c>
      <c r="C889" t="s">
        <v>1449</v>
      </c>
      <c r="E889" s="1">
        <v>45946</v>
      </c>
      <c r="F889">
        <v>438.40499999999997</v>
      </c>
      <c r="G889" t="s">
        <v>2099</v>
      </c>
      <c r="H889">
        <f>_xlfn.XLOOKUP(E889,K:K,L:L)</f>
        <v>9</v>
      </c>
    </row>
    <row r="890" spans="1:8" x14ac:dyDescent="0.3">
      <c r="A890" t="s">
        <v>875</v>
      </c>
      <c r="B890">
        <v>20477349243</v>
      </c>
      <c r="C890" t="s">
        <v>1449</v>
      </c>
      <c r="E890" s="1">
        <v>45946</v>
      </c>
      <c r="F890">
        <v>438.40499999999997</v>
      </c>
      <c r="G890" t="s">
        <v>2099</v>
      </c>
      <c r="H890">
        <f>_xlfn.XLOOKUP(E890,K:K,L:L)</f>
        <v>9</v>
      </c>
    </row>
    <row r="891" spans="1:8" x14ac:dyDescent="0.3">
      <c r="A891" t="s">
        <v>875</v>
      </c>
      <c r="B891">
        <v>20477349243</v>
      </c>
      <c r="C891" t="s">
        <v>1449</v>
      </c>
      <c r="E891" s="1">
        <v>45946</v>
      </c>
      <c r="F891">
        <v>432.27499999999998</v>
      </c>
      <c r="G891" t="s">
        <v>2099</v>
      </c>
      <c r="H891">
        <f>_xlfn.XLOOKUP(E891,K:K,L:L)</f>
        <v>9</v>
      </c>
    </row>
    <row r="892" spans="1:8" x14ac:dyDescent="0.3">
      <c r="A892" t="s">
        <v>875</v>
      </c>
      <c r="B892">
        <v>20477349243</v>
      </c>
      <c r="C892" t="s">
        <v>1449</v>
      </c>
      <c r="E892" s="1">
        <v>45946</v>
      </c>
      <c r="F892">
        <v>432.27499999999998</v>
      </c>
      <c r="G892" t="s">
        <v>2099</v>
      </c>
      <c r="H892">
        <f>_xlfn.XLOOKUP(E892,K:K,L:L)</f>
        <v>9</v>
      </c>
    </row>
    <row r="893" spans="1:8" x14ac:dyDescent="0.3">
      <c r="A893" t="s">
        <v>875</v>
      </c>
      <c r="B893">
        <v>20477349243</v>
      </c>
      <c r="C893" t="s">
        <v>1449</v>
      </c>
      <c r="E893" s="1">
        <v>45946</v>
      </c>
      <c r="F893">
        <v>425.88499999999999</v>
      </c>
      <c r="G893" t="s">
        <v>2099</v>
      </c>
      <c r="H893">
        <f>_xlfn.XLOOKUP(E893,K:K,L:L)</f>
        <v>9</v>
      </c>
    </row>
    <row r="894" spans="1:8" x14ac:dyDescent="0.3">
      <c r="A894" t="s">
        <v>875</v>
      </c>
      <c r="B894">
        <v>20477349243</v>
      </c>
      <c r="C894" t="s">
        <v>1449</v>
      </c>
      <c r="E894" s="1">
        <v>45946</v>
      </c>
      <c r="F894">
        <v>425.88499999999999</v>
      </c>
      <c r="G894" t="s">
        <v>2099</v>
      </c>
      <c r="H894">
        <f>_xlfn.XLOOKUP(E894,K:K,L:L)</f>
        <v>9</v>
      </c>
    </row>
    <row r="895" spans="1:8" x14ac:dyDescent="0.3">
      <c r="A895" t="s">
        <v>875</v>
      </c>
      <c r="B895">
        <v>20477349243</v>
      </c>
      <c r="C895" t="s">
        <v>1449</v>
      </c>
      <c r="E895" s="1">
        <v>45946</v>
      </c>
      <c r="F895">
        <v>419.89</v>
      </c>
      <c r="G895" t="s">
        <v>2099</v>
      </c>
      <c r="H895">
        <f>_xlfn.XLOOKUP(E895,K:K,L:L)</f>
        <v>9</v>
      </c>
    </row>
    <row r="896" spans="1:8" x14ac:dyDescent="0.3">
      <c r="A896" t="s">
        <v>875</v>
      </c>
      <c r="B896">
        <v>20477349243</v>
      </c>
      <c r="C896" t="s">
        <v>1449</v>
      </c>
      <c r="E896" s="1">
        <v>45946</v>
      </c>
      <c r="F896">
        <v>419.89</v>
      </c>
      <c r="G896" t="s">
        <v>2099</v>
      </c>
      <c r="H896">
        <f>_xlfn.XLOOKUP(E896,K:K,L:L)</f>
        <v>9</v>
      </c>
    </row>
    <row r="897" spans="1:8" x14ac:dyDescent="0.3">
      <c r="A897" t="s">
        <v>875</v>
      </c>
      <c r="B897">
        <v>20477349243</v>
      </c>
      <c r="C897" t="s">
        <v>1449</v>
      </c>
      <c r="E897" s="1">
        <v>45946</v>
      </c>
      <c r="F897">
        <v>407.76</v>
      </c>
      <c r="G897" t="s">
        <v>2099</v>
      </c>
      <c r="H897">
        <f>_xlfn.XLOOKUP(E897,K:K,L:L)</f>
        <v>9</v>
      </c>
    </row>
    <row r="898" spans="1:8" x14ac:dyDescent="0.3">
      <c r="A898" t="s">
        <v>875</v>
      </c>
      <c r="B898">
        <v>20477349243</v>
      </c>
      <c r="C898" t="s">
        <v>1449</v>
      </c>
      <c r="E898" s="1">
        <v>45946</v>
      </c>
      <c r="F898">
        <v>401.76</v>
      </c>
      <c r="G898" t="s">
        <v>2099</v>
      </c>
      <c r="H898">
        <f>_xlfn.XLOOKUP(E898,K:K,L:L)</f>
        <v>9</v>
      </c>
    </row>
    <row r="899" spans="1:8" x14ac:dyDescent="0.3">
      <c r="A899" t="s">
        <v>875</v>
      </c>
      <c r="B899">
        <v>20477349243</v>
      </c>
      <c r="C899" t="s">
        <v>1449</v>
      </c>
      <c r="E899" s="1">
        <v>45946</v>
      </c>
      <c r="F899">
        <v>401.76</v>
      </c>
      <c r="G899" t="s">
        <v>2099</v>
      </c>
      <c r="H899">
        <f>_xlfn.XLOOKUP(E899,K:K,L:L)</f>
        <v>9</v>
      </c>
    </row>
    <row r="900" spans="1:8" x14ac:dyDescent="0.3">
      <c r="A900" t="s">
        <v>875</v>
      </c>
      <c r="B900">
        <v>20477349243</v>
      </c>
      <c r="C900" t="s">
        <v>1449</v>
      </c>
      <c r="E900" s="1">
        <v>45946</v>
      </c>
      <c r="F900">
        <v>395.76499999999999</v>
      </c>
      <c r="G900" t="s">
        <v>2099</v>
      </c>
      <c r="H900">
        <f>_xlfn.XLOOKUP(E900,K:K,L:L)</f>
        <v>9</v>
      </c>
    </row>
    <row r="901" spans="1:8" x14ac:dyDescent="0.3">
      <c r="A901" t="s">
        <v>875</v>
      </c>
      <c r="B901">
        <v>20477349243</v>
      </c>
      <c r="C901" t="s">
        <v>1449</v>
      </c>
      <c r="E901" s="1">
        <v>45946</v>
      </c>
      <c r="F901">
        <v>395.76499999999999</v>
      </c>
      <c r="G901" t="s">
        <v>2099</v>
      </c>
      <c r="H901">
        <f>_xlfn.XLOOKUP(E901,K:K,L:L)</f>
        <v>9</v>
      </c>
    </row>
    <row r="902" spans="1:8" x14ac:dyDescent="0.3">
      <c r="A902" t="s">
        <v>875</v>
      </c>
      <c r="B902">
        <v>20477349243</v>
      </c>
      <c r="C902" t="s">
        <v>1449</v>
      </c>
      <c r="E902" s="1">
        <v>45946</v>
      </c>
      <c r="F902">
        <v>390.15499999999997</v>
      </c>
      <c r="G902" t="s">
        <v>2099</v>
      </c>
      <c r="H902">
        <f>_xlfn.XLOOKUP(E902,K:K,L:L)</f>
        <v>9</v>
      </c>
    </row>
    <row r="903" spans="1:8" x14ac:dyDescent="0.3">
      <c r="A903" t="s">
        <v>875</v>
      </c>
      <c r="B903">
        <v>20477349243</v>
      </c>
      <c r="C903" t="s">
        <v>1449</v>
      </c>
      <c r="E903" s="1">
        <v>45946</v>
      </c>
      <c r="F903">
        <v>390.15499999999997</v>
      </c>
      <c r="G903" t="s">
        <v>2099</v>
      </c>
      <c r="H903">
        <f>_xlfn.XLOOKUP(E903,K:K,L:L)</f>
        <v>9</v>
      </c>
    </row>
    <row r="904" spans="1:8" x14ac:dyDescent="0.3">
      <c r="A904" t="s">
        <v>875</v>
      </c>
      <c r="B904">
        <v>20477349243</v>
      </c>
      <c r="C904" t="s">
        <v>1449</v>
      </c>
      <c r="E904" s="1">
        <v>45946</v>
      </c>
      <c r="F904">
        <v>379.995</v>
      </c>
      <c r="G904" t="s">
        <v>2099</v>
      </c>
      <c r="H904">
        <f>_xlfn.XLOOKUP(E904,K:K,L:L)</f>
        <v>9</v>
      </c>
    </row>
    <row r="905" spans="1:8" x14ac:dyDescent="0.3">
      <c r="A905" t="s">
        <v>875</v>
      </c>
      <c r="B905">
        <v>20477349243</v>
      </c>
      <c r="C905" t="s">
        <v>1449</v>
      </c>
      <c r="E905" s="1">
        <v>45946</v>
      </c>
      <c r="F905">
        <v>379.995</v>
      </c>
      <c r="G905" t="s">
        <v>2099</v>
      </c>
      <c r="H905">
        <f>_xlfn.XLOOKUP(E905,K:K,L:L)</f>
        <v>9</v>
      </c>
    </row>
    <row r="906" spans="1:8" x14ac:dyDescent="0.3">
      <c r="A906" t="s">
        <v>875</v>
      </c>
      <c r="B906">
        <v>20477349243</v>
      </c>
      <c r="C906" t="s">
        <v>1449</v>
      </c>
      <c r="E906" s="1">
        <v>45946</v>
      </c>
      <c r="F906">
        <v>738.08</v>
      </c>
      <c r="G906" t="s">
        <v>2099</v>
      </c>
      <c r="H906">
        <f>_xlfn.XLOOKUP(E906,K:K,L:L)</f>
        <v>9</v>
      </c>
    </row>
    <row r="907" spans="1:8" x14ac:dyDescent="0.3">
      <c r="A907" t="s">
        <v>875</v>
      </c>
      <c r="B907">
        <v>20477349243</v>
      </c>
      <c r="C907" t="s">
        <v>1449</v>
      </c>
      <c r="E907" s="1">
        <v>45946</v>
      </c>
      <c r="F907">
        <v>363.78</v>
      </c>
      <c r="G907" t="s">
        <v>2099</v>
      </c>
      <c r="H907">
        <f>_xlfn.XLOOKUP(E907,K:K,L:L)</f>
        <v>9</v>
      </c>
    </row>
    <row r="908" spans="1:8" x14ac:dyDescent="0.3">
      <c r="A908" t="s">
        <v>875</v>
      </c>
      <c r="B908">
        <v>20477349243</v>
      </c>
      <c r="C908" t="s">
        <v>1449</v>
      </c>
      <c r="E908" s="1">
        <v>45946</v>
      </c>
      <c r="F908">
        <v>363.78</v>
      </c>
      <c r="G908" t="s">
        <v>2099</v>
      </c>
      <c r="H908">
        <f>_xlfn.XLOOKUP(E908,K:K,L:L)</f>
        <v>9</v>
      </c>
    </row>
    <row r="909" spans="1:8" x14ac:dyDescent="0.3">
      <c r="A909" t="s">
        <v>875</v>
      </c>
      <c r="B909">
        <v>20477349243</v>
      </c>
      <c r="C909" t="s">
        <v>1449</v>
      </c>
      <c r="E909" s="1">
        <v>45946</v>
      </c>
      <c r="F909">
        <v>359.005</v>
      </c>
      <c r="G909" t="s">
        <v>2099</v>
      </c>
      <c r="H909">
        <f>_xlfn.XLOOKUP(E909,K:K,L:L)</f>
        <v>9</v>
      </c>
    </row>
    <row r="910" spans="1:8" x14ac:dyDescent="0.3">
      <c r="A910" t="s">
        <v>875</v>
      </c>
      <c r="B910">
        <v>20477349243</v>
      </c>
      <c r="C910" t="s">
        <v>1449</v>
      </c>
      <c r="E910" s="1">
        <v>45946</v>
      </c>
      <c r="F910">
        <v>359.005</v>
      </c>
      <c r="G910" t="s">
        <v>2099</v>
      </c>
      <c r="H910">
        <f>_xlfn.XLOOKUP(E910,K:K,L:L)</f>
        <v>9</v>
      </c>
    </row>
    <row r="911" spans="1:8" x14ac:dyDescent="0.3">
      <c r="A911" t="s">
        <v>875</v>
      </c>
      <c r="B911">
        <v>20477349243</v>
      </c>
      <c r="C911" t="s">
        <v>1449</v>
      </c>
      <c r="E911" s="1">
        <v>45946</v>
      </c>
      <c r="F911">
        <v>353.72</v>
      </c>
      <c r="G911" t="s">
        <v>2099</v>
      </c>
      <c r="H911">
        <f>_xlfn.XLOOKUP(E911,K:K,L:L)</f>
        <v>9</v>
      </c>
    </row>
    <row r="912" spans="1:8" x14ac:dyDescent="0.3">
      <c r="A912" t="s">
        <v>875</v>
      </c>
      <c r="B912">
        <v>20477349243</v>
      </c>
      <c r="C912" t="s">
        <v>1449</v>
      </c>
      <c r="E912" s="1">
        <v>45946</v>
      </c>
      <c r="F912">
        <v>353.72</v>
      </c>
      <c r="G912" t="s">
        <v>2099</v>
      </c>
      <c r="H912">
        <f>_xlfn.XLOOKUP(E912,K:K,L:L)</f>
        <v>9</v>
      </c>
    </row>
    <row r="913" spans="1:8" x14ac:dyDescent="0.3">
      <c r="A913" t="s">
        <v>875</v>
      </c>
      <c r="B913">
        <v>20477349243</v>
      </c>
      <c r="C913" t="s">
        <v>1449</v>
      </c>
      <c r="E913" s="1">
        <v>45946</v>
      </c>
      <c r="F913">
        <v>348.56</v>
      </c>
      <c r="G913" t="s">
        <v>2099</v>
      </c>
      <c r="H913">
        <f>_xlfn.XLOOKUP(E913,K:K,L:L)</f>
        <v>9</v>
      </c>
    </row>
    <row r="914" spans="1:8" x14ac:dyDescent="0.3">
      <c r="A914" t="s">
        <v>875</v>
      </c>
      <c r="B914">
        <v>20477349243</v>
      </c>
      <c r="C914" t="s">
        <v>1449</v>
      </c>
      <c r="E914" s="1">
        <v>45946</v>
      </c>
      <c r="F914">
        <v>348.56</v>
      </c>
      <c r="G914" t="s">
        <v>2099</v>
      </c>
      <c r="H914">
        <f>_xlfn.XLOOKUP(E914,K:K,L:L)</f>
        <v>9</v>
      </c>
    </row>
    <row r="915" spans="1:8" x14ac:dyDescent="0.3">
      <c r="A915" t="s">
        <v>875</v>
      </c>
      <c r="B915">
        <v>20477349243</v>
      </c>
      <c r="C915" t="s">
        <v>1449</v>
      </c>
      <c r="E915" s="1">
        <v>45946</v>
      </c>
      <c r="F915">
        <v>343.53</v>
      </c>
      <c r="G915" t="s">
        <v>2099</v>
      </c>
      <c r="H915">
        <f>_xlfn.XLOOKUP(E915,K:K,L:L)</f>
        <v>9</v>
      </c>
    </row>
    <row r="916" spans="1:8" x14ac:dyDescent="0.3">
      <c r="A916" t="s">
        <v>92</v>
      </c>
      <c r="B916">
        <v>10257347392</v>
      </c>
      <c r="C916" t="s">
        <v>1054</v>
      </c>
      <c r="D916" t="s">
        <v>711</v>
      </c>
      <c r="E916" s="1">
        <v>45947</v>
      </c>
      <c r="F916">
        <v>287.47000000000003</v>
      </c>
      <c r="G916" t="s">
        <v>1437</v>
      </c>
      <c r="H916">
        <f>_xlfn.XLOOKUP(E916,K:K,L:L)</f>
        <v>10</v>
      </c>
    </row>
    <row r="917" spans="1:8" x14ac:dyDescent="0.3">
      <c r="A917" t="s">
        <v>92</v>
      </c>
      <c r="B917">
        <v>10433841391</v>
      </c>
      <c r="C917" t="s">
        <v>1055</v>
      </c>
      <c r="D917" t="s">
        <v>711</v>
      </c>
      <c r="E917" s="1">
        <v>45947</v>
      </c>
      <c r="F917">
        <v>229.84</v>
      </c>
      <c r="G917" t="s">
        <v>1437</v>
      </c>
      <c r="H917">
        <f>_xlfn.XLOOKUP(E917,K:K,L:L)</f>
        <v>10</v>
      </c>
    </row>
    <row r="918" spans="1:8" x14ac:dyDescent="0.3">
      <c r="A918" t="s">
        <v>92</v>
      </c>
      <c r="B918">
        <v>20456170502</v>
      </c>
      <c r="C918" t="s">
        <v>1056</v>
      </c>
      <c r="D918" t="s">
        <v>711</v>
      </c>
      <c r="E918" s="1">
        <v>45947</v>
      </c>
      <c r="F918">
        <v>261.33000000000004</v>
      </c>
      <c r="G918" t="s">
        <v>1437</v>
      </c>
      <c r="H918">
        <f>_xlfn.XLOOKUP(E918,K:K,L:L)</f>
        <v>10</v>
      </c>
    </row>
    <row r="919" spans="1:8" x14ac:dyDescent="0.3">
      <c r="A919" t="s">
        <v>92</v>
      </c>
      <c r="B919">
        <v>20495680968</v>
      </c>
      <c r="C919" t="s">
        <v>1057</v>
      </c>
      <c r="D919" t="s">
        <v>720</v>
      </c>
      <c r="E919" s="1">
        <v>45947</v>
      </c>
      <c r="F919">
        <v>1631.6100000000001</v>
      </c>
      <c r="G919" t="s">
        <v>1437</v>
      </c>
      <c r="H919">
        <f>_xlfn.XLOOKUP(E919,K:K,L:L)</f>
        <v>10</v>
      </c>
    </row>
    <row r="920" spans="1:8" x14ac:dyDescent="0.3">
      <c r="A920" t="s">
        <v>92</v>
      </c>
      <c r="B920">
        <v>20512458735</v>
      </c>
      <c r="C920" t="s">
        <v>1058</v>
      </c>
      <c r="D920" t="s">
        <v>715</v>
      </c>
      <c r="E920" s="1">
        <v>45947</v>
      </c>
      <c r="F920">
        <v>230.35999999999999</v>
      </c>
      <c r="G920" t="s">
        <v>1437</v>
      </c>
      <c r="H920">
        <f>_xlfn.XLOOKUP(E920,K:K,L:L)</f>
        <v>10</v>
      </c>
    </row>
    <row r="921" spans="1:8" x14ac:dyDescent="0.3">
      <c r="A921" t="s">
        <v>92</v>
      </c>
      <c r="B921">
        <v>20522531368</v>
      </c>
      <c r="C921" t="s">
        <v>1059</v>
      </c>
      <c r="D921" t="s">
        <v>715</v>
      </c>
      <c r="E921" s="1">
        <v>45947</v>
      </c>
      <c r="F921">
        <v>300.96999999999997</v>
      </c>
      <c r="G921" t="s">
        <v>1437</v>
      </c>
      <c r="H921">
        <f>_xlfn.XLOOKUP(E921,K:K,L:L)</f>
        <v>10</v>
      </c>
    </row>
    <row r="922" spans="1:8" x14ac:dyDescent="0.3">
      <c r="A922" t="s">
        <v>92</v>
      </c>
      <c r="B922">
        <v>20526339585</v>
      </c>
      <c r="C922" t="s">
        <v>1060</v>
      </c>
      <c r="D922" t="s">
        <v>715</v>
      </c>
      <c r="E922" s="1">
        <v>45947</v>
      </c>
      <c r="F922">
        <v>669.53</v>
      </c>
      <c r="G922" t="s">
        <v>1437</v>
      </c>
      <c r="H922">
        <f>_xlfn.XLOOKUP(E922,K:K,L:L)</f>
        <v>10</v>
      </c>
    </row>
    <row r="923" spans="1:8" x14ac:dyDescent="0.3">
      <c r="A923" t="s">
        <v>92</v>
      </c>
      <c r="B923">
        <v>20532384673</v>
      </c>
      <c r="C923" t="s">
        <v>1061</v>
      </c>
      <c r="D923" t="s">
        <v>711</v>
      </c>
      <c r="E923" s="1">
        <v>45947</v>
      </c>
      <c r="F923">
        <v>1618.8600000000001</v>
      </c>
      <c r="G923" t="s">
        <v>1437</v>
      </c>
      <c r="H923">
        <f>_xlfn.XLOOKUP(E923,K:K,L:L)</f>
        <v>10</v>
      </c>
    </row>
    <row r="924" spans="1:8" x14ac:dyDescent="0.3">
      <c r="A924" t="s">
        <v>92</v>
      </c>
      <c r="B924">
        <v>20550705550</v>
      </c>
      <c r="C924" t="s">
        <v>1062</v>
      </c>
      <c r="D924" t="s">
        <v>711</v>
      </c>
      <c r="E924" s="1">
        <v>45947</v>
      </c>
      <c r="F924">
        <v>323.77</v>
      </c>
      <c r="G924" t="s">
        <v>1437</v>
      </c>
      <c r="H924">
        <f>_xlfn.XLOOKUP(E924,K:K,L:L)</f>
        <v>10</v>
      </c>
    </row>
    <row r="925" spans="1:8" x14ac:dyDescent="0.3">
      <c r="A925" t="s">
        <v>92</v>
      </c>
      <c r="B925">
        <v>20552726546</v>
      </c>
      <c r="C925" t="s">
        <v>1063</v>
      </c>
      <c r="D925" t="s">
        <v>715</v>
      </c>
      <c r="E925" s="1">
        <v>45947</v>
      </c>
      <c r="F925">
        <v>610.43999999999994</v>
      </c>
      <c r="G925" t="s">
        <v>1437</v>
      </c>
      <c r="H925">
        <f>_xlfn.XLOOKUP(E925,K:K,L:L)</f>
        <v>10</v>
      </c>
    </row>
    <row r="926" spans="1:8" x14ac:dyDescent="0.3">
      <c r="A926" t="s">
        <v>92</v>
      </c>
      <c r="B926">
        <v>20601030102</v>
      </c>
      <c r="C926" t="s">
        <v>1064</v>
      </c>
      <c r="D926" t="s">
        <v>713</v>
      </c>
      <c r="E926" s="1">
        <v>45947</v>
      </c>
      <c r="F926">
        <v>393.79000000000008</v>
      </c>
      <c r="G926" t="s">
        <v>1437</v>
      </c>
      <c r="H926">
        <f>_xlfn.XLOOKUP(E926,K:K,L:L)</f>
        <v>10</v>
      </c>
    </row>
    <row r="927" spans="1:8" x14ac:dyDescent="0.3">
      <c r="A927" t="s">
        <v>92</v>
      </c>
      <c r="B927">
        <v>20606060999</v>
      </c>
      <c r="C927" t="s">
        <v>1065</v>
      </c>
      <c r="D927" t="s">
        <v>713</v>
      </c>
      <c r="E927" s="1">
        <v>45947</v>
      </c>
      <c r="F927">
        <v>696.99</v>
      </c>
      <c r="G927" t="s">
        <v>1437</v>
      </c>
      <c r="H927">
        <f>_xlfn.XLOOKUP(E927,K:K,L:L)</f>
        <v>10</v>
      </c>
    </row>
    <row r="928" spans="1:8" x14ac:dyDescent="0.3">
      <c r="A928" t="s">
        <v>92</v>
      </c>
      <c r="B928">
        <v>20608882058</v>
      </c>
      <c r="C928" t="s">
        <v>1066</v>
      </c>
      <c r="D928" t="s">
        <v>715</v>
      </c>
      <c r="E928" s="1">
        <v>45947</v>
      </c>
      <c r="F928">
        <v>345.53</v>
      </c>
      <c r="G928" t="s">
        <v>1437</v>
      </c>
      <c r="H928">
        <f>_xlfn.XLOOKUP(E928,K:K,L:L)</f>
        <v>10</v>
      </c>
    </row>
    <row r="929" spans="1:8" x14ac:dyDescent="0.3">
      <c r="A929" t="s">
        <v>92</v>
      </c>
      <c r="B929">
        <v>20609235099</v>
      </c>
      <c r="C929" t="s">
        <v>1067</v>
      </c>
      <c r="D929" t="s">
        <v>920</v>
      </c>
      <c r="E929" s="1">
        <v>45947</v>
      </c>
      <c r="F929">
        <v>1655.26</v>
      </c>
      <c r="G929" t="s">
        <v>1437</v>
      </c>
      <c r="H929">
        <f>_xlfn.XLOOKUP(E929,K:K,L:L)</f>
        <v>10</v>
      </c>
    </row>
    <row r="930" spans="1:8" x14ac:dyDescent="0.3">
      <c r="A930" t="s">
        <v>92</v>
      </c>
      <c r="B930">
        <v>20610273336</v>
      </c>
      <c r="C930" t="s">
        <v>1068</v>
      </c>
      <c r="D930" t="s">
        <v>711</v>
      </c>
      <c r="E930" s="1">
        <v>45947</v>
      </c>
      <c r="F930">
        <v>261.33000000000004</v>
      </c>
      <c r="G930" t="s">
        <v>1437</v>
      </c>
      <c r="H930">
        <f>_xlfn.XLOOKUP(E930,K:K,L:L)</f>
        <v>10</v>
      </c>
    </row>
    <row r="931" spans="1:8" x14ac:dyDescent="0.3">
      <c r="A931" t="s">
        <v>92</v>
      </c>
      <c r="B931">
        <v>20611520221</v>
      </c>
      <c r="C931" t="s">
        <v>1069</v>
      </c>
      <c r="D931" t="s">
        <v>715</v>
      </c>
      <c r="E931" s="1">
        <v>45947</v>
      </c>
      <c r="F931">
        <v>225.82000000000002</v>
      </c>
      <c r="G931" t="s">
        <v>1437</v>
      </c>
      <c r="H931">
        <f>_xlfn.XLOOKUP(E931,K:K,L:L)</f>
        <v>10</v>
      </c>
    </row>
    <row r="932" spans="1:8" x14ac:dyDescent="0.3">
      <c r="A932" t="s">
        <v>92</v>
      </c>
      <c r="B932">
        <v>10410184384</v>
      </c>
      <c r="C932" t="s">
        <v>1070</v>
      </c>
      <c r="D932" t="s">
        <v>7</v>
      </c>
      <c r="E932" s="1">
        <v>45947</v>
      </c>
      <c r="F932">
        <v>131.18</v>
      </c>
      <c r="G932" t="s">
        <v>1437</v>
      </c>
      <c r="H932">
        <f>_xlfn.XLOOKUP(E932,K:K,L:L)</f>
        <v>10</v>
      </c>
    </row>
    <row r="933" spans="1:8" x14ac:dyDescent="0.3">
      <c r="A933" t="s">
        <v>92</v>
      </c>
      <c r="B933">
        <v>20450783294</v>
      </c>
      <c r="C933" t="s">
        <v>1071</v>
      </c>
      <c r="D933" t="s">
        <v>7</v>
      </c>
      <c r="E933" s="1">
        <v>45947</v>
      </c>
      <c r="F933">
        <v>325.05</v>
      </c>
      <c r="G933" t="s">
        <v>1437</v>
      </c>
      <c r="H933">
        <f>_xlfn.XLOOKUP(E933,K:K,L:L)</f>
        <v>10</v>
      </c>
    </row>
    <row r="934" spans="1:8" x14ac:dyDescent="0.3">
      <c r="A934" t="s">
        <v>92</v>
      </c>
      <c r="B934">
        <v>20481314098</v>
      </c>
      <c r="C934" t="s">
        <v>1072</v>
      </c>
      <c r="D934" t="s">
        <v>7</v>
      </c>
      <c r="E934" s="1">
        <v>45947</v>
      </c>
      <c r="F934">
        <v>174.13</v>
      </c>
      <c r="G934" t="s">
        <v>1437</v>
      </c>
      <c r="H934">
        <f>_xlfn.XLOOKUP(E934,K:K,L:L)</f>
        <v>10</v>
      </c>
    </row>
    <row r="935" spans="1:8" x14ac:dyDescent="0.3">
      <c r="A935" t="s">
        <v>92</v>
      </c>
      <c r="B935">
        <v>20603128169</v>
      </c>
      <c r="C935" t="s">
        <v>1073</v>
      </c>
      <c r="D935" t="s">
        <v>27</v>
      </c>
      <c r="E935" s="1">
        <v>45947</v>
      </c>
      <c r="F935">
        <v>263.64</v>
      </c>
      <c r="G935" t="s">
        <v>1437</v>
      </c>
      <c r="H935">
        <f>_xlfn.XLOOKUP(E935,K:K,L:L)</f>
        <v>10</v>
      </c>
    </row>
    <row r="936" spans="1:8" x14ac:dyDescent="0.3">
      <c r="A936" t="s">
        <v>92</v>
      </c>
      <c r="B936">
        <v>20600927028</v>
      </c>
      <c r="C936" t="s">
        <v>1074</v>
      </c>
      <c r="D936" t="s">
        <v>65</v>
      </c>
      <c r="E936" s="1">
        <v>45947</v>
      </c>
      <c r="F936">
        <v>132.46</v>
      </c>
      <c r="G936" t="s">
        <v>1437</v>
      </c>
      <c r="H936">
        <f>_xlfn.XLOOKUP(E936,K:K,L:L)</f>
        <v>10</v>
      </c>
    </row>
    <row r="937" spans="1:8" x14ac:dyDescent="0.3">
      <c r="A937" t="s">
        <v>92</v>
      </c>
      <c r="B937">
        <v>20603560273</v>
      </c>
      <c r="C937" t="s">
        <v>1075</v>
      </c>
      <c r="D937" t="s">
        <v>18</v>
      </c>
      <c r="E937" s="1">
        <v>45947</v>
      </c>
      <c r="F937">
        <v>148.25</v>
      </c>
      <c r="G937" t="s">
        <v>1437</v>
      </c>
      <c r="H937">
        <f>_xlfn.XLOOKUP(E937,K:K,L:L)</f>
        <v>10</v>
      </c>
    </row>
    <row r="938" spans="1:8" x14ac:dyDescent="0.3">
      <c r="A938" t="s">
        <v>6</v>
      </c>
      <c r="B938">
        <v>20608192264</v>
      </c>
      <c r="C938" t="s">
        <v>1076</v>
      </c>
      <c r="D938" t="s">
        <v>715</v>
      </c>
      <c r="E938" s="1">
        <v>45947</v>
      </c>
      <c r="F938">
        <v>172.76999999999998</v>
      </c>
      <c r="G938" t="s">
        <v>1437</v>
      </c>
      <c r="H938">
        <f>_xlfn.XLOOKUP(E938,K:K,L:L)</f>
        <v>10</v>
      </c>
    </row>
    <row r="939" spans="1:8" x14ac:dyDescent="0.3">
      <c r="A939" t="s">
        <v>6</v>
      </c>
      <c r="B939">
        <v>20611473908</v>
      </c>
      <c r="C939" t="s">
        <v>1077</v>
      </c>
      <c r="D939" t="s">
        <v>715</v>
      </c>
      <c r="E939" s="1">
        <v>45947</v>
      </c>
      <c r="F939">
        <v>130.15</v>
      </c>
      <c r="G939" t="s">
        <v>1437</v>
      </c>
      <c r="H939">
        <f>_xlfn.XLOOKUP(E939,K:K,L:L)</f>
        <v>10</v>
      </c>
    </row>
    <row r="940" spans="1:8" x14ac:dyDescent="0.3">
      <c r="A940" t="s">
        <v>6</v>
      </c>
      <c r="B940">
        <v>10028197239</v>
      </c>
      <c r="C940" t="s">
        <v>1078</v>
      </c>
      <c r="D940" t="s">
        <v>540</v>
      </c>
      <c r="E940" s="1">
        <v>45947</v>
      </c>
      <c r="F940">
        <v>363.61</v>
      </c>
      <c r="G940" t="s">
        <v>1437</v>
      </c>
      <c r="H940">
        <f>_xlfn.XLOOKUP(E940,K:K,L:L)</f>
        <v>10</v>
      </c>
    </row>
    <row r="941" spans="1:8" x14ac:dyDescent="0.3">
      <c r="A941" t="s">
        <v>93</v>
      </c>
      <c r="B941">
        <v>20609932776</v>
      </c>
      <c r="C941" t="s">
        <v>547</v>
      </c>
      <c r="D941" t="s">
        <v>412</v>
      </c>
      <c r="E941" s="1">
        <v>45947</v>
      </c>
      <c r="F941">
        <v>1539.05</v>
      </c>
      <c r="G941" t="s">
        <v>1437</v>
      </c>
      <c r="H941">
        <f>_xlfn.XLOOKUP(E941,K:K,L:L)</f>
        <v>10</v>
      </c>
    </row>
    <row r="942" spans="1:8" x14ac:dyDescent="0.3">
      <c r="A942" t="s">
        <v>875</v>
      </c>
      <c r="B942">
        <v>20509470848</v>
      </c>
      <c r="C942" t="s">
        <v>1079</v>
      </c>
      <c r="D942" t="s">
        <v>1080</v>
      </c>
      <c r="E942" s="1">
        <v>45947</v>
      </c>
      <c r="F942">
        <v>6598.68</v>
      </c>
      <c r="G942" t="s">
        <v>1437</v>
      </c>
      <c r="H942">
        <f>_xlfn.XLOOKUP(E942,K:K,L:L)</f>
        <v>10</v>
      </c>
    </row>
    <row r="943" spans="1:8" x14ac:dyDescent="0.3">
      <c r="A943" t="s">
        <v>92</v>
      </c>
      <c r="B943">
        <v>10448547634</v>
      </c>
      <c r="C943" t="s">
        <v>1081</v>
      </c>
      <c r="D943" t="s">
        <v>786</v>
      </c>
      <c r="E943" s="1">
        <v>45948</v>
      </c>
      <c r="F943">
        <v>662.83</v>
      </c>
      <c r="G943" t="s">
        <v>1437</v>
      </c>
      <c r="H943">
        <f>_xlfn.XLOOKUP(E943,K:K,L:L)</f>
        <v>10</v>
      </c>
    </row>
    <row r="944" spans="1:8" x14ac:dyDescent="0.3">
      <c r="A944" t="s">
        <v>92</v>
      </c>
      <c r="B944">
        <v>20524176603</v>
      </c>
      <c r="C944" t="s">
        <v>1082</v>
      </c>
      <c r="D944" t="s">
        <v>711</v>
      </c>
      <c r="E944" s="1">
        <v>45948</v>
      </c>
      <c r="F944">
        <v>315.52</v>
      </c>
      <c r="G944" t="s">
        <v>1437</v>
      </c>
      <c r="H944">
        <f>_xlfn.XLOOKUP(E944,K:K,L:L)</f>
        <v>10</v>
      </c>
    </row>
    <row r="945" spans="1:8" x14ac:dyDescent="0.3">
      <c r="A945" t="s">
        <v>92</v>
      </c>
      <c r="B945">
        <v>20601506743</v>
      </c>
      <c r="C945" t="s">
        <v>1083</v>
      </c>
      <c r="D945" t="s">
        <v>715</v>
      </c>
      <c r="E945" s="1">
        <v>45948</v>
      </c>
      <c r="F945">
        <v>418.51</v>
      </c>
      <c r="G945" t="s">
        <v>1437</v>
      </c>
      <c r="H945">
        <f>_xlfn.XLOOKUP(E945,K:K,L:L)</f>
        <v>10</v>
      </c>
    </row>
    <row r="946" spans="1:8" x14ac:dyDescent="0.3">
      <c r="A946" t="s">
        <v>92</v>
      </c>
      <c r="B946">
        <v>20602200354</v>
      </c>
      <c r="C946" t="s">
        <v>1084</v>
      </c>
      <c r="D946" t="s">
        <v>715</v>
      </c>
      <c r="E946" s="1">
        <v>45948</v>
      </c>
      <c r="F946">
        <v>293.21999999999997</v>
      </c>
      <c r="G946" t="s">
        <v>1437</v>
      </c>
      <c r="H946">
        <f>_xlfn.XLOOKUP(E946,K:K,L:L)</f>
        <v>10</v>
      </c>
    </row>
    <row r="947" spans="1:8" x14ac:dyDescent="0.3">
      <c r="A947" t="s">
        <v>92</v>
      </c>
      <c r="B947">
        <v>20602537031</v>
      </c>
      <c r="C947" t="s">
        <v>1085</v>
      </c>
      <c r="D947" t="s">
        <v>711</v>
      </c>
      <c r="E947" s="1">
        <v>45948</v>
      </c>
      <c r="F947">
        <v>261.59000000000003</v>
      </c>
      <c r="G947" t="s">
        <v>1437</v>
      </c>
      <c r="H947">
        <f>_xlfn.XLOOKUP(E947,K:K,L:L)</f>
        <v>10</v>
      </c>
    </row>
    <row r="948" spans="1:8" x14ac:dyDescent="0.3">
      <c r="A948" t="s">
        <v>92</v>
      </c>
      <c r="B948">
        <v>20604419531</v>
      </c>
      <c r="C948" t="s">
        <v>1086</v>
      </c>
      <c r="D948" t="s">
        <v>715</v>
      </c>
      <c r="E948" s="1">
        <v>45948</v>
      </c>
      <c r="F948">
        <v>273.59000000000003</v>
      </c>
      <c r="G948" t="s">
        <v>1437</v>
      </c>
      <c r="H948">
        <f>_xlfn.XLOOKUP(E948,K:K,L:L)</f>
        <v>10</v>
      </c>
    </row>
    <row r="949" spans="1:8" x14ac:dyDescent="0.3">
      <c r="A949" t="s">
        <v>92</v>
      </c>
      <c r="B949">
        <v>20612237141</v>
      </c>
      <c r="C949" t="s">
        <v>1087</v>
      </c>
      <c r="D949" t="s">
        <v>720</v>
      </c>
      <c r="E949" s="1">
        <v>45948</v>
      </c>
      <c r="F949">
        <v>2182.54</v>
      </c>
      <c r="G949" t="s">
        <v>1437</v>
      </c>
      <c r="H949">
        <f>_xlfn.XLOOKUP(E949,K:K,L:L)</f>
        <v>10</v>
      </c>
    </row>
    <row r="950" spans="1:8" x14ac:dyDescent="0.3">
      <c r="A950" t="s">
        <v>92</v>
      </c>
      <c r="B950">
        <v>20613813528</v>
      </c>
      <c r="C950" t="s">
        <v>1088</v>
      </c>
      <c r="D950" t="s">
        <v>786</v>
      </c>
      <c r="E950" s="1">
        <v>45948</v>
      </c>
      <c r="F950">
        <v>935.61</v>
      </c>
      <c r="G950" t="s">
        <v>1437</v>
      </c>
      <c r="H950">
        <f>_xlfn.XLOOKUP(E950,K:K,L:L)</f>
        <v>10</v>
      </c>
    </row>
    <row r="951" spans="1:8" x14ac:dyDescent="0.3">
      <c r="A951" t="s">
        <v>92</v>
      </c>
      <c r="B951">
        <v>20614128365</v>
      </c>
      <c r="C951" t="s">
        <v>1089</v>
      </c>
      <c r="D951" t="s">
        <v>7</v>
      </c>
      <c r="E951" s="1">
        <v>45948</v>
      </c>
      <c r="F951">
        <v>524.04</v>
      </c>
      <c r="G951" t="s">
        <v>1437</v>
      </c>
      <c r="H951">
        <f>_xlfn.XLOOKUP(E951,K:K,L:L)</f>
        <v>10</v>
      </c>
    </row>
    <row r="952" spans="1:8" x14ac:dyDescent="0.3">
      <c r="A952" t="s">
        <v>6</v>
      </c>
      <c r="B952">
        <v>20603349696</v>
      </c>
      <c r="C952" t="s">
        <v>1090</v>
      </c>
      <c r="D952" t="s">
        <v>754</v>
      </c>
      <c r="E952" s="1">
        <v>45948</v>
      </c>
      <c r="F952">
        <v>2504.8199999999997</v>
      </c>
      <c r="G952" t="s">
        <v>1437</v>
      </c>
      <c r="H952">
        <f>_xlfn.XLOOKUP(E952,K:K,L:L)</f>
        <v>10</v>
      </c>
    </row>
    <row r="953" spans="1:8" x14ac:dyDescent="0.3">
      <c r="A953" t="s">
        <v>93</v>
      </c>
      <c r="B953">
        <v>20513932368</v>
      </c>
      <c r="C953" t="s">
        <v>1091</v>
      </c>
      <c r="D953" t="s">
        <v>1092</v>
      </c>
      <c r="E953" s="1">
        <v>45948</v>
      </c>
      <c r="F953">
        <v>721.9</v>
      </c>
      <c r="G953" t="s">
        <v>1437</v>
      </c>
      <c r="H953">
        <f>_xlfn.XLOOKUP(E953,K:K,L:L)</f>
        <v>10</v>
      </c>
    </row>
    <row r="954" spans="1:8" x14ac:dyDescent="0.3">
      <c r="A954" t="s">
        <v>93</v>
      </c>
      <c r="B954">
        <v>20551973850</v>
      </c>
      <c r="C954" t="s">
        <v>1093</v>
      </c>
      <c r="D954" t="s">
        <v>958</v>
      </c>
      <c r="E954" s="1">
        <v>45948</v>
      </c>
      <c r="F954">
        <v>0.18</v>
      </c>
      <c r="G954" t="s">
        <v>1437</v>
      </c>
      <c r="H954">
        <f>_xlfn.XLOOKUP(E954,K:K,L:L)</f>
        <v>10</v>
      </c>
    </row>
    <row r="955" spans="1:8" x14ac:dyDescent="0.3">
      <c r="A955" t="s">
        <v>92</v>
      </c>
      <c r="B955">
        <v>20573102780</v>
      </c>
      <c r="C955" t="s">
        <v>1094</v>
      </c>
      <c r="D955" t="s">
        <v>711</v>
      </c>
      <c r="E955" s="1">
        <v>45949</v>
      </c>
      <c r="F955">
        <v>235.53</v>
      </c>
      <c r="G955" t="s">
        <v>1437</v>
      </c>
      <c r="H955">
        <f>_xlfn.XLOOKUP(E955,K:K,L:L)</f>
        <v>10</v>
      </c>
    </row>
    <row r="956" spans="1:8" x14ac:dyDescent="0.3">
      <c r="A956" t="s">
        <v>92</v>
      </c>
      <c r="B956">
        <v>20601611253</v>
      </c>
      <c r="C956" t="s">
        <v>1095</v>
      </c>
      <c r="D956" t="s">
        <v>711</v>
      </c>
      <c r="E956" s="1">
        <v>45949</v>
      </c>
      <c r="F956">
        <v>287.74</v>
      </c>
      <c r="G956" t="s">
        <v>1437</v>
      </c>
      <c r="H956">
        <f>_xlfn.XLOOKUP(E956,K:K,L:L)</f>
        <v>10</v>
      </c>
    </row>
    <row r="957" spans="1:8" x14ac:dyDescent="0.3">
      <c r="A957" t="s">
        <v>92</v>
      </c>
      <c r="B957">
        <v>10442805011</v>
      </c>
      <c r="C957" t="s">
        <v>1096</v>
      </c>
      <c r="D957" t="s">
        <v>713</v>
      </c>
      <c r="E957" s="1">
        <v>45950</v>
      </c>
      <c r="F957">
        <v>394.19000000000005</v>
      </c>
      <c r="G957" t="s">
        <v>1437</v>
      </c>
      <c r="H957">
        <f>_xlfn.XLOOKUP(E957,K:K,L:L)</f>
        <v>11</v>
      </c>
    </row>
    <row r="958" spans="1:8" x14ac:dyDescent="0.3">
      <c r="A958" t="s">
        <v>92</v>
      </c>
      <c r="B958">
        <v>20491213931</v>
      </c>
      <c r="C958" t="s">
        <v>1097</v>
      </c>
      <c r="D958" t="s">
        <v>715</v>
      </c>
      <c r="E958" s="1">
        <v>45950</v>
      </c>
      <c r="F958">
        <v>288.23</v>
      </c>
      <c r="G958" t="s">
        <v>1437</v>
      </c>
      <c r="H958">
        <f>_xlfn.XLOOKUP(E958,K:K,L:L)</f>
        <v>11</v>
      </c>
    </row>
    <row r="959" spans="1:8" x14ac:dyDescent="0.3">
      <c r="A959" t="s">
        <v>92</v>
      </c>
      <c r="B959">
        <v>20491907275</v>
      </c>
      <c r="C959" t="s">
        <v>1098</v>
      </c>
      <c r="D959" t="s">
        <v>711</v>
      </c>
      <c r="E959" s="1">
        <v>45950</v>
      </c>
      <c r="F959">
        <v>261.59000000000003</v>
      </c>
      <c r="G959" t="s">
        <v>1437</v>
      </c>
      <c r="H959">
        <f>_xlfn.XLOOKUP(E959,K:K,L:L)</f>
        <v>11</v>
      </c>
    </row>
    <row r="960" spans="1:8" x14ac:dyDescent="0.3">
      <c r="A960" t="s">
        <v>92</v>
      </c>
      <c r="B960">
        <v>20502197399</v>
      </c>
      <c r="C960" t="s">
        <v>1099</v>
      </c>
      <c r="D960" t="s">
        <v>715</v>
      </c>
      <c r="E960" s="1">
        <v>45950</v>
      </c>
      <c r="F960">
        <v>691.75</v>
      </c>
      <c r="G960" t="s">
        <v>1437</v>
      </c>
      <c r="H960">
        <f>_xlfn.XLOOKUP(E960,K:K,L:L)</f>
        <v>11</v>
      </c>
    </row>
    <row r="961" spans="1:8" x14ac:dyDescent="0.3">
      <c r="A961" t="s">
        <v>92</v>
      </c>
      <c r="B961">
        <v>20508136227</v>
      </c>
      <c r="C961" t="s">
        <v>1100</v>
      </c>
      <c r="D961" t="s">
        <v>720</v>
      </c>
      <c r="E961" s="1">
        <v>45950</v>
      </c>
      <c r="F961">
        <v>3794.4800000000005</v>
      </c>
      <c r="G961" t="s">
        <v>1437</v>
      </c>
      <c r="H961">
        <f>_xlfn.XLOOKUP(E961,K:K,L:L)</f>
        <v>11</v>
      </c>
    </row>
    <row r="962" spans="1:8" x14ac:dyDescent="0.3">
      <c r="A962" t="s">
        <v>92</v>
      </c>
      <c r="B962">
        <v>20509838209</v>
      </c>
      <c r="C962" t="s">
        <v>1101</v>
      </c>
      <c r="D962" t="s">
        <v>711</v>
      </c>
      <c r="E962" s="1">
        <v>45950</v>
      </c>
      <c r="F962">
        <v>287.74</v>
      </c>
      <c r="G962" t="s">
        <v>1437</v>
      </c>
      <c r="H962">
        <f>_xlfn.XLOOKUP(E962,K:K,L:L)</f>
        <v>11</v>
      </c>
    </row>
    <row r="963" spans="1:8" x14ac:dyDescent="0.3">
      <c r="A963" t="s">
        <v>92</v>
      </c>
      <c r="B963">
        <v>20565808592</v>
      </c>
      <c r="C963" t="s">
        <v>1102</v>
      </c>
      <c r="D963" t="s">
        <v>715</v>
      </c>
      <c r="E963" s="1">
        <v>45950</v>
      </c>
      <c r="F963">
        <v>379.19</v>
      </c>
      <c r="G963" t="s">
        <v>1437</v>
      </c>
      <c r="H963">
        <f>_xlfn.XLOOKUP(E963,K:K,L:L)</f>
        <v>11</v>
      </c>
    </row>
    <row r="964" spans="1:8" x14ac:dyDescent="0.3">
      <c r="A964" t="s">
        <v>92</v>
      </c>
      <c r="B964">
        <v>20600547012</v>
      </c>
      <c r="C964" t="s">
        <v>1103</v>
      </c>
      <c r="D964" t="s">
        <v>715</v>
      </c>
      <c r="E964" s="1">
        <v>45950</v>
      </c>
      <c r="F964">
        <v>634.1</v>
      </c>
      <c r="G964" t="s">
        <v>1437</v>
      </c>
      <c r="H964">
        <f>_xlfn.XLOOKUP(E964,K:K,L:L)</f>
        <v>11</v>
      </c>
    </row>
    <row r="965" spans="1:8" x14ac:dyDescent="0.3">
      <c r="A965" t="s">
        <v>92</v>
      </c>
      <c r="B965">
        <v>20602360734</v>
      </c>
      <c r="C965" t="s">
        <v>1104</v>
      </c>
      <c r="D965" t="s">
        <v>711</v>
      </c>
      <c r="E965" s="1">
        <v>45950</v>
      </c>
      <c r="F965">
        <v>430.57</v>
      </c>
      <c r="G965" t="s">
        <v>1437</v>
      </c>
      <c r="H965">
        <f>_xlfn.XLOOKUP(E965,K:K,L:L)</f>
        <v>11</v>
      </c>
    </row>
    <row r="966" spans="1:8" x14ac:dyDescent="0.3">
      <c r="A966" t="s">
        <v>92</v>
      </c>
      <c r="B966">
        <v>20604720690</v>
      </c>
      <c r="C966" t="s">
        <v>1105</v>
      </c>
      <c r="D966" t="s">
        <v>715</v>
      </c>
      <c r="E966" s="1">
        <v>45950</v>
      </c>
      <c r="F966">
        <v>1072.21</v>
      </c>
      <c r="G966" t="s">
        <v>1437</v>
      </c>
      <c r="H966">
        <f>_xlfn.XLOOKUP(E966,K:K,L:L)</f>
        <v>11</v>
      </c>
    </row>
    <row r="967" spans="1:8" x14ac:dyDescent="0.3">
      <c r="A967" t="s">
        <v>92</v>
      </c>
      <c r="B967">
        <v>20605810315</v>
      </c>
      <c r="C967" t="s">
        <v>1106</v>
      </c>
      <c r="D967" t="s">
        <v>711</v>
      </c>
      <c r="E967" s="1">
        <v>45950</v>
      </c>
      <c r="F967">
        <v>565.82000000000005</v>
      </c>
      <c r="G967" t="s">
        <v>1437</v>
      </c>
      <c r="H967">
        <f>_xlfn.XLOOKUP(E967,K:K,L:L)</f>
        <v>11</v>
      </c>
    </row>
    <row r="968" spans="1:8" x14ac:dyDescent="0.3">
      <c r="A968" t="s">
        <v>92</v>
      </c>
      <c r="B968">
        <v>20606334258</v>
      </c>
      <c r="C968" t="s">
        <v>1107</v>
      </c>
      <c r="D968" t="s">
        <v>711</v>
      </c>
      <c r="E968" s="1">
        <v>45950</v>
      </c>
      <c r="F968">
        <v>261.59000000000003</v>
      </c>
      <c r="G968" t="s">
        <v>1437</v>
      </c>
      <c r="H968">
        <f>_xlfn.XLOOKUP(E968,K:K,L:L)</f>
        <v>11</v>
      </c>
    </row>
    <row r="969" spans="1:8" x14ac:dyDescent="0.3">
      <c r="A969" t="s">
        <v>92</v>
      </c>
      <c r="B969">
        <v>20609010411</v>
      </c>
      <c r="C969" t="s">
        <v>1108</v>
      </c>
      <c r="D969" t="s">
        <v>713</v>
      </c>
      <c r="E969" s="1">
        <v>45950</v>
      </c>
      <c r="F969">
        <v>727.97</v>
      </c>
      <c r="G969" t="s">
        <v>1437</v>
      </c>
      <c r="H969">
        <f>_xlfn.XLOOKUP(E969,K:K,L:L)</f>
        <v>11</v>
      </c>
    </row>
    <row r="970" spans="1:8" x14ac:dyDescent="0.3">
      <c r="A970" t="s">
        <v>92</v>
      </c>
      <c r="B970">
        <v>20610619372</v>
      </c>
      <c r="C970" t="s">
        <v>1109</v>
      </c>
      <c r="D970" t="s">
        <v>711</v>
      </c>
      <c r="E970" s="1">
        <v>45950</v>
      </c>
      <c r="F970">
        <v>816.91000000000008</v>
      </c>
      <c r="G970" t="s">
        <v>1437</v>
      </c>
      <c r="H970">
        <f>_xlfn.XLOOKUP(E970,K:K,L:L)</f>
        <v>11</v>
      </c>
    </row>
    <row r="971" spans="1:8" x14ac:dyDescent="0.3">
      <c r="A971" t="s">
        <v>92</v>
      </c>
      <c r="B971">
        <v>20604362751</v>
      </c>
      <c r="C971" t="s">
        <v>1110</v>
      </c>
      <c r="D971" t="s">
        <v>27</v>
      </c>
      <c r="E971" s="1">
        <v>45950</v>
      </c>
      <c r="F971">
        <v>263.90999999999997</v>
      </c>
      <c r="G971" t="s">
        <v>1437</v>
      </c>
      <c r="H971">
        <f>_xlfn.XLOOKUP(E971,K:K,L:L)</f>
        <v>11</v>
      </c>
    </row>
    <row r="972" spans="1:8" x14ac:dyDescent="0.3">
      <c r="A972" t="s">
        <v>92</v>
      </c>
      <c r="B972">
        <v>20609366193</v>
      </c>
      <c r="C972" t="s">
        <v>1111</v>
      </c>
      <c r="D972" t="s">
        <v>7</v>
      </c>
      <c r="E972" s="1">
        <v>45950</v>
      </c>
      <c r="F972">
        <v>348.6</v>
      </c>
      <c r="G972" t="s">
        <v>1437</v>
      </c>
      <c r="H972">
        <f>_xlfn.XLOOKUP(E972,K:K,L:L)</f>
        <v>11</v>
      </c>
    </row>
    <row r="973" spans="1:8" x14ac:dyDescent="0.3">
      <c r="A973" t="s">
        <v>92</v>
      </c>
      <c r="B973">
        <v>20611376538</v>
      </c>
      <c r="C973" t="s">
        <v>1112</v>
      </c>
      <c r="D973" t="s">
        <v>7</v>
      </c>
      <c r="E973" s="1">
        <v>45950</v>
      </c>
      <c r="F973">
        <v>318.74</v>
      </c>
      <c r="G973" t="s">
        <v>1437</v>
      </c>
      <c r="H973">
        <f>_xlfn.XLOOKUP(E973,K:K,L:L)</f>
        <v>11</v>
      </c>
    </row>
    <row r="974" spans="1:8" x14ac:dyDescent="0.3">
      <c r="A974" t="s">
        <v>92</v>
      </c>
      <c r="B974">
        <v>20611684321</v>
      </c>
      <c r="C974" t="s">
        <v>1113</v>
      </c>
      <c r="D974" t="s">
        <v>7</v>
      </c>
      <c r="E974" s="1">
        <v>45950</v>
      </c>
      <c r="F974">
        <v>200.45000000000002</v>
      </c>
      <c r="G974" t="s">
        <v>1437</v>
      </c>
      <c r="H974">
        <f>_xlfn.XLOOKUP(E974,K:K,L:L)</f>
        <v>11</v>
      </c>
    </row>
    <row r="975" spans="1:8" x14ac:dyDescent="0.3">
      <c r="A975" t="s">
        <v>92</v>
      </c>
      <c r="B975">
        <v>20382056681</v>
      </c>
      <c r="C975" t="s">
        <v>1114</v>
      </c>
      <c r="D975" t="s">
        <v>1115</v>
      </c>
      <c r="E975" s="1">
        <v>45950</v>
      </c>
      <c r="F975">
        <v>689.01</v>
      </c>
      <c r="G975" t="s">
        <v>1437</v>
      </c>
      <c r="H975">
        <f>_xlfn.XLOOKUP(E975,K:K,L:L)</f>
        <v>11</v>
      </c>
    </row>
    <row r="976" spans="1:8" x14ac:dyDescent="0.3">
      <c r="A976" t="s">
        <v>92</v>
      </c>
      <c r="B976">
        <v>20606745673</v>
      </c>
      <c r="C976" t="s">
        <v>1116</v>
      </c>
      <c r="D976" t="s">
        <v>18</v>
      </c>
      <c r="E976" s="1">
        <v>45950</v>
      </c>
      <c r="F976">
        <v>134.9</v>
      </c>
      <c r="G976" t="s">
        <v>1437</v>
      </c>
      <c r="H976">
        <f>_xlfn.XLOOKUP(E976,K:K,L:L)</f>
        <v>11</v>
      </c>
    </row>
    <row r="977" spans="1:8" x14ac:dyDescent="0.3">
      <c r="A977" t="s">
        <v>6</v>
      </c>
      <c r="B977">
        <v>20603647263</v>
      </c>
      <c r="C977" t="s">
        <v>1117</v>
      </c>
      <c r="D977" t="s">
        <v>715</v>
      </c>
      <c r="E977" s="1">
        <v>45950</v>
      </c>
      <c r="F977">
        <v>74.3</v>
      </c>
      <c r="G977" t="s">
        <v>1437</v>
      </c>
      <c r="H977">
        <f>_xlfn.XLOOKUP(E977,K:K,L:L)</f>
        <v>11</v>
      </c>
    </row>
    <row r="978" spans="1:8" x14ac:dyDescent="0.3">
      <c r="A978" t="s">
        <v>6</v>
      </c>
      <c r="B978">
        <v>20545463190</v>
      </c>
      <c r="C978" t="s">
        <v>1118</v>
      </c>
      <c r="D978" t="s">
        <v>1119</v>
      </c>
      <c r="E978" s="1">
        <v>45950</v>
      </c>
      <c r="F978">
        <v>2404.46</v>
      </c>
      <c r="G978" t="s">
        <v>1437</v>
      </c>
      <c r="H978">
        <f>_xlfn.XLOOKUP(E978,K:K,L:L)</f>
        <v>11</v>
      </c>
    </row>
    <row r="979" spans="1:8" x14ac:dyDescent="0.3">
      <c r="A979" t="s">
        <v>6</v>
      </c>
      <c r="B979">
        <v>20552777965</v>
      </c>
      <c r="C979" t="s">
        <v>1120</v>
      </c>
      <c r="D979" t="s">
        <v>1121</v>
      </c>
      <c r="E979" s="1">
        <v>45950</v>
      </c>
      <c r="F979">
        <v>315.82</v>
      </c>
      <c r="G979" t="s">
        <v>1437</v>
      </c>
      <c r="H979">
        <f>_xlfn.XLOOKUP(E979,K:K,L:L)</f>
        <v>11</v>
      </c>
    </row>
    <row r="980" spans="1:8" x14ac:dyDescent="0.3">
      <c r="A980" t="s">
        <v>93</v>
      </c>
      <c r="B980">
        <v>20612127213</v>
      </c>
      <c r="C980" t="s">
        <v>1122</v>
      </c>
      <c r="D980" t="s">
        <v>473</v>
      </c>
      <c r="E980" s="1">
        <v>45950</v>
      </c>
      <c r="F980">
        <v>318.17999999999995</v>
      </c>
      <c r="G980" t="s">
        <v>1437</v>
      </c>
      <c r="H980">
        <f>_xlfn.XLOOKUP(E980,K:K,L:L)</f>
        <v>11</v>
      </c>
    </row>
    <row r="981" spans="1:8" x14ac:dyDescent="0.3">
      <c r="A981" t="s">
        <v>93</v>
      </c>
      <c r="B981">
        <v>20604741450</v>
      </c>
      <c r="C981" t="s">
        <v>1123</v>
      </c>
      <c r="D981" t="s">
        <v>328</v>
      </c>
      <c r="E981" s="1">
        <v>45950</v>
      </c>
      <c r="F981">
        <v>592.70000000000005</v>
      </c>
      <c r="G981" t="s">
        <v>1437</v>
      </c>
      <c r="H981">
        <f>_xlfn.XLOOKUP(E981,K:K,L:L)</f>
        <v>11</v>
      </c>
    </row>
    <row r="982" spans="1:8" x14ac:dyDescent="0.3">
      <c r="A982" t="s">
        <v>875</v>
      </c>
      <c r="B982">
        <v>20494424089</v>
      </c>
      <c r="C982" t="s">
        <v>1124</v>
      </c>
      <c r="D982" t="s">
        <v>1125</v>
      </c>
      <c r="E982" s="1">
        <v>45950</v>
      </c>
      <c r="F982">
        <v>4067.8100000000004</v>
      </c>
      <c r="G982" t="s">
        <v>1437</v>
      </c>
      <c r="H982">
        <f>_xlfn.XLOOKUP(E982,K:K,L:L)</f>
        <v>11</v>
      </c>
    </row>
    <row r="983" spans="1:8" x14ac:dyDescent="0.3">
      <c r="A983" t="s">
        <v>92</v>
      </c>
      <c r="B983">
        <v>10425490741</v>
      </c>
      <c r="C983" t="s">
        <v>1126</v>
      </c>
      <c r="D983" t="s">
        <v>713</v>
      </c>
      <c r="E983" s="1">
        <v>45951</v>
      </c>
      <c r="F983">
        <v>433.59000000000003</v>
      </c>
      <c r="G983" t="s">
        <v>1437</v>
      </c>
      <c r="H983">
        <f>_xlfn.XLOOKUP(E983,K:K,L:L)</f>
        <v>12</v>
      </c>
    </row>
    <row r="984" spans="1:8" x14ac:dyDescent="0.3">
      <c r="A984" t="s">
        <v>92</v>
      </c>
      <c r="B984">
        <v>20527677506</v>
      </c>
      <c r="C984" t="s">
        <v>1127</v>
      </c>
      <c r="D984" t="s">
        <v>715</v>
      </c>
      <c r="E984" s="1">
        <v>45951</v>
      </c>
      <c r="F984">
        <v>328.59000000000003</v>
      </c>
      <c r="G984" t="s">
        <v>1437</v>
      </c>
      <c r="H984">
        <f>_xlfn.XLOOKUP(E984,K:K,L:L)</f>
        <v>12</v>
      </c>
    </row>
    <row r="985" spans="1:8" x14ac:dyDescent="0.3">
      <c r="A985" t="s">
        <v>92</v>
      </c>
      <c r="B985">
        <v>20537411857</v>
      </c>
      <c r="C985" t="s">
        <v>1128</v>
      </c>
      <c r="D985" t="s">
        <v>711</v>
      </c>
      <c r="E985" s="1">
        <v>45951</v>
      </c>
      <c r="F985">
        <v>1031</v>
      </c>
      <c r="G985" t="s">
        <v>1437</v>
      </c>
      <c r="H985">
        <f>_xlfn.XLOOKUP(E985,K:K,L:L)</f>
        <v>12</v>
      </c>
    </row>
    <row r="986" spans="1:8" x14ac:dyDescent="0.3">
      <c r="A986" t="s">
        <v>92</v>
      </c>
      <c r="B986">
        <v>20600637755</v>
      </c>
      <c r="C986" t="s">
        <v>1129</v>
      </c>
      <c r="D986" t="s">
        <v>715</v>
      </c>
      <c r="E986" s="1">
        <v>45951</v>
      </c>
      <c r="F986">
        <v>358.91</v>
      </c>
      <c r="G986" t="s">
        <v>1437</v>
      </c>
      <c r="H986">
        <f>_xlfn.XLOOKUP(E986,K:K,L:L)</f>
        <v>12</v>
      </c>
    </row>
    <row r="987" spans="1:8" x14ac:dyDescent="0.3">
      <c r="A987" t="s">
        <v>92</v>
      </c>
      <c r="B987">
        <v>20601127742</v>
      </c>
      <c r="C987" t="s">
        <v>1130</v>
      </c>
      <c r="D987" t="s">
        <v>715</v>
      </c>
      <c r="E987" s="1">
        <v>45951</v>
      </c>
      <c r="F987">
        <v>681.48</v>
      </c>
      <c r="G987" t="s">
        <v>1437</v>
      </c>
      <c r="H987">
        <f>_xlfn.XLOOKUP(E987,K:K,L:L)</f>
        <v>12</v>
      </c>
    </row>
    <row r="988" spans="1:8" x14ac:dyDescent="0.3">
      <c r="A988" t="s">
        <v>92</v>
      </c>
      <c r="B988">
        <v>20601183731</v>
      </c>
      <c r="C988" t="s">
        <v>1131</v>
      </c>
      <c r="D988" t="s">
        <v>715</v>
      </c>
      <c r="E988" s="1">
        <v>45951</v>
      </c>
      <c r="F988">
        <v>239.63</v>
      </c>
      <c r="G988" t="s">
        <v>1437</v>
      </c>
      <c r="H988">
        <f>_xlfn.XLOOKUP(E988,K:K,L:L)</f>
        <v>12</v>
      </c>
    </row>
    <row r="989" spans="1:8" x14ac:dyDescent="0.3">
      <c r="A989" t="s">
        <v>92</v>
      </c>
      <c r="B989">
        <v>20602960995</v>
      </c>
      <c r="C989" t="s">
        <v>1132</v>
      </c>
      <c r="D989" t="s">
        <v>715</v>
      </c>
      <c r="E989" s="1">
        <v>45951</v>
      </c>
      <c r="F989">
        <v>561.17000000000007</v>
      </c>
      <c r="G989" t="s">
        <v>1437</v>
      </c>
      <c r="H989">
        <f>_xlfn.XLOOKUP(E989,K:K,L:L)</f>
        <v>12</v>
      </c>
    </row>
    <row r="990" spans="1:8" x14ac:dyDescent="0.3">
      <c r="A990" t="s">
        <v>92</v>
      </c>
      <c r="B990">
        <v>20605224688</v>
      </c>
      <c r="C990" t="s">
        <v>1133</v>
      </c>
      <c r="D990" t="s">
        <v>1134</v>
      </c>
      <c r="E990" s="1">
        <v>45951</v>
      </c>
      <c r="F990">
        <v>530.23</v>
      </c>
      <c r="G990" t="s">
        <v>1437</v>
      </c>
      <c r="H990">
        <f>_xlfn.XLOOKUP(E990,K:K,L:L)</f>
        <v>12</v>
      </c>
    </row>
    <row r="991" spans="1:8" x14ac:dyDescent="0.3">
      <c r="A991" t="s">
        <v>92</v>
      </c>
      <c r="B991">
        <v>20605495762</v>
      </c>
      <c r="C991" t="s">
        <v>1135</v>
      </c>
      <c r="D991" t="s">
        <v>711</v>
      </c>
      <c r="E991" s="1">
        <v>45951</v>
      </c>
      <c r="F991">
        <v>300.94</v>
      </c>
      <c r="G991" t="s">
        <v>1437</v>
      </c>
      <c r="H991">
        <f>_xlfn.XLOOKUP(E991,K:K,L:L)</f>
        <v>12</v>
      </c>
    </row>
    <row r="992" spans="1:8" x14ac:dyDescent="0.3">
      <c r="A992" t="s">
        <v>92</v>
      </c>
      <c r="B992">
        <v>20609204771</v>
      </c>
      <c r="C992" t="s">
        <v>1136</v>
      </c>
      <c r="D992" t="s">
        <v>715</v>
      </c>
      <c r="E992" s="1">
        <v>45951</v>
      </c>
      <c r="F992">
        <v>278.89</v>
      </c>
      <c r="G992" t="s">
        <v>1437</v>
      </c>
      <c r="H992">
        <f>_xlfn.XLOOKUP(E992,K:K,L:L)</f>
        <v>12</v>
      </c>
    </row>
    <row r="993" spans="1:8" x14ac:dyDescent="0.3">
      <c r="A993" t="s">
        <v>92</v>
      </c>
      <c r="B993">
        <v>20609205521</v>
      </c>
      <c r="C993" t="s">
        <v>1137</v>
      </c>
      <c r="D993" t="s">
        <v>715</v>
      </c>
      <c r="E993" s="1">
        <v>45951</v>
      </c>
      <c r="F993">
        <v>259.7</v>
      </c>
      <c r="G993" t="s">
        <v>1437</v>
      </c>
      <c r="H993">
        <f>_xlfn.XLOOKUP(E993,K:K,L:L)</f>
        <v>12</v>
      </c>
    </row>
    <row r="994" spans="1:8" x14ac:dyDescent="0.3">
      <c r="A994" t="s">
        <v>92</v>
      </c>
      <c r="B994">
        <v>20611989611</v>
      </c>
      <c r="C994" t="s">
        <v>1138</v>
      </c>
      <c r="D994" t="s">
        <v>715</v>
      </c>
      <c r="E994" s="1">
        <v>45951</v>
      </c>
      <c r="F994">
        <v>307.44</v>
      </c>
      <c r="G994" t="s">
        <v>1437</v>
      </c>
      <c r="H994">
        <f>_xlfn.XLOOKUP(E994,K:K,L:L)</f>
        <v>12</v>
      </c>
    </row>
    <row r="995" spans="1:8" x14ac:dyDescent="0.3">
      <c r="A995" t="s">
        <v>92</v>
      </c>
      <c r="B995">
        <v>20612976571</v>
      </c>
      <c r="C995" t="s">
        <v>1139</v>
      </c>
      <c r="D995" t="s">
        <v>715</v>
      </c>
      <c r="E995" s="1">
        <v>45951</v>
      </c>
      <c r="F995">
        <v>1199.1100000000001</v>
      </c>
      <c r="G995" t="s">
        <v>1437</v>
      </c>
      <c r="H995">
        <f>_xlfn.XLOOKUP(E995,K:K,L:L)</f>
        <v>12</v>
      </c>
    </row>
    <row r="996" spans="1:8" x14ac:dyDescent="0.3">
      <c r="A996" t="s">
        <v>92</v>
      </c>
      <c r="B996">
        <v>20601283744</v>
      </c>
      <c r="C996" t="s">
        <v>1140</v>
      </c>
      <c r="D996" t="s">
        <v>7</v>
      </c>
      <c r="E996" s="1">
        <v>45951</v>
      </c>
      <c r="F996">
        <v>855.48</v>
      </c>
      <c r="G996" t="s">
        <v>1437</v>
      </c>
      <c r="H996">
        <f>_xlfn.XLOOKUP(E996,K:K,L:L)</f>
        <v>12</v>
      </c>
    </row>
    <row r="997" spans="1:8" x14ac:dyDescent="0.3">
      <c r="A997" t="s">
        <v>92</v>
      </c>
      <c r="B997">
        <v>20604284032</v>
      </c>
      <c r="C997" t="s">
        <v>1141</v>
      </c>
      <c r="D997" t="s">
        <v>1142</v>
      </c>
      <c r="E997" s="1">
        <v>45951</v>
      </c>
      <c r="F997">
        <v>3430.0299999999997</v>
      </c>
      <c r="G997" t="s">
        <v>1437</v>
      </c>
      <c r="H997">
        <f>_xlfn.XLOOKUP(E997,K:K,L:L)</f>
        <v>12</v>
      </c>
    </row>
    <row r="998" spans="1:8" x14ac:dyDescent="0.3">
      <c r="A998" t="s">
        <v>92</v>
      </c>
      <c r="B998">
        <v>20611343028</v>
      </c>
      <c r="C998" t="s">
        <v>1143</v>
      </c>
      <c r="D998" t="s">
        <v>27</v>
      </c>
      <c r="E998" s="1">
        <v>45951</v>
      </c>
      <c r="F998">
        <v>635.98</v>
      </c>
      <c r="G998" t="s">
        <v>1437</v>
      </c>
      <c r="H998">
        <f>_xlfn.XLOOKUP(E998,K:K,L:L)</f>
        <v>12</v>
      </c>
    </row>
    <row r="999" spans="1:8" x14ac:dyDescent="0.3">
      <c r="A999" t="s">
        <v>92</v>
      </c>
      <c r="B999">
        <v>20613438239</v>
      </c>
      <c r="C999" t="s">
        <v>1144</v>
      </c>
      <c r="D999" t="s">
        <v>116</v>
      </c>
      <c r="E999" s="1">
        <v>45951</v>
      </c>
      <c r="F999">
        <v>1109.81</v>
      </c>
      <c r="G999" t="s">
        <v>1437</v>
      </c>
      <c r="H999">
        <f>_xlfn.XLOOKUP(E999,K:K,L:L)</f>
        <v>12</v>
      </c>
    </row>
    <row r="1000" spans="1:8" x14ac:dyDescent="0.3">
      <c r="A1000" t="s">
        <v>6</v>
      </c>
      <c r="B1000">
        <v>20608192523</v>
      </c>
      <c r="C1000" t="s">
        <v>1145</v>
      </c>
      <c r="D1000" t="s">
        <v>743</v>
      </c>
      <c r="E1000" s="1">
        <v>45951</v>
      </c>
      <c r="F1000">
        <v>261.59000000000003</v>
      </c>
      <c r="G1000" t="s">
        <v>1437</v>
      </c>
      <c r="H1000">
        <f>_xlfn.XLOOKUP(E1000,K:K,L:L)</f>
        <v>12</v>
      </c>
    </row>
    <row r="1001" spans="1:8" x14ac:dyDescent="0.3">
      <c r="A1001" t="s">
        <v>93</v>
      </c>
      <c r="B1001">
        <v>20603950195</v>
      </c>
      <c r="C1001" t="s">
        <v>1146</v>
      </c>
      <c r="D1001" t="s">
        <v>473</v>
      </c>
      <c r="E1001" s="1">
        <v>45951</v>
      </c>
      <c r="F1001">
        <v>68.03</v>
      </c>
      <c r="G1001" t="s">
        <v>1437</v>
      </c>
      <c r="H1001">
        <f>_xlfn.XLOOKUP(E1001,K:K,L:L)</f>
        <v>12</v>
      </c>
    </row>
    <row r="1002" spans="1:8" x14ac:dyDescent="0.3">
      <c r="A1002" t="s">
        <v>93</v>
      </c>
      <c r="B1002">
        <v>20477398457</v>
      </c>
      <c r="C1002" t="s">
        <v>1147</v>
      </c>
      <c r="D1002" t="s">
        <v>546</v>
      </c>
      <c r="E1002" s="1">
        <v>45951</v>
      </c>
      <c r="F1002">
        <v>133.42000000000002</v>
      </c>
      <c r="G1002" t="s">
        <v>1437</v>
      </c>
      <c r="H1002">
        <f>_xlfn.XLOOKUP(E1002,K:K,L:L)</f>
        <v>12</v>
      </c>
    </row>
    <row r="1003" spans="1:8" x14ac:dyDescent="0.3">
      <c r="A1003" t="s">
        <v>93</v>
      </c>
      <c r="B1003">
        <v>20552992181</v>
      </c>
      <c r="C1003" t="s">
        <v>1148</v>
      </c>
      <c r="D1003" t="s">
        <v>1149</v>
      </c>
      <c r="E1003" s="1">
        <v>45951</v>
      </c>
      <c r="F1003">
        <v>458.39</v>
      </c>
      <c r="G1003" t="s">
        <v>1437</v>
      </c>
      <c r="H1003">
        <f>_xlfn.XLOOKUP(E1003,K:K,L:L)</f>
        <v>12</v>
      </c>
    </row>
    <row r="1004" spans="1:8" x14ac:dyDescent="0.3">
      <c r="A1004" t="s">
        <v>875</v>
      </c>
      <c r="B1004">
        <v>20509793779</v>
      </c>
      <c r="C1004" t="s">
        <v>1150</v>
      </c>
      <c r="D1004" t="s">
        <v>1151</v>
      </c>
      <c r="E1004" s="1">
        <v>45951</v>
      </c>
      <c r="F1004">
        <v>3253.6299999999997</v>
      </c>
      <c r="G1004" t="s">
        <v>1437</v>
      </c>
      <c r="H1004">
        <f>_xlfn.XLOOKUP(E1004,K:K,L:L)</f>
        <v>12</v>
      </c>
    </row>
    <row r="1005" spans="1:8" x14ac:dyDescent="0.3">
      <c r="A1005" t="s">
        <v>92</v>
      </c>
      <c r="B1005">
        <v>10417928958</v>
      </c>
      <c r="C1005" t="s">
        <v>1152</v>
      </c>
      <c r="D1005" t="s">
        <v>720</v>
      </c>
      <c r="E1005" s="1">
        <v>45952</v>
      </c>
      <c r="F1005">
        <v>799.02</v>
      </c>
      <c r="G1005" t="s">
        <v>1437</v>
      </c>
      <c r="H1005">
        <f>_xlfn.XLOOKUP(E1005,K:K,L:L)</f>
        <v>13</v>
      </c>
    </row>
    <row r="1006" spans="1:8" x14ac:dyDescent="0.3">
      <c r="A1006" t="s">
        <v>92</v>
      </c>
      <c r="B1006">
        <v>20601349559</v>
      </c>
      <c r="C1006" t="s">
        <v>1153</v>
      </c>
      <c r="D1006" t="s">
        <v>711</v>
      </c>
      <c r="E1006" s="1">
        <v>45952</v>
      </c>
      <c r="F1006">
        <v>698.87000000000012</v>
      </c>
      <c r="G1006" t="s">
        <v>1437</v>
      </c>
      <c r="H1006">
        <f>_xlfn.XLOOKUP(E1006,K:K,L:L)</f>
        <v>13</v>
      </c>
    </row>
    <row r="1007" spans="1:8" x14ac:dyDescent="0.3">
      <c r="A1007" t="s">
        <v>92</v>
      </c>
      <c r="B1007">
        <v>20611443057</v>
      </c>
      <c r="C1007" t="s">
        <v>1154</v>
      </c>
      <c r="D1007" t="s">
        <v>715</v>
      </c>
      <c r="E1007" s="1">
        <v>45952</v>
      </c>
      <c r="F1007">
        <v>691.75</v>
      </c>
      <c r="G1007" t="s">
        <v>1437</v>
      </c>
      <c r="H1007">
        <f>_xlfn.XLOOKUP(E1007,K:K,L:L)</f>
        <v>13</v>
      </c>
    </row>
    <row r="1008" spans="1:8" x14ac:dyDescent="0.3">
      <c r="A1008" t="s">
        <v>92</v>
      </c>
      <c r="B1008">
        <v>20613076205</v>
      </c>
      <c r="C1008" t="s">
        <v>1155</v>
      </c>
      <c r="D1008" t="s">
        <v>715</v>
      </c>
      <c r="E1008" s="1">
        <v>45952</v>
      </c>
      <c r="F1008">
        <v>130.28</v>
      </c>
      <c r="G1008" t="s">
        <v>1437</v>
      </c>
      <c r="H1008">
        <f>_xlfn.XLOOKUP(E1008,K:K,L:L)</f>
        <v>13</v>
      </c>
    </row>
    <row r="1009" spans="1:8" x14ac:dyDescent="0.3">
      <c r="A1009" t="s">
        <v>92</v>
      </c>
      <c r="B1009">
        <v>20450461173</v>
      </c>
      <c r="C1009" t="s">
        <v>1156</v>
      </c>
      <c r="D1009" t="s">
        <v>7</v>
      </c>
      <c r="E1009" s="1">
        <v>45952</v>
      </c>
      <c r="F1009">
        <v>131.44</v>
      </c>
      <c r="G1009" t="s">
        <v>1437</v>
      </c>
      <c r="H1009">
        <f>_xlfn.XLOOKUP(E1009,K:K,L:L)</f>
        <v>13</v>
      </c>
    </row>
    <row r="1010" spans="1:8" x14ac:dyDescent="0.3">
      <c r="A1010" t="s">
        <v>92</v>
      </c>
      <c r="B1010">
        <v>20380639522</v>
      </c>
      <c r="C1010" t="s">
        <v>1157</v>
      </c>
      <c r="D1010" t="s">
        <v>119</v>
      </c>
      <c r="E1010" s="1">
        <v>45952</v>
      </c>
      <c r="F1010">
        <v>599.48</v>
      </c>
      <c r="G1010" t="s">
        <v>1437</v>
      </c>
      <c r="H1010">
        <f>_xlfn.XLOOKUP(E1010,K:K,L:L)</f>
        <v>13</v>
      </c>
    </row>
    <row r="1011" spans="1:8" x14ac:dyDescent="0.3">
      <c r="A1011" t="s">
        <v>92</v>
      </c>
      <c r="B1011">
        <v>10224807886</v>
      </c>
      <c r="C1011" t="s">
        <v>1158</v>
      </c>
      <c r="D1011" t="s">
        <v>715</v>
      </c>
      <c r="E1011" s="1">
        <v>45952</v>
      </c>
      <c r="F1011">
        <v>278.89</v>
      </c>
      <c r="G1011" t="s">
        <v>1437</v>
      </c>
      <c r="H1011">
        <f>_xlfn.XLOOKUP(E1011,K:K,L:L)</f>
        <v>13</v>
      </c>
    </row>
    <row r="1012" spans="1:8" x14ac:dyDescent="0.3">
      <c r="A1012" t="s">
        <v>92</v>
      </c>
      <c r="B1012">
        <v>10465081517</v>
      </c>
      <c r="C1012" t="s">
        <v>1159</v>
      </c>
      <c r="D1012" t="s">
        <v>715</v>
      </c>
      <c r="E1012" s="1">
        <v>45952</v>
      </c>
      <c r="F1012">
        <v>130.58000000000001</v>
      </c>
      <c r="G1012" t="s">
        <v>1437</v>
      </c>
      <c r="H1012">
        <f>_xlfn.XLOOKUP(E1012,K:K,L:L)</f>
        <v>13</v>
      </c>
    </row>
    <row r="1013" spans="1:8" x14ac:dyDescent="0.3">
      <c r="A1013" t="s">
        <v>92</v>
      </c>
      <c r="B1013">
        <v>20493051416</v>
      </c>
      <c r="C1013" t="s">
        <v>1160</v>
      </c>
      <c r="D1013" t="s">
        <v>713</v>
      </c>
      <c r="E1013" s="1">
        <v>45952</v>
      </c>
      <c r="F1013">
        <v>394.32000000000005</v>
      </c>
      <c r="G1013" t="s">
        <v>1437</v>
      </c>
      <c r="H1013">
        <f>_xlfn.XLOOKUP(E1013,K:K,L:L)</f>
        <v>13</v>
      </c>
    </row>
    <row r="1014" spans="1:8" x14ac:dyDescent="0.3">
      <c r="A1014" t="s">
        <v>92</v>
      </c>
      <c r="B1014">
        <v>20522880371</v>
      </c>
      <c r="C1014" t="s">
        <v>1161</v>
      </c>
      <c r="D1014" t="s">
        <v>715</v>
      </c>
      <c r="E1014" s="1">
        <v>45952</v>
      </c>
      <c r="F1014">
        <v>342.70000000000005</v>
      </c>
      <c r="G1014" t="s">
        <v>1437</v>
      </c>
      <c r="H1014">
        <f>_xlfn.XLOOKUP(E1014,K:K,L:L)</f>
        <v>13</v>
      </c>
    </row>
    <row r="1015" spans="1:8" x14ac:dyDescent="0.3">
      <c r="A1015" t="s">
        <v>92</v>
      </c>
      <c r="B1015">
        <v>20543455939</v>
      </c>
      <c r="C1015" t="s">
        <v>1162</v>
      </c>
      <c r="D1015" t="s">
        <v>715</v>
      </c>
      <c r="E1015" s="1">
        <v>45952</v>
      </c>
      <c r="F1015">
        <v>634.1</v>
      </c>
      <c r="G1015" t="s">
        <v>1437</v>
      </c>
      <c r="H1015">
        <f>_xlfn.XLOOKUP(E1015,K:K,L:L)</f>
        <v>13</v>
      </c>
    </row>
    <row r="1016" spans="1:8" x14ac:dyDescent="0.3">
      <c r="A1016" t="s">
        <v>92</v>
      </c>
      <c r="B1016">
        <v>20564084281</v>
      </c>
      <c r="C1016" t="s">
        <v>1163</v>
      </c>
      <c r="D1016" t="s">
        <v>713</v>
      </c>
      <c r="E1016" s="1">
        <v>45952</v>
      </c>
      <c r="F1016">
        <v>394.32000000000005</v>
      </c>
      <c r="G1016" t="s">
        <v>1437</v>
      </c>
      <c r="H1016">
        <f>_xlfn.XLOOKUP(E1016,K:K,L:L)</f>
        <v>13</v>
      </c>
    </row>
    <row r="1017" spans="1:8" x14ac:dyDescent="0.3">
      <c r="A1017" t="s">
        <v>92</v>
      </c>
      <c r="B1017">
        <v>20602287051</v>
      </c>
      <c r="C1017" t="s">
        <v>1164</v>
      </c>
      <c r="D1017" t="s">
        <v>711</v>
      </c>
      <c r="E1017" s="1">
        <v>45952</v>
      </c>
      <c r="F1017">
        <v>261.72000000000003</v>
      </c>
      <c r="G1017" t="s">
        <v>1437</v>
      </c>
      <c r="H1017">
        <f>_xlfn.XLOOKUP(E1017,K:K,L:L)</f>
        <v>13</v>
      </c>
    </row>
    <row r="1018" spans="1:8" x14ac:dyDescent="0.3">
      <c r="A1018" t="s">
        <v>92</v>
      </c>
      <c r="B1018">
        <v>20602578403</v>
      </c>
      <c r="C1018" t="s">
        <v>1165</v>
      </c>
      <c r="D1018" t="s">
        <v>711</v>
      </c>
      <c r="E1018" s="1">
        <v>45952</v>
      </c>
      <c r="F1018">
        <v>463.21000000000004</v>
      </c>
      <c r="G1018" t="s">
        <v>1437</v>
      </c>
      <c r="H1018">
        <f>_xlfn.XLOOKUP(E1018,K:K,L:L)</f>
        <v>13</v>
      </c>
    </row>
    <row r="1019" spans="1:8" x14ac:dyDescent="0.3">
      <c r="A1019" t="s">
        <v>92</v>
      </c>
      <c r="B1019">
        <v>20610389423</v>
      </c>
      <c r="C1019" t="s">
        <v>1166</v>
      </c>
      <c r="D1019" t="s">
        <v>715</v>
      </c>
      <c r="E1019" s="1">
        <v>45952</v>
      </c>
      <c r="F1019">
        <v>288.23</v>
      </c>
      <c r="G1019" t="s">
        <v>1437</v>
      </c>
      <c r="H1019">
        <f>_xlfn.XLOOKUP(E1019,K:K,L:L)</f>
        <v>13</v>
      </c>
    </row>
    <row r="1020" spans="1:8" x14ac:dyDescent="0.3">
      <c r="A1020" t="s">
        <v>92</v>
      </c>
      <c r="B1020">
        <v>20613649116</v>
      </c>
      <c r="C1020" t="s">
        <v>1167</v>
      </c>
      <c r="D1020" t="s">
        <v>715</v>
      </c>
      <c r="E1020" s="1">
        <v>45952</v>
      </c>
      <c r="F1020">
        <v>223.12</v>
      </c>
      <c r="G1020" t="s">
        <v>1437</v>
      </c>
      <c r="H1020">
        <f>_xlfn.XLOOKUP(E1020,K:K,L:L)</f>
        <v>13</v>
      </c>
    </row>
    <row r="1021" spans="1:8" x14ac:dyDescent="0.3">
      <c r="A1021" t="s">
        <v>92</v>
      </c>
      <c r="B1021">
        <v>20614168014</v>
      </c>
      <c r="C1021" t="s">
        <v>1168</v>
      </c>
      <c r="D1021" t="s">
        <v>713</v>
      </c>
      <c r="E1021" s="1">
        <v>45952</v>
      </c>
      <c r="F1021">
        <v>394.32000000000005</v>
      </c>
      <c r="G1021" t="s">
        <v>1437</v>
      </c>
      <c r="H1021">
        <f>_xlfn.XLOOKUP(E1021,K:K,L:L)</f>
        <v>13</v>
      </c>
    </row>
    <row r="1022" spans="1:8" x14ac:dyDescent="0.3">
      <c r="A1022" t="s">
        <v>92</v>
      </c>
      <c r="B1022">
        <v>20602229115</v>
      </c>
      <c r="C1022" t="s">
        <v>1169</v>
      </c>
      <c r="D1022" t="s">
        <v>7</v>
      </c>
      <c r="E1022" s="1">
        <v>45952</v>
      </c>
      <c r="F1022">
        <v>281.37</v>
      </c>
      <c r="G1022" t="s">
        <v>1437</v>
      </c>
      <c r="H1022">
        <f>_xlfn.XLOOKUP(E1022,K:K,L:L)</f>
        <v>13</v>
      </c>
    </row>
    <row r="1023" spans="1:8" x14ac:dyDescent="0.3">
      <c r="A1023" t="s">
        <v>92</v>
      </c>
      <c r="B1023">
        <v>20610765387</v>
      </c>
      <c r="C1023" t="s">
        <v>1170</v>
      </c>
      <c r="D1023" t="s">
        <v>27</v>
      </c>
      <c r="E1023" s="1">
        <v>45952</v>
      </c>
      <c r="F1023">
        <v>306.78999999999996</v>
      </c>
      <c r="G1023" t="s">
        <v>1437</v>
      </c>
      <c r="H1023">
        <f>_xlfn.XLOOKUP(E1023,K:K,L:L)</f>
        <v>13</v>
      </c>
    </row>
    <row r="1024" spans="1:8" x14ac:dyDescent="0.3">
      <c r="A1024" t="s">
        <v>93</v>
      </c>
      <c r="B1024">
        <v>20601760461</v>
      </c>
      <c r="C1024" t="s">
        <v>1171</v>
      </c>
      <c r="D1024" t="s">
        <v>412</v>
      </c>
      <c r="E1024" s="1">
        <v>45952</v>
      </c>
      <c r="F1024">
        <v>449.40999999999997</v>
      </c>
      <c r="G1024" t="s">
        <v>1437</v>
      </c>
      <c r="H1024">
        <f>_xlfn.XLOOKUP(E1024,K:K,L:L)</f>
        <v>13</v>
      </c>
    </row>
    <row r="1025" spans="1:8" x14ac:dyDescent="0.3">
      <c r="A1025" t="s">
        <v>93</v>
      </c>
      <c r="B1025">
        <v>20478122081</v>
      </c>
      <c r="C1025" t="s">
        <v>1172</v>
      </c>
      <c r="D1025" t="s">
        <v>1173</v>
      </c>
      <c r="E1025" s="1">
        <v>45952</v>
      </c>
      <c r="F1025">
        <v>637.56999999999994</v>
      </c>
      <c r="G1025" t="s">
        <v>1437</v>
      </c>
      <c r="H1025">
        <f>_xlfn.XLOOKUP(E1025,K:K,L:L)</f>
        <v>13</v>
      </c>
    </row>
    <row r="1026" spans="1:8" x14ac:dyDescent="0.3">
      <c r="A1026" t="s">
        <v>93</v>
      </c>
      <c r="B1026">
        <v>20523787960</v>
      </c>
      <c r="C1026" t="s">
        <v>1174</v>
      </c>
      <c r="D1026" t="s">
        <v>1175</v>
      </c>
      <c r="E1026" s="1">
        <v>45952</v>
      </c>
      <c r="F1026">
        <v>327.01</v>
      </c>
      <c r="G1026" t="s">
        <v>1437</v>
      </c>
      <c r="H1026">
        <f>_xlfn.XLOOKUP(E1026,K:K,L:L)</f>
        <v>13</v>
      </c>
    </row>
    <row r="1027" spans="1:8" x14ac:dyDescent="0.3">
      <c r="A1027" t="s">
        <v>93</v>
      </c>
      <c r="B1027">
        <v>20523203721</v>
      </c>
      <c r="C1027" t="s">
        <v>1176</v>
      </c>
      <c r="D1027" t="s">
        <v>1177</v>
      </c>
      <c r="E1027" s="1">
        <v>45952</v>
      </c>
      <c r="F1027">
        <v>297.48</v>
      </c>
      <c r="G1027" t="s">
        <v>1437</v>
      </c>
      <c r="H1027">
        <f>_xlfn.XLOOKUP(E1027,K:K,L:L)</f>
        <v>13</v>
      </c>
    </row>
    <row r="1028" spans="1:8" x14ac:dyDescent="0.3">
      <c r="A1028" t="s">
        <v>92</v>
      </c>
      <c r="B1028">
        <v>15547969437</v>
      </c>
      <c r="C1028" t="s">
        <v>1178</v>
      </c>
      <c r="D1028" t="s">
        <v>715</v>
      </c>
      <c r="E1028" s="1">
        <v>45953</v>
      </c>
      <c r="F1028">
        <v>230.58</v>
      </c>
      <c r="G1028" t="s">
        <v>1437</v>
      </c>
      <c r="H1028">
        <f>_xlfn.XLOOKUP(E1028,K:K,L:L)</f>
        <v>14</v>
      </c>
    </row>
    <row r="1029" spans="1:8" x14ac:dyDescent="0.3">
      <c r="A1029" t="s">
        <v>92</v>
      </c>
      <c r="B1029">
        <v>20192099464</v>
      </c>
      <c r="C1029" t="s">
        <v>1179</v>
      </c>
      <c r="D1029" t="s">
        <v>715</v>
      </c>
      <c r="E1029" s="1">
        <v>45953</v>
      </c>
      <c r="F1029">
        <v>307.26</v>
      </c>
      <c r="G1029" t="s">
        <v>1437</v>
      </c>
      <c r="H1029">
        <f>_xlfn.XLOOKUP(E1029,K:K,L:L)</f>
        <v>14</v>
      </c>
    </row>
    <row r="1030" spans="1:8" x14ac:dyDescent="0.3">
      <c r="A1030" t="s">
        <v>92</v>
      </c>
      <c r="B1030">
        <v>20512791825</v>
      </c>
      <c r="C1030" t="s">
        <v>1180</v>
      </c>
      <c r="D1030" t="s">
        <v>715</v>
      </c>
      <c r="E1030" s="1">
        <v>45953</v>
      </c>
      <c r="F1030">
        <v>964.18</v>
      </c>
      <c r="G1030" t="s">
        <v>1437</v>
      </c>
      <c r="H1030">
        <f>_xlfn.XLOOKUP(E1030,K:K,L:L)</f>
        <v>14</v>
      </c>
    </row>
    <row r="1031" spans="1:8" x14ac:dyDescent="0.3">
      <c r="A1031" t="s">
        <v>92</v>
      </c>
      <c r="B1031">
        <v>20526548311</v>
      </c>
      <c r="C1031" t="s">
        <v>1181</v>
      </c>
      <c r="D1031" t="s">
        <v>715</v>
      </c>
      <c r="E1031" s="1">
        <v>45953</v>
      </c>
      <c r="F1031">
        <v>230.58</v>
      </c>
      <c r="G1031" t="s">
        <v>1437</v>
      </c>
      <c r="H1031">
        <f>_xlfn.XLOOKUP(E1031,K:K,L:L)</f>
        <v>14</v>
      </c>
    </row>
    <row r="1032" spans="1:8" x14ac:dyDescent="0.3">
      <c r="A1032" t="s">
        <v>92</v>
      </c>
      <c r="B1032">
        <v>20556349712</v>
      </c>
      <c r="C1032" t="s">
        <v>1182</v>
      </c>
      <c r="D1032" t="s">
        <v>715</v>
      </c>
      <c r="E1032" s="1">
        <v>45953</v>
      </c>
      <c r="F1032">
        <v>234.14000000000001</v>
      </c>
      <c r="G1032" t="s">
        <v>1437</v>
      </c>
      <c r="H1032">
        <f>_xlfn.XLOOKUP(E1032,K:K,L:L)</f>
        <v>14</v>
      </c>
    </row>
    <row r="1033" spans="1:8" x14ac:dyDescent="0.3">
      <c r="A1033" t="s">
        <v>92</v>
      </c>
      <c r="B1033">
        <v>20600515943</v>
      </c>
      <c r="C1033" t="s">
        <v>1183</v>
      </c>
      <c r="D1033" t="s">
        <v>920</v>
      </c>
      <c r="E1033" s="1">
        <v>45953</v>
      </c>
      <c r="F1033">
        <v>2428.6</v>
      </c>
      <c r="G1033" t="s">
        <v>1437</v>
      </c>
      <c r="H1033">
        <f>_xlfn.XLOOKUP(E1033,K:K,L:L)</f>
        <v>14</v>
      </c>
    </row>
    <row r="1034" spans="1:8" x14ac:dyDescent="0.3">
      <c r="A1034" t="s">
        <v>92</v>
      </c>
      <c r="B1034">
        <v>20600583019</v>
      </c>
      <c r="C1034" t="s">
        <v>1184</v>
      </c>
      <c r="D1034" t="s">
        <v>711</v>
      </c>
      <c r="E1034" s="1">
        <v>45953</v>
      </c>
      <c r="F1034">
        <v>1065.3899999999999</v>
      </c>
      <c r="G1034" t="s">
        <v>1437</v>
      </c>
      <c r="H1034">
        <f>_xlfn.XLOOKUP(E1034,K:K,L:L)</f>
        <v>14</v>
      </c>
    </row>
    <row r="1035" spans="1:8" x14ac:dyDescent="0.3">
      <c r="A1035" t="s">
        <v>92</v>
      </c>
      <c r="B1035">
        <v>20600629477</v>
      </c>
      <c r="C1035" t="s">
        <v>1185</v>
      </c>
      <c r="D1035" t="s">
        <v>715</v>
      </c>
      <c r="E1035" s="1">
        <v>45953</v>
      </c>
      <c r="F1035">
        <v>130.28</v>
      </c>
      <c r="G1035" t="s">
        <v>1437</v>
      </c>
      <c r="H1035">
        <f>_xlfn.XLOOKUP(E1035,K:K,L:L)</f>
        <v>14</v>
      </c>
    </row>
    <row r="1036" spans="1:8" x14ac:dyDescent="0.3">
      <c r="A1036" t="s">
        <v>92</v>
      </c>
      <c r="B1036">
        <v>20600714989</v>
      </c>
      <c r="C1036" t="s">
        <v>1186</v>
      </c>
      <c r="D1036" t="s">
        <v>715</v>
      </c>
      <c r="E1036" s="1">
        <v>45953</v>
      </c>
      <c r="F1036">
        <v>533.81999999999994</v>
      </c>
      <c r="G1036" t="s">
        <v>1437</v>
      </c>
      <c r="H1036">
        <f>_xlfn.XLOOKUP(E1036,K:K,L:L)</f>
        <v>14</v>
      </c>
    </row>
    <row r="1037" spans="1:8" x14ac:dyDescent="0.3">
      <c r="A1037" t="s">
        <v>92</v>
      </c>
      <c r="B1037">
        <v>20602481779</v>
      </c>
      <c r="C1037" t="s">
        <v>1187</v>
      </c>
      <c r="D1037" t="s">
        <v>711</v>
      </c>
      <c r="E1037" s="1">
        <v>45953</v>
      </c>
      <c r="F1037">
        <v>261.72000000000003</v>
      </c>
      <c r="G1037" t="s">
        <v>1437</v>
      </c>
      <c r="H1037">
        <f>_xlfn.XLOOKUP(E1037,K:K,L:L)</f>
        <v>14</v>
      </c>
    </row>
    <row r="1038" spans="1:8" x14ac:dyDescent="0.3">
      <c r="A1038" t="s">
        <v>92</v>
      </c>
      <c r="B1038">
        <v>20602937926</v>
      </c>
      <c r="C1038" t="s">
        <v>1188</v>
      </c>
      <c r="D1038" t="s">
        <v>715</v>
      </c>
      <c r="E1038" s="1">
        <v>45953</v>
      </c>
      <c r="F1038">
        <v>230.58</v>
      </c>
      <c r="G1038" t="s">
        <v>1437</v>
      </c>
      <c r="H1038">
        <f>_xlfn.XLOOKUP(E1038,K:K,L:L)</f>
        <v>14</v>
      </c>
    </row>
    <row r="1039" spans="1:8" x14ac:dyDescent="0.3">
      <c r="A1039" t="s">
        <v>92</v>
      </c>
      <c r="B1039">
        <v>20610339078</v>
      </c>
      <c r="C1039" t="s">
        <v>1189</v>
      </c>
      <c r="D1039" t="s">
        <v>715</v>
      </c>
      <c r="E1039" s="1">
        <v>45953</v>
      </c>
      <c r="F1039">
        <v>585.45000000000005</v>
      </c>
      <c r="G1039" t="s">
        <v>1437</v>
      </c>
      <c r="H1039">
        <f>_xlfn.XLOOKUP(E1039,K:K,L:L)</f>
        <v>14</v>
      </c>
    </row>
    <row r="1040" spans="1:8" x14ac:dyDescent="0.3">
      <c r="A1040" t="s">
        <v>92</v>
      </c>
      <c r="B1040">
        <v>20613470221</v>
      </c>
      <c r="C1040" t="s">
        <v>1190</v>
      </c>
      <c r="D1040" t="s">
        <v>711</v>
      </c>
      <c r="E1040" s="1">
        <v>45953</v>
      </c>
      <c r="F1040">
        <v>370.70000000000005</v>
      </c>
      <c r="G1040" t="s">
        <v>1437</v>
      </c>
      <c r="H1040">
        <f>_xlfn.XLOOKUP(E1040,K:K,L:L)</f>
        <v>14</v>
      </c>
    </row>
    <row r="1041" spans="1:8" x14ac:dyDescent="0.3">
      <c r="A1041" t="s">
        <v>92</v>
      </c>
      <c r="B1041">
        <v>20538760219</v>
      </c>
      <c r="C1041" t="s">
        <v>1191</v>
      </c>
      <c r="D1041" t="s">
        <v>27</v>
      </c>
      <c r="E1041" s="1">
        <v>45953</v>
      </c>
      <c r="F1041">
        <v>393.12</v>
      </c>
      <c r="G1041" t="s">
        <v>1437</v>
      </c>
      <c r="H1041">
        <f>_xlfn.XLOOKUP(E1041,K:K,L:L)</f>
        <v>14</v>
      </c>
    </row>
    <row r="1042" spans="1:8" x14ac:dyDescent="0.3">
      <c r="A1042" t="s">
        <v>92</v>
      </c>
      <c r="B1042">
        <v>20605753478</v>
      </c>
      <c r="C1042" t="s">
        <v>1192</v>
      </c>
      <c r="D1042" t="s">
        <v>7</v>
      </c>
      <c r="E1042" s="1">
        <v>45953</v>
      </c>
      <c r="F1042">
        <v>658.33999999999992</v>
      </c>
      <c r="G1042" t="s">
        <v>1437</v>
      </c>
      <c r="H1042">
        <f>_xlfn.XLOOKUP(E1042,K:K,L:L)</f>
        <v>14</v>
      </c>
    </row>
    <row r="1043" spans="1:8" x14ac:dyDescent="0.3">
      <c r="A1043" t="s">
        <v>92</v>
      </c>
      <c r="B1043">
        <v>20606573228</v>
      </c>
      <c r="C1043" t="s">
        <v>1193</v>
      </c>
      <c r="D1043" t="s">
        <v>743</v>
      </c>
      <c r="E1043" s="1">
        <v>45953</v>
      </c>
      <c r="F1043">
        <v>347.92</v>
      </c>
      <c r="G1043" t="s">
        <v>1437</v>
      </c>
      <c r="H1043">
        <f>_xlfn.XLOOKUP(E1043,K:K,L:L)</f>
        <v>14</v>
      </c>
    </row>
    <row r="1044" spans="1:8" x14ac:dyDescent="0.3">
      <c r="A1044" t="s">
        <v>92</v>
      </c>
      <c r="B1044">
        <v>20602125247</v>
      </c>
      <c r="C1044" t="s">
        <v>1194</v>
      </c>
      <c r="D1044" t="s">
        <v>65</v>
      </c>
      <c r="E1044" s="1">
        <v>45953</v>
      </c>
      <c r="F1044">
        <v>132.6</v>
      </c>
      <c r="G1044" t="s">
        <v>1437</v>
      </c>
      <c r="H1044">
        <f>_xlfn.XLOOKUP(E1044,K:K,L:L)</f>
        <v>14</v>
      </c>
    </row>
    <row r="1045" spans="1:8" x14ac:dyDescent="0.3">
      <c r="A1045" t="s">
        <v>92</v>
      </c>
      <c r="B1045">
        <v>20604443891</v>
      </c>
      <c r="C1045" t="s">
        <v>1195</v>
      </c>
      <c r="D1045" t="s">
        <v>116</v>
      </c>
      <c r="E1045" s="1">
        <v>45953</v>
      </c>
      <c r="F1045">
        <v>822.31000000000006</v>
      </c>
      <c r="G1045" t="s">
        <v>1437</v>
      </c>
      <c r="H1045">
        <f>_xlfn.XLOOKUP(E1045,K:K,L:L)</f>
        <v>14</v>
      </c>
    </row>
    <row r="1046" spans="1:8" x14ac:dyDescent="0.3">
      <c r="A1046" t="s">
        <v>92</v>
      </c>
      <c r="B1046">
        <v>20609877660</v>
      </c>
      <c r="C1046" t="s">
        <v>1196</v>
      </c>
      <c r="D1046" t="s">
        <v>18</v>
      </c>
      <c r="E1046" s="1">
        <v>45953</v>
      </c>
      <c r="F1046">
        <v>620.79999999999995</v>
      </c>
      <c r="G1046" t="s">
        <v>1437</v>
      </c>
      <c r="H1046">
        <f>_xlfn.XLOOKUP(E1046,K:K,L:L)</f>
        <v>14</v>
      </c>
    </row>
    <row r="1047" spans="1:8" x14ac:dyDescent="0.3">
      <c r="A1047" t="s">
        <v>6</v>
      </c>
      <c r="B1047">
        <v>10410626913</v>
      </c>
      <c r="C1047" t="s">
        <v>1197</v>
      </c>
      <c r="D1047" t="s">
        <v>711</v>
      </c>
      <c r="E1047" s="1">
        <v>45953</v>
      </c>
      <c r="F1047">
        <v>298.54000000000002</v>
      </c>
      <c r="G1047" t="s">
        <v>1437</v>
      </c>
      <c r="H1047">
        <f>_xlfn.XLOOKUP(E1047,K:K,L:L)</f>
        <v>14</v>
      </c>
    </row>
    <row r="1048" spans="1:8" x14ac:dyDescent="0.3">
      <c r="A1048" t="s">
        <v>6</v>
      </c>
      <c r="B1048">
        <v>20600614348</v>
      </c>
      <c r="C1048" t="s">
        <v>1198</v>
      </c>
      <c r="D1048" t="s">
        <v>711</v>
      </c>
      <c r="E1048" s="1">
        <v>45953</v>
      </c>
      <c r="F1048">
        <v>2852.6099999999997</v>
      </c>
      <c r="G1048" t="s">
        <v>1437</v>
      </c>
      <c r="H1048">
        <f>_xlfn.XLOOKUP(E1048,K:K,L:L)</f>
        <v>14</v>
      </c>
    </row>
    <row r="1049" spans="1:8" x14ac:dyDescent="0.3">
      <c r="A1049" t="s">
        <v>6</v>
      </c>
      <c r="B1049">
        <v>20609320738</v>
      </c>
      <c r="C1049" t="s">
        <v>1199</v>
      </c>
      <c r="D1049" t="s">
        <v>116</v>
      </c>
      <c r="E1049" s="1">
        <v>45953</v>
      </c>
      <c r="F1049">
        <v>306.61</v>
      </c>
      <c r="G1049" t="s">
        <v>1437</v>
      </c>
      <c r="H1049">
        <f>_xlfn.XLOOKUP(E1049,K:K,L:L)</f>
        <v>14</v>
      </c>
    </row>
    <row r="1050" spans="1:8" x14ac:dyDescent="0.3">
      <c r="A1050" t="s">
        <v>6</v>
      </c>
      <c r="B1050">
        <v>20605037811</v>
      </c>
      <c r="C1050" t="s">
        <v>1200</v>
      </c>
      <c r="D1050" t="s">
        <v>1201</v>
      </c>
      <c r="E1050" s="1">
        <v>45953</v>
      </c>
      <c r="F1050">
        <v>306.66999999999996</v>
      </c>
      <c r="G1050" t="s">
        <v>1437</v>
      </c>
      <c r="H1050">
        <f>_xlfn.XLOOKUP(E1050,K:K,L:L)</f>
        <v>14</v>
      </c>
    </row>
    <row r="1051" spans="1:8" x14ac:dyDescent="0.3">
      <c r="A1051" t="s">
        <v>92</v>
      </c>
      <c r="B1051">
        <v>10722819131</v>
      </c>
      <c r="C1051" t="s">
        <v>1202</v>
      </c>
      <c r="D1051" t="s">
        <v>711</v>
      </c>
      <c r="E1051" s="1">
        <v>45954</v>
      </c>
      <c r="F1051">
        <v>261.85000000000002</v>
      </c>
      <c r="G1051" t="s">
        <v>1437</v>
      </c>
      <c r="H1051">
        <f>_xlfn.XLOOKUP(E1051,K:K,L:L)</f>
        <v>15</v>
      </c>
    </row>
    <row r="1052" spans="1:8" x14ac:dyDescent="0.3">
      <c r="A1052" t="s">
        <v>92</v>
      </c>
      <c r="B1052">
        <v>20195442062</v>
      </c>
      <c r="C1052" t="s">
        <v>1203</v>
      </c>
      <c r="D1052" t="s">
        <v>720</v>
      </c>
      <c r="E1052" s="1">
        <v>45954</v>
      </c>
      <c r="F1052">
        <v>924.41999999999985</v>
      </c>
      <c r="G1052" t="s">
        <v>1437</v>
      </c>
      <c r="H1052">
        <f>_xlfn.XLOOKUP(E1052,K:K,L:L)</f>
        <v>15</v>
      </c>
    </row>
    <row r="1053" spans="1:8" x14ac:dyDescent="0.3">
      <c r="A1053" t="s">
        <v>92</v>
      </c>
      <c r="B1053">
        <v>20479369691</v>
      </c>
      <c r="C1053" t="s">
        <v>1204</v>
      </c>
      <c r="D1053" t="s">
        <v>720</v>
      </c>
      <c r="E1053" s="1">
        <v>45954</v>
      </c>
      <c r="F1053">
        <v>3590.7000000000003</v>
      </c>
      <c r="G1053" t="s">
        <v>1437</v>
      </c>
      <c r="H1053">
        <f>_xlfn.XLOOKUP(E1053,K:K,L:L)</f>
        <v>15</v>
      </c>
    </row>
    <row r="1054" spans="1:8" x14ac:dyDescent="0.3">
      <c r="A1054" t="s">
        <v>92</v>
      </c>
      <c r="B1054">
        <v>20495989390</v>
      </c>
      <c r="C1054" t="s">
        <v>1205</v>
      </c>
      <c r="D1054" t="s">
        <v>711</v>
      </c>
      <c r="E1054" s="1">
        <v>45954</v>
      </c>
      <c r="F1054">
        <v>334.66999999999996</v>
      </c>
      <c r="G1054" t="s">
        <v>1437</v>
      </c>
      <c r="H1054">
        <f>_xlfn.XLOOKUP(E1054,K:K,L:L)</f>
        <v>15</v>
      </c>
    </row>
    <row r="1055" spans="1:8" x14ac:dyDescent="0.3">
      <c r="A1055" t="s">
        <v>92</v>
      </c>
      <c r="B1055">
        <v>20509820334</v>
      </c>
      <c r="C1055" t="s">
        <v>1206</v>
      </c>
      <c r="D1055" t="s">
        <v>715</v>
      </c>
      <c r="E1055" s="1">
        <v>45954</v>
      </c>
      <c r="F1055">
        <v>323.21999999999997</v>
      </c>
      <c r="G1055" t="s">
        <v>1437</v>
      </c>
      <c r="H1055">
        <f>_xlfn.XLOOKUP(E1055,K:K,L:L)</f>
        <v>15</v>
      </c>
    </row>
    <row r="1056" spans="1:8" x14ac:dyDescent="0.3">
      <c r="A1056" t="s">
        <v>92</v>
      </c>
      <c r="B1056">
        <v>20536688286</v>
      </c>
      <c r="C1056" t="s">
        <v>1207</v>
      </c>
      <c r="D1056" t="s">
        <v>715</v>
      </c>
      <c r="E1056" s="1">
        <v>45954</v>
      </c>
      <c r="F1056">
        <v>323.14</v>
      </c>
      <c r="G1056" t="s">
        <v>1437</v>
      </c>
      <c r="H1056">
        <f>_xlfn.XLOOKUP(E1056,K:K,L:L)</f>
        <v>15</v>
      </c>
    </row>
    <row r="1057" spans="1:8" x14ac:dyDescent="0.3">
      <c r="A1057" t="s">
        <v>92</v>
      </c>
      <c r="B1057">
        <v>20600875699</v>
      </c>
      <c r="C1057" t="s">
        <v>1208</v>
      </c>
      <c r="D1057" t="s">
        <v>713</v>
      </c>
      <c r="E1057" s="1">
        <v>45954</v>
      </c>
      <c r="F1057">
        <v>767.33999999999992</v>
      </c>
      <c r="G1057" t="s">
        <v>1437</v>
      </c>
      <c r="H1057">
        <f>_xlfn.XLOOKUP(E1057,K:K,L:L)</f>
        <v>15</v>
      </c>
    </row>
    <row r="1058" spans="1:8" x14ac:dyDescent="0.3">
      <c r="A1058" t="s">
        <v>92</v>
      </c>
      <c r="B1058">
        <v>20601145970</v>
      </c>
      <c r="C1058" t="s">
        <v>1209</v>
      </c>
      <c r="D1058" t="s">
        <v>715</v>
      </c>
      <c r="E1058" s="1">
        <v>45954</v>
      </c>
      <c r="F1058">
        <v>957.2700000000001</v>
      </c>
      <c r="G1058" t="s">
        <v>1437</v>
      </c>
      <c r="H1058">
        <f>_xlfn.XLOOKUP(E1058,K:K,L:L)</f>
        <v>15</v>
      </c>
    </row>
    <row r="1059" spans="1:8" x14ac:dyDescent="0.3">
      <c r="A1059" t="s">
        <v>92</v>
      </c>
      <c r="B1059">
        <v>20602964842</v>
      </c>
      <c r="C1059" t="s">
        <v>1210</v>
      </c>
      <c r="D1059" t="s">
        <v>715</v>
      </c>
      <c r="E1059" s="1">
        <v>45954</v>
      </c>
      <c r="F1059">
        <v>403.92</v>
      </c>
      <c r="G1059" t="s">
        <v>1437</v>
      </c>
      <c r="H1059">
        <f>_xlfn.XLOOKUP(E1059,K:K,L:L)</f>
        <v>15</v>
      </c>
    </row>
    <row r="1060" spans="1:8" x14ac:dyDescent="0.3">
      <c r="A1060" t="s">
        <v>92</v>
      </c>
      <c r="B1060">
        <v>20604562652</v>
      </c>
      <c r="C1060" t="s">
        <v>1211</v>
      </c>
      <c r="D1060" t="s">
        <v>715</v>
      </c>
      <c r="E1060" s="1">
        <v>45954</v>
      </c>
      <c r="F1060">
        <v>288.51</v>
      </c>
      <c r="G1060" t="s">
        <v>1437</v>
      </c>
      <c r="H1060">
        <f>_xlfn.XLOOKUP(E1060,K:K,L:L)</f>
        <v>15</v>
      </c>
    </row>
    <row r="1061" spans="1:8" x14ac:dyDescent="0.3">
      <c r="A1061" t="s">
        <v>92</v>
      </c>
      <c r="B1061">
        <v>20605878564</v>
      </c>
      <c r="C1061" t="s">
        <v>1212</v>
      </c>
      <c r="D1061" t="s">
        <v>711</v>
      </c>
      <c r="E1061" s="1">
        <v>45954</v>
      </c>
      <c r="F1061">
        <v>288.02999999999997</v>
      </c>
      <c r="G1061" t="s">
        <v>1437</v>
      </c>
      <c r="H1061">
        <f>_xlfn.XLOOKUP(E1061,K:K,L:L)</f>
        <v>15</v>
      </c>
    </row>
    <row r="1062" spans="1:8" x14ac:dyDescent="0.3">
      <c r="A1062" t="s">
        <v>92</v>
      </c>
      <c r="B1062">
        <v>20607715441</v>
      </c>
      <c r="C1062" t="s">
        <v>1213</v>
      </c>
      <c r="D1062" t="s">
        <v>715</v>
      </c>
      <c r="E1062" s="1">
        <v>45954</v>
      </c>
      <c r="F1062">
        <v>279.16999999999996</v>
      </c>
      <c r="G1062" t="s">
        <v>1437</v>
      </c>
      <c r="H1062">
        <f>_xlfn.XLOOKUP(E1062,K:K,L:L)</f>
        <v>15</v>
      </c>
    </row>
    <row r="1063" spans="1:8" x14ac:dyDescent="0.3">
      <c r="A1063" t="s">
        <v>92</v>
      </c>
      <c r="B1063">
        <v>20609277450</v>
      </c>
      <c r="C1063" t="s">
        <v>1214</v>
      </c>
      <c r="D1063" t="s">
        <v>754</v>
      </c>
      <c r="E1063" s="1">
        <v>45954</v>
      </c>
      <c r="F1063">
        <v>1048.1300000000001</v>
      </c>
      <c r="G1063" t="s">
        <v>1437</v>
      </c>
      <c r="H1063">
        <f>_xlfn.XLOOKUP(E1063,K:K,L:L)</f>
        <v>15</v>
      </c>
    </row>
    <row r="1064" spans="1:8" x14ac:dyDescent="0.3">
      <c r="A1064" t="s">
        <v>92</v>
      </c>
      <c r="B1064">
        <v>20609941163</v>
      </c>
      <c r="C1064" t="s">
        <v>1215</v>
      </c>
      <c r="D1064" t="s">
        <v>713</v>
      </c>
      <c r="E1064" s="1">
        <v>45954</v>
      </c>
      <c r="F1064">
        <v>510.26000000000005</v>
      </c>
      <c r="G1064" t="s">
        <v>1437</v>
      </c>
      <c r="H1064">
        <f>_xlfn.XLOOKUP(E1064,K:K,L:L)</f>
        <v>15</v>
      </c>
    </row>
    <row r="1065" spans="1:8" x14ac:dyDescent="0.3">
      <c r="A1065" t="s">
        <v>92</v>
      </c>
      <c r="B1065">
        <v>20610184449</v>
      </c>
      <c r="C1065" t="s">
        <v>1216</v>
      </c>
      <c r="D1065" t="s">
        <v>715</v>
      </c>
      <c r="E1065" s="1">
        <v>45954</v>
      </c>
      <c r="F1065">
        <v>230.81</v>
      </c>
      <c r="G1065" t="s">
        <v>1437</v>
      </c>
      <c r="H1065">
        <f>_xlfn.XLOOKUP(E1065,K:K,L:L)</f>
        <v>15</v>
      </c>
    </row>
    <row r="1066" spans="1:8" x14ac:dyDescent="0.3">
      <c r="A1066" t="s">
        <v>92</v>
      </c>
      <c r="B1066">
        <v>20611265337</v>
      </c>
      <c r="C1066" t="s">
        <v>1217</v>
      </c>
      <c r="D1066" t="s">
        <v>715</v>
      </c>
      <c r="E1066" s="1">
        <v>45954</v>
      </c>
      <c r="F1066">
        <v>262.93</v>
      </c>
      <c r="G1066" t="s">
        <v>1437</v>
      </c>
      <c r="H1066">
        <f>_xlfn.XLOOKUP(E1066,K:K,L:L)</f>
        <v>15</v>
      </c>
    </row>
    <row r="1067" spans="1:8" x14ac:dyDescent="0.3">
      <c r="A1067" t="s">
        <v>92</v>
      </c>
      <c r="B1067">
        <v>20613179691</v>
      </c>
      <c r="C1067" t="s">
        <v>1218</v>
      </c>
      <c r="D1067" t="s">
        <v>715</v>
      </c>
      <c r="E1067" s="1">
        <v>45954</v>
      </c>
      <c r="F1067">
        <v>299.59000000000003</v>
      </c>
      <c r="G1067" t="s">
        <v>1437</v>
      </c>
      <c r="H1067">
        <f>_xlfn.XLOOKUP(E1067,K:K,L:L)</f>
        <v>15</v>
      </c>
    </row>
    <row r="1068" spans="1:8" x14ac:dyDescent="0.3">
      <c r="A1068" t="s">
        <v>92</v>
      </c>
      <c r="B1068">
        <v>20600987047</v>
      </c>
      <c r="C1068" t="s">
        <v>1219</v>
      </c>
      <c r="D1068" t="s">
        <v>27</v>
      </c>
      <c r="E1068" s="1">
        <v>45954</v>
      </c>
      <c r="F1068">
        <v>1014.19</v>
      </c>
      <c r="G1068" t="s">
        <v>1437</v>
      </c>
      <c r="H1068">
        <f>_xlfn.XLOOKUP(E1068,K:K,L:L)</f>
        <v>15</v>
      </c>
    </row>
    <row r="1069" spans="1:8" x14ac:dyDescent="0.3">
      <c r="A1069" t="s">
        <v>92</v>
      </c>
      <c r="B1069">
        <v>20601491002</v>
      </c>
      <c r="C1069" t="s">
        <v>1220</v>
      </c>
      <c r="D1069" t="s">
        <v>7</v>
      </c>
      <c r="E1069" s="1">
        <v>45954</v>
      </c>
      <c r="F1069">
        <v>131.44</v>
      </c>
      <c r="G1069" t="s">
        <v>1437</v>
      </c>
      <c r="H1069">
        <f>_xlfn.XLOOKUP(E1069,K:K,L:L)</f>
        <v>15</v>
      </c>
    </row>
    <row r="1070" spans="1:8" x14ac:dyDescent="0.3">
      <c r="A1070" t="s">
        <v>92</v>
      </c>
      <c r="B1070">
        <v>20611260831</v>
      </c>
      <c r="C1070" t="s">
        <v>1221</v>
      </c>
      <c r="D1070" t="s">
        <v>138</v>
      </c>
      <c r="E1070" s="1">
        <v>45954</v>
      </c>
      <c r="F1070">
        <v>883.69999999999993</v>
      </c>
      <c r="G1070" t="s">
        <v>1437</v>
      </c>
      <c r="H1070">
        <f>_xlfn.XLOOKUP(E1070,K:K,L:L)</f>
        <v>15</v>
      </c>
    </row>
    <row r="1071" spans="1:8" x14ac:dyDescent="0.3">
      <c r="A1071" t="s">
        <v>92</v>
      </c>
      <c r="B1071">
        <v>20606587334</v>
      </c>
      <c r="C1071" t="s">
        <v>1222</v>
      </c>
      <c r="D1071" t="s">
        <v>1223</v>
      </c>
      <c r="E1071" s="1">
        <v>45954</v>
      </c>
      <c r="F1071">
        <v>1061.8399999999999</v>
      </c>
      <c r="G1071" t="s">
        <v>1437</v>
      </c>
      <c r="H1071">
        <f>_xlfn.XLOOKUP(E1071,K:K,L:L)</f>
        <v>15</v>
      </c>
    </row>
    <row r="1072" spans="1:8" x14ac:dyDescent="0.3">
      <c r="A1072" t="s">
        <v>92</v>
      </c>
      <c r="B1072">
        <v>20604260923</v>
      </c>
      <c r="C1072" t="s">
        <v>1224</v>
      </c>
      <c r="D1072" t="s">
        <v>160</v>
      </c>
      <c r="E1072" s="1">
        <v>45954</v>
      </c>
      <c r="F1072">
        <v>533.45999999999992</v>
      </c>
      <c r="G1072" t="s">
        <v>1437</v>
      </c>
      <c r="H1072">
        <f>_xlfn.XLOOKUP(E1072,K:K,L:L)</f>
        <v>15</v>
      </c>
    </row>
    <row r="1073" spans="1:8" x14ac:dyDescent="0.3">
      <c r="A1073" t="s">
        <v>6</v>
      </c>
      <c r="B1073">
        <v>20482844694</v>
      </c>
      <c r="C1073" t="s">
        <v>1225</v>
      </c>
      <c r="D1073" t="s">
        <v>715</v>
      </c>
      <c r="E1073" s="1">
        <v>45954</v>
      </c>
      <c r="F1073">
        <v>744.83</v>
      </c>
      <c r="G1073" t="s">
        <v>1437</v>
      </c>
      <c r="H1073">
        <f>_xlfn.XLOOKUP(E1073,K:K,L:L)</f>
        <v>15</v>
      </c>
    </row>
    <row r="1074" spans="1:8" x14ac:dyDescent="0.3">
      <c r="A1074" t="s">
        <v>93</v>
      </c>
      <c r="B1074">
        <v>20611115025</v>
      </c>
      <c r="C1074" t="s">
        <v>1226</v>
      </c>
      <c r="D1074" t="s">
        <v>473</v>
      </c>
      <c r="E1074" s="1">
        <v>45954</v>
      </c>
      <c r="F1074">
        <v>272.38</v>
      </c>
      <c r="G1074" t="s">
        <v>1437</v>
      </c>
      <c r="H1074">
        <f>_xlfn.XLOOKUP(E1074,K:K,L:L)</f>
        <v>15</v>
      </c>
    </row>
    <row r="1075" spans="1:8" x14ac:dyDescent="0.3">
      <c r="A1075" t="s">
        <v>93</v>
      </c>
      <c r="B1075">
        <v>20611654279</v>
      </c>
      <c r="C1075" t="s">
        <v>1227</v>
      </c>
      <c r="D1075" t="s">
        <v>175</v>
      </c>
      <c r="E1075" s="1">
        <v>45954</v>
      </c>
      <c r="F1075">
        <v>197.98000000000002</v>
      </c>
      <c r="G1075" t="s">
        <v>1437</v>
      </c>
      <c r="H1075">
        <f>_xlfn.XLOOKUP(E1075,K:K,L:L)</f>
        <v>15</v>
      </c>
    </row>
    <row r="1076" spans="1:8" x14ac:dyDescent="0.3">
      <c r="A1076" t="s">
        <v>93</v>
      </c>
      <c r="B1076">
        <v>20612206334</v>
      </c>
      <c r="C1076" t="s">
        <v>1228</v>
      </c>
      <c r="D1076" t="s">
        <v>175</v>
      </c>
      <c r="E1076" s="1">
        <v>45954</v>
      </c>
      <c r="F1076">
        <v>386.94</v>
      </c>
      <c r="G1076" t="s">
        <v>1437</v>
      </c>
      <c r="H1076">
        <f>_xlfn.XLOOKUP(E1076,K:K,L:L)</f>
        <v>15</v>
      </c>
    </row>
    <row r="1077" spans="1:8" x14ac:dyDescent="0.3">
      <c r="A1077" t="s">
        <v>93</v>
      </c>
      <c r="B1077">
        <v>20565209290</v>
      </c>
      <c r="C1077" t="s">
        <v>445</v>
      </c>
      <c r="D1077" t="s">
        <v>1229</v>
      </c>
      <c r="E1077" s="1">
        <v>45954</v>
      </c>
      <c r="F1077">
        <v>754.72</v>
      </c>
      <c r="G1077" t="s">
        <v>1437</v>
      </c>
      <c r="H1077">
        <f>_xlfn.XLOOKUP(E1077,K:K,L:L)</f>
        <v>15</v>
      </c>
    </row>
    <row r="1078" spans="1:8" x14ac:dyDescent="0.3">
      <c r="A1078" t="s">
        <v>93</v>
      </c>
      <c r="B1078">
        <v>20379559141</v>
      </c>
      <c r="C1078" t="s">
        <v>1230</v>
      </c>
      <c r="D1078" t="s">
        <v>1231</v>
      </c>
      <c r="E1078" s="1">
        <v>45954</v>
      </c>
      <c r="F1078">
        <v>64.39</v>
      </c>
      <c r="G1078" t="s">
        <v>1437</v>
      </c>
      <c r="H1078">
        <f>_xlfn.XLOOKUP(E1078,K:K,L:L)</f>
        <v>15</v>
      </c>
    </row>
    <row r="1079" spans="1:8" x14ac:dyDescent="0.3">
      <c r="A1079" t="s">
        <v>93</v>
      </c>
      <c r="B1079">
        <v>20504874746</v>
      </c>
      <c r="C1079" t="s">
        <v>1232</v>
      </c>
      <c r="D1079" t="s">
        <v>1233</v>
      </c>
      <c r="E1079" s="1">
        <v>45954</v>
      </c>
      <c r="F1079">
        <v>231.97</v>
      </c>
      <c r="G1079" t="s">
        <v>1437</v>
      </c>
      <c r="H1079">
        <f>_xlfn.XLOOKUP(E1079,K:K,L:L)</f>
        <v>15</v>
      </c>
    </row>
    <row r="1080" spans="1:8" x14ac:dyDescent="0.3">
      <c r="A1080" t="s">
        <v>93</v>
      </c>
      <c r="B1080">
        <v>20512709088</v>
      </c>
      <c r="C1080" t="s">
        <v>1234</v>
      </c>
      <c r="D1080" t="s">
        <v>1235</v>
      </c>
      <c r="E1080" s="1">
        <v>45954</v>
      </c>
      <c r="F1080">
        <v>221.72</v>
      </c>
      <c r="G1080" t="s">
        <v>1437</v>
      </c>
      <c r="H1080">
        <f>_xlfn.XLOOKUP(E1080,K:K,L:L)</f>
        <v>15</v>
      </c>
    </row>
    <row r="1081" spans="1:8" x14ac:dyDescent="0.3">
      <c r="A1081" t="s">
        <v>92</v>
      </c>
      <c r="B1081">
        <v>10430270627</v>
      </c>
      <c r="C1081" t="s">
        <v>1236</v>
      </c>
      <c r="D1081" t="s">
        <v>711</v>
      </c>
      <c r="E1081" s="1">
        <v>45955</v>
      </c>
      <c r="F1081">
        <v>288.31</v>
      </c>
      <c r="G1081" t="s">
        <v>1437</v>
      </c>
      <c r="H1081">
        <f>_xlfn.XLOOKUP(E1081,K:K,L:L)</f>
        <v>15</v>
      </c>
    </row>
    <row r="1082" spans="1:8" x14ac:dyDescent="0.3">
      <c r="A1082" t="s">
        <v>92</v>
      </c>
      <c r="B1082">
        <v>20454041373</v>
      </c>
      <c r="C1082" t="s">
        <v>1237</v>
      </c>
      <c r="D1082" t="s">
        <v>715</v>
      </c>
      <c r="E1082" s="1">
        <v>45955</v>
      </c>
      <c r="F1082">
        <v>391.6</v>
      </c>
      <c r="G1082" t="s">
        <v>1437</v>
      </c>
      <c r="H1082">
        <f>_xlfn.XLOOKUP(E1082,K:K,L:L)</f>
        <v>15</v>
      </c>
    </row>
    <row r="1083" spans="1:8" x14ac:dyDescent="0.3">
      <c r="A1083" t="s">
        <v>92</v>
      </c>
      <c r="B1083">
        <v>20570586417</v>
      </c>
      <c r="C1083" t="s">
        <v>1238</v>
      </c>
      <c r="D1083" t="s">
        <v>715</v>
      </c>
      <c r="E1083" s="1">
        <v>45955</v>
      </c>
      <c r="F1083">
        <v>543.01</v>
      </c>
      <c r="G1083" t="s">
        <v>1437</v>
      </c>
      <c r="H1083">
        <f>_xlfn.XLOOKUP(E1083,K:K,L:L)</f>
        <v>15</v>
      </c>
    </row>
    <row r="1084" spans="1:8" x14ac:dyDescent="0.3">
      <c r="A1084" t="s">
        <v>92</v>
      </c>
      <c r="B1084">
        <v>20600112784</v>
      </c>
      <c r="C1084" t="s">
        <v>1239</v>
      </c>
      <c r="D1084" t="s">
        <v>754</v>
      </c>
      <c r="E1084" s="1">
        <v>45955</v>
      </c>
      <c r="F1084">
        <v>581.84999999999991</v>
      </c>
      <c r="G1084" t="s">
        <v>1437</v>
      </c>
      <c r="H1084">
        <f>_xlfn.XLOOKUP(E1084,K:K,L:L)</f>
        <v>15</v>
      </c>
    </row>
    <row r="1085" spans="1:8" x14ac:dyDescent="0.3">
      <c r="A1085" t="s">
        <v>92</v>
      </c>
      <c r="B1085">
        <v>20610097937</v>
      </c>
      <c r="C1085" t="s">
        <v>1240</v>
      </c>
      <c r="D1085" t="s">
        <v>715</v>
      </c>
      <c r="E1085" s="1">
        <v>45955</v>
      </c>
      <c r="F1085">
        <v>223.34</v>
      </c>
      <c r="G1085" t="s">
        <v>1437</v>
      </c>
      <c r="H1085">
        <f>_xlfn.XLOOKUP(E1085,K:K,L:L)</f>
        <v>15</v>
      </c>
    </row>
    <row r="1086" spans="1:8" x14ac:dyDescent="0.3">
      <c r="A1086" t="s">
        <v>93</v>
      </c>
      <c r="B1086">
        <v>20558653532</v>
      </c>
      <c r="C1086" t="s">
        <v>1241</v>
      </c>
      <c r="D1086" t="s">
        <v>1242</v>
      </c>
      <c r="E1086" s="1">
        <v>45955</v>
      </c>
      <c r="F1086">
        <v>1178.31</v>
      </c>
      <c r="G1086" t="s">
        <v>1437</v>
      </c>
      <c r="H1086">
        <f>_xlfn.XLOOKUP(E1086,K:K,L:L)</f>
        <v>15</v>
      </c>
    </row>
    <row r="1087" spans="1:8" x14ac:dyDescent="0.3">
      <c r="A1087" t="s">
        <v>92</v>
      </c>
      <c r="B1087">
        <v>10182121814</v>
      </c>
      <c r="C1087" t="s">
        <v>1243</v>
      </c>
      <c r="D1087" t="s">
        <v>711</v>
      </c>
      <c r="E1087" s="1">
        <v>45957</v>
      </c>
      <c r="F1087">
        <v>694.48</v>
      </c>
      <c r="G1087" t="s">
        <v>1437</v>
      </c>
      <c r="H1087">
        <f>_xlfn.XLOOKUP(E1087,K:K,L:L)</f>
        <v>16</v>
      </c>
    </row>
    <row r="1088" spans="1:8" x14ac:dyDescent="0.3">
      <c r="A1088" t="s">
        <v>92</v>
      </c>
      <c r="B1088">
        <v>10752460715</v>
      </c>
      <c r="C1088" t="s">
        <v>1244</v>
      </c>
      <c r="D1088" t="s">
        <v>713</v>
      </c>
      <c r="E1088" s="1">
        <v>45957</v>
      </c>
      <c r="F1088">
        <v>394.95000000000005</v>
      </c>
      <c r="G1088" t="s">
        <v>1437</v>
      </c>
      <c r="H1088">
        <f>_xlfn.XLOOKUP(E1088,K:K,L:L)</f>
        <v>16</v>
      </c>
    </row>
    <row r="1089" spans="1:8" x14ac:dyDescent="0.3">
      <c r="A1089" t="s">
        <v>92</v>
      </c>
      <c r="B1089">
        <v>20102982020</v>
      </c>
      <c r="C1089" t="s">
        <v>1245</v>
      </c>
      <c r="D1089" t="s">
        <v>711</v>
      </c>
      <c r="E1089" s="1">
        <v>45957</v>
      </c>
      <c r="F1089">
        <v>1121.46</v>
      </c>
      <c r="G1089" t="s">
        <v>1437</v>
      </c>
      <c r="H1089">
        <f>_xlfn.XLOOKUP(E1089,K:K,L:L)</f>
        <v>16</v>
      </c>
    </row>
    <row r="1090" spans="1:8" x14ac:dyDescent="0.3">
      <c r="A1090" t="s">
        <v>92</v>
      </c>
      <c r="B1090">
        <v>20212246698</v>
      </c>
      <c r="C1090" t="s">
        <v>1246</v>
      </c>
      <c r="D1090" t="s">
        <v>715</v>
      </c>
      <c r="E1090" s="1">
        <v>45957</v>
      </c>
      <c r="F1090">
        <v>1328.59</v>
      </c>
      <c r="G1090" t="s">
        <v>1437</v>
      </c>
      <c r="H1090">
        <f>_xlfn.XLOOKUP(E1090,K:K,L:L)</f>
        <v>16</v>
      </c>
    </row>
    <row r="1091" spans="1:8" x14ac:dyDescent="0.3">
      <c r="A1091" t="s">
        <v>92</v>
      </c>
      <c r="B1091">
        <v>20508330201</v>
      </c>
      <c r="C1091" t="s">
        <v>1247</v>
      </c>
      <c r="D1091" t="s">
        <v>713</v>
      </c>
      <c r="E1091" s="1">
        <v>45957</v>
      </c>
      <c r="F1091">
        <v>394.95000000000005</v>
      </c>
      <c r="G1091" t="s">
        <v>1437</v>
      </c>
      <c r="H1091">
        <f>_xlfn.XLOOKUP(E1091,K:K,L:L)</f>
        <v>16</v>
      </c>
    </row>
    <row r="1092" spans="1:8" x14ac:dyDescent="0.3">
      <c r="A1092" t="s">
        <v>92</v>
      </c>
      <c r="B1092">
        <v>20514777749</v>
      </c>
      <c r="C1092" t="s">
        <v>1248</v>
      </c>
      <c r="D1092" t="s">
        <v>786</v>
      </c>
      <c r="E1092" s="1">
        <v>45957</v>
      </c>
      <c r="F1092">
        <v>1664.01</v>
      </c>
      <c r="G1092" t="s">
        <v>1437</v>
      </c>
      <c r="H1092">
        <f>_xlfn.XLOOKUP(E1092,K:K,L:L)</f>
        <v>16</v>
      </c>
    </row>
    <row r="1093" spans="1:8" x14ac:dyDescent="0.3">
      <c r="A1093" t="s">
        <v>92</v>
      </c>
      <c r="B1093">
        <v>20563127229</v>
      </c>
      <c r="C1093" t="s">
        <v>1249</v>
      </c>
      <c r="D1093" t="s">
        <v>711</v>
      </c>
      <c r="E1093" s="1">
        <v>45957</v>
      </c>
      <c r="F1093">
        <v>1236.5</v>
      </c>
      <c r="G1093" t="s">
        <v>1437</v>
      </c>
      <c r="H1093">
        <f>_xlfn.XLOOKUP(E1093,K:K,L:L)</f>
        <v>16</v>
      </c>
    </row>
    <row r="1094" spans="1:8" x14ac:dyDescent="0.3">
      <c r="A1094" t="s">
        <v>92</v>
      </c>
      <c r="B1094">
        <v>20604173575</v>
      </c>
      <c r="C1094" t="s">
        <v>1250</v>
      </c>
      <c r="D1094" t="s">
        <v>715</v>
      </c>
      <c r="E1094" s="1">
        <v>45957</v>
      </c>
      <c r="F1094">
        <v>752.68000000000006</v>
      </c>
      <c r="G1094" t="s">
        <v>1437</v>
      </c>
      <c r="H1094">
        <f>_xlfn.XLOOKUP(E1094,K:K,L:L)</f>
        <v>16</v>
      </c>
    </row>
    <row r="1095" spans="1:8" x14ac:dyDescent="0.3">
      <c r="A1095" t="s">
        <v>92</v>
      </c>
      <c r="B1095">
        <v>20604543488</v>
      </c>
      <c r="C1095" t="s">
        <v>1251</v>
      </c>
      <c r="D1095" t="s">
        <v>720</v>
      </c>
      <c r="E1095" s="1">
        <v>45957</v>
      </c>
      <c r="F1095">
        <v>1796.06</v>
      </c>
      <c r="G1095" t="s">
        <v>1437</v>
      </c>
      <c r="H1095">
        <f>_xlfn.XLOOKUP(E1095,K:K,L:L)</f>
        <v>16</v>
      </c>
    </row>
    <row r="1096" spans="1:8" x14ac:dyDescent="0.3">
      <c r="A1096" t="s">
        <v>92</v>
      </c>
      <c r="B1096">
        <v>20606532777</v>
      </c>
      <c r="C1096" t="s">
        <v>1252</v>
      </c>
      <c r="D1096" t="s">
        <v>713</v>
      </c>
      <c r="E1096" s="1">
        <v>45957</v>
      </c>
      <c r="F1096">
        <v>394.95000000000005</v>
      </c>
      <c r="G1096" t="s">
        <v>1437</v>
      </c>
      <c r="H1096">
        <f>_xlfn.XLOOKUP(E1096,K:K,L:L)</f>
        <v>16</v>
      </c>
    </row>
    <row r="1097" spans="1:8" x14ac:dyDescent="0.3">
      <c r="A1097" t="s">
        <v>92</v>
      </c>
      <c r="B1097">
        <v>20607574406</v>
      </c>
      <c r="C1097" t="s">
        <v>1253</v>
      </c>
      <c r="D1097" t="s">
        <v>715</v>
      </c>
      <c r="E1097" s="1">
        <v>45957</v>
      </c>
      <c r="F1097">
        <v>287.18</v>
      </c>
      <c r="G1097" t="s">
        <v>1437</v>
      </c>
      <c r="H1097">
        <f>_xlfn.XLOOKUP(E1097,K:K,L:L)</f>
        <v>16</v>
      </c>
    </row>
    <row r="1098" spans="1:8" x14ac:dyDescent="0.3">
      <c r="A1098" t="s">
        <v>92</v>
      </c>
      <c r="B1098">
        <v>20608373544</v>
      </c>
      <c r="C1098" t="s">
        <v>1254</v>
      </c>
      <c r="D1098" t="s">
        <v>711</v>
      </c>
      <c r="E1098" s="1">
        <v>45957</v>
      </c>
      <c r="F1098">
        <v>659</v>
      </c>
      <c r="G1098" t="s">
        <v>1437</v>
      </c>
      <c r="H1098">
        <f>_xlfn.XLOOKUP(E1098,K:K,L:L)</f>
        <v>16</v>
      </c>
    </row>
    <row r="1099" spans="1:8" x14ac:dyDescent="0.3">
      <c r="A1099" t="s">
        <v>92</v>
      </c>
      <c r="B1099">
        <v>20610886214</v>
      </c>
      <c r="C1099" t="s">
        <v>1255</v>
      </c>
      <c r="D1099" t="s">
        <v>711</v>
      </c>
      <c r="E1099" s="1">
        <v>45957</v>
      </c>
      <c r="F1099">
        <v>262.10000000000002</v>
      </c>
      <c r="G1099" t="s">
        <v>1437</v>
      </c>
      <c r="H1099">
        <f>_xlfn.XLOOKUP(E1099,K:K,L:L)</f>
        <v>16</v>
      </c>
    </row>
    <row r="1100" spans="1:8" x14ac:dyDescent="0.3">
      <c r="A1100" t="s">
        <v>92</v>
      </c>
      <c r="B1100">
        <v>10465159800</v>
      </c>
      <c r="C1100" t="s">
        <v>1256</v>
      </c>
      <c r="D1100" t="s">
        <v>27</v>
      </c>
      <c r="E1100" s="1">
        <v>45957</v>
      </c>
      <c r="F1100">
        <v>290.86</v>
      </c>
      <c r="G1100" t="s">
        <v>1437</v>
      </c>
      <c r="H1100">
        <f>_xlfn.XLOOKUP(E1100,K:K,L:L)</f>
        <v>16</v>
      </c>
    </row>
    <row r="1101" spans="1:8" x14ac:dyDescent="0.3">
      <c r="A1101" t="s">
        <v>92</v>
      </c>
      <c r="B1101">
        <v>20366248766</v>
      </c>
      <c r="C1101" t="s">
        <v>1257</v>
      </c>
      <c r="D1101" t="s">
        <v>12</v>
      </c>
      <c r="E1101" s="1">
        <v>45957</v>
      </c>
      <c r="F1101">
        <v>398.93999999999994</v>
      </c>
      <c r="G1101" t="s">
        <v>1437</v>
      </c>
      <c r="H1101">
        <f>_xlfn.XLOOKUP(E1101,K:K,L:L)</f>
        <v>16</v>
      </c>
    </row>
    <row r="1102" spans="1:8" x14ac:dyDescent="0.3">
      <c r="A1102" t="s">
        <v>92</v>
      </c>
      <c r="B1102">
        <v>20603441312</v>
      </c>
      <c r="C1102" t="s">
        <v>1258</v>
      </c>
      <c r="D1102" t="s">
        <v>715</v>
      </c>
      <c r="E1102" s="1">
        <v>45957</v>
      </c>
      <c r="F1102">
        <v>301.85000000000002</v>
      </c>
      <c r="G1102" t="s">
        <v>1437</v>
      </c>
      <c r="H1102">
        <f>_xlfn.XLOOKUP(E1102,K:K,L:L)</f>
        <v>16</v>
      </c>
    </row>
    <row r="1103" spans="1:8" x14ac:dyDescent="0.3">
      <c r="A1103" t="s">
        <v>6</v>
      </c>
      <c r="B1103">
        <v>20450583953</v>
      </c>
      <c r="C1103" t="s">
        <v>1259</v>
      </c>
      <c r="D1103" t="s">
        <v>786</v>
      </c>
      <c r="E1103" s="1">
        <v>45957</v>
      </c>
      <c r="F1103">
        <v>470.17</v>
      </c>
      <c r="G1103" t="s">
        <v>1437</v>
      </c>
      <c r="H1103">
        <f>_xlfn.XLOOKUP(E1103,K:K,L:L)</f>
        <v>16</v>
      </c>
    </row>
    <row r="1104" spans="1:8" x14ac:dyDescent="0.3">
      <c r="A1104" t="s">
        <v>6</v>
      </c>
      <c r="B1104">
        <v>20603583371</v>
      </c>
      <c r="C1104" t="s">
        <v>1260</v>
      </c>
      <c r="D1104" t="s">
        <v>715</v>
      </c>
      <c r="E1104" s="1">
        <v>45957</v>
      </c>
      <c r="F1104">
        <v>287.18</v>
      </c>
      <c r="G1104" t="s">
        <v>1437</v>
      </c>
      <c r="H1104">
        <f>_xlfn.XLOOKUP(E1104,K:K,L:L)</f>
        <v>16</v>
      </c>
    </row>
    <row r="1105" spans="1:8" x14ac:dyDescent="0.3">
      <c r="A1105" t="s">
        <v>6</v>
      </c>
      <c r="B1105">
        <v>20608866851</v>
      </c>
      <c r="C1105" t="s">
        <v>1261</v>
      </c>
      <c r="D1105" t="s">
        <v>715</v>
      </c>
      <c r="E1105" s="1">
        <v>45957</v>
      </c>
      <c r="F1105">
        <v>130.54</v>
      </c>
      <c r="G1105" t="s">
        <v>1437</v>
      </c>
      <c r="H1105">
        <f>_xlfn.XLOOKUP(E1105,K:K,L:L)</f>
        <v>16</v>
      </c>
    </row>
    <row r="1106" spans="1:8" x14ac:dyDescent="0.3">
      <c r="A1106" t="s">
        <v>93</v>
      </c>
      <c r="B1106">
        <v>20392819615</v>
      </c>
      <c r="C1106" t="s">
        <v>1262</v>
      </c>
      <c r="D1106" t="s">
        <v>442</v>
      </c>
      <c r="E1106" s="1">
        <v>45957</v>
      </c>
      <c r="F1106">
        <v>963.44</v>
      </c>
      <c r="G1106" t="s">
        <v>1437</v>
      </c>
      <c r="H1106">
        <f>_xlfn.XLOOKUP(E1106,K:K,L:L)</f>
        <v>16</v>
      </c>
    </row>
    <row r="1107" spans="1:8" x14ac:dyDescent="0.3">
      <c r="A1107" t="s">
        <v>93</v>
      </c>
      <c r="B1107">
        <v>20601324955</v>
      </c>
      <c r="C1107" t="s">
        <v>1263</v>
      </c>
      <c r="D1107" t="s">
        <v>1264</v>
      </c>
      <c r="E1107" s="1">
        <v>45957</v>
      </c>
      <c r="F1107">
        <v>575.39</v>
      </c>
      <c r="G1107" t="s">
        <v>1437</v>
      </c>
      <c r="H1107">
        <f>_xlfn.XLOOKUP(E1107,K:K,L:L)</f>
        <v>16</v>
      </c>
    </row>
    <row r="1108" spans="1:8" x14ac:dyDescent="0.3">
      <c r="A1108" t="s">
        <v>93</v>
      </c>
      <c r="B1108">
        <v>20518314468</v>
      </c>
      <c r="C1108" t="s">
        <v>1265</v>
      </c>
      <c r="D1108" t="s">
        <v>1235</v>
      </c>
      <c r="E1108" s="1">
        <v>45957</v>
      </c>
      <c r="F1108">
        <v>219.15</v>
      </c>
      <c r="G1108" t="s">
        <v>1437</v>
      </c>
      <c r="H1108">
        <f>_xlfn.XLOOKUP(E1108,K:K,L:L)</f>
        <v>16</v>
      </c>
    </row>
    <row r="1109" spans="1:8" x14ac:dyDescent="0.3">
      <c r="A1109" t="s">
        <v>92</v>
      </c>
      <c r="B1109">
        <v>20568106416</v>
      </c>
      <c r="C1109" t="s">
        <v>1266</v>
      </c>
      <c r="D1109" t="s">
        <v>713</v>
      </c>
      <c r="E1109" s="1">
        <v>45958</v>
      </c>
      <c r="F1109">
        <v>394.95000000000005</v>
      </c>
      <c r="G1109" t="s">
        <v>1437</v>
      </c>
      <c r="H1109">
        <f>_xlfn.XLOOKUP(E1109,K:K,L:L)</f>
        <v>17</v>
      </c>
    </row>
    <row r="1110" spans="1:8" x14ac:dyDescent="0.3">
      <c r="A1110" t="s">
        <v>92</v>
      </c>
      <c r="B1110">
        <v>20600196678</v>
      </c>
      <c r="C1110" t="s">
        <v>1267</v>
      </c>
      <c r="D1110" t="s">
        <v>715</v>
      </c>
      <c r="E1110" s="1">
        <v>45958</v>
      </c>
      <c r="F1110">
        <v>254.14000000000001</v>
      </c>
      <c r="G1110" t="s">
        <v>1437</v>
      </c>
      <c r="H1110">
        <f>_xlfn.XLOOKUP(E1110,K:K,L:L)</f>
        <v>17</v>
      </c>
    </row>
    <row r="1111" spans="1:8" x14ac:dyDescent="0.3">
      <c r="A1111" t="s">
        <v>92</v>
      </c>
      <c r="B1111">
        <v>20602930271</v>
      </c>
      <c r="C1111" t="s">
        <v>1268</v>
      </c>
      <c r="D1111" t="s">
        <v>715</v>
      </c>
      <c r="E1111" s="1">
        <v>45958</v>
      </c>
      <c r="F1111">
        <v>231.04</v>
      </c>
      <c r="G1111" t="s">
        <v>1437</v>
      </c>
      <c r="H1111">
        <f>_xlfn.XLOOKUP(E1111,K:K,L:L)</f>
        <v>17</v>
      </c>
    </row>
    <row r="1112" spans="1:8" x14ac:dyDescent="0.3">
      <c r="A1112" t="s">
        <v>92</v>
      </c>
      <c r="B1112">
        <v>20603515910</v>
      </c>
      <c r="C1112" t="s">
        <v>1269</v>
      </c>
      <c r="D1112" t="s">
        <v>1270</v>
      </c>
      <c r="E1112" s="1">
        <v>45958</v>
      </c>
      <c r="F1112">
        <v>1914.26</v>
      </c>
      <c r="G1112" t="s">
        <v>1437</v>
      </c>
      <c r="H1112">
        <f>_xlfn.XLOOKUP(E1112,K:K,L:L)</f>
        <v>17</v>
      </c>
    </row>
    <row r="1113" spans="1:8" x14ac:dyDescent="0.3">
      <c r="A1113" t="s">
        <v>92</v>
      </c>
      <c r="B1113">
        <v>20603691513</v>
      </c>
      <c r="C1113" t="s">
        <v>1271</v>
      </c>
      <c r="D1113" t="s">
        <v>754</v>
      </c>
      <c r="E1113" s="1">
        <v>45958</v>
      </c>
      <c r="F1113">
        <v>528.96</v>
      </c>
      <c r="G1113" t="s">
        <v>1437</v>
      </c>
      <c r="H1113">
        <f>_xlfn.XLOOKUP(E1113,K:K,L:L)</f>
        <v>17</v>
      </c>
    </row>
    <row r="1114" spans="1:8" x14ac:dyDescent="0.3">
      <c r="A1114" t="s">
        <v>92</v>
      </c>
      <c r="B1114">
        <v>20606002131</v>
      </c>
      <c r="C1114" t="s">
        <v>1272</v>
      </c>
      <c r="D1114" t="s">
        <v>715</v>
      </c>
      <c r="E1114" s="1">
        <v>45958</v>
      </c>
      <c r="F1114">
        <v>242.59</v>
      </c>
      <c r="G1114" t="s">
        <v>1437</v>
      </c>
      <c r="H1114">
        <f>_xlfn.XLOOKUP(E1114,K:K,L:L)</f>
        <v>17</v>
      </c>
    </row>
    <row r="1115" spans="1:8" x14ac:dyDescent="0.3">
      <c r="A1115" t="s">
        <v>92</v>
      </c>
      <c r="B1115">
        <v>20606072644</v>
      </c>
      <c r="C1115" t="s">
        <v>1273</v>
      </c>
      <c r="D1115" t="s">
        <v>786</v>
      </c>
      <c r="E1115" s="1">
        <v>45958</v>
      </c>
      <c r="F1115">
        <v>664.12</v>
      </c>
      <c r="G1115" t="s">
        <v>1437</v>
      </c>
      <c r="H1115">
        <f>_xlfn.XLOOKUP(E1115,K:K,L:L)</f>
        <v>17</v>
      </c>
    </row>
    <row r="1116" spans="1:8" x14ac:dyDescent="0.3">
      <c r="A1116" t="s">
        <v>92</v>
      </c>
      <c r="B1116">
        <v>20606163429</v>
      </c>
      <c r="C1116" t="s">
        <v>1274</v>
      </c>
      <c r="D1116" t="s">
        <v>711</v>
      </c>
      <c r="E1116" s="1">
        <v>45958</v>
      </c>
      <c r="F1116">
        <v>262.10000000000002</v>
      </c>
      <c r="G1116" t="s">
        <v>1437</v>
      </c>
      <c r="H1116">
        <f>_xlfn.XLOOKUP(E1116,K:K,L:L)</f>
        <v>17</v>
      </c>
    </row>
    <row r="1117" spans="1:8" x14ac:dyDescent="0.3">
      <c r="A1117" t="s">
        <v>92</v>
      </c>
      <c r="B1117">
        <v>20611025590</v>
      </c>
      <c r="C1117" t="s">
        <v>1275</v>
      </c>
      <c r="D1117" t="s">
        <v>786</v>
      </c>
      <c r="E1117" s="1">
        <v>45958</v>
      </c>
      <c r="F1117">
        <v>664.12</v>
      </c>
      <c r="G1117" t="s">
        <v>1437</v>
      </c>
      <c r="H1117">
        <f>_xlfn.XLOOKUP(E1117,K:K,L:L)</f>
        <v>17</v>
      </c>
    </row>
    <row r="1118" spans="1:8" x14ac:dyDescent="0.3">
      <c r="A1118" t="s">
        <v>92</v>
      </c>
      <c r="B1118">
        <v>20613317997</v>
      </c>
      <c r="C1118" t="s">
        <v>1276</v>
      </c>
      <c r="D1118" t="s">
        <v>711</v>
      </c>
      <c r="E1118" s="1">
        <v>45958</v>
      </c>
      <c r="F1118">
        <v>417.5</v>
      </c>
      <c r="G1118" t="s">
        <v>1437</v>
      </c>
      <c r="H1118">
        <f>_xlfn.XLOOKUP(E1118,K:K,L:L)</f>
        <v>17</v>
      </c>
    </row>
    <row r="1119" spans="1:8" x14ac:dyDescent="0.3">
      <c r="A1119" t="s">
        <v>92</v>
      </c>
      <c r="B1119">
        <v>20601337143</v>
      </c>
      <c r="C1119" t="s">
        <v>1277</v>
      </c>
      <c r="D1119" t="s">
        <v>1278</v>
      </c>
      <c r="E1119" s="1">
        <v>45958</v>
      </c>
      <c r="F1119">
        <v>664.63</v>
      </c>
      <c r="G1119" t="s">
        <v>1437</v>
      </c>
      <c r="H1119">
        <f>_xlfn.XLOOKUP(E1119,K:K,L:L)</f>
        <v>17</v>
      </c>
    </row>
    <row r="1120" spans="1:8" x14ac:dyDescent="0.3">
      <c r="A1120" t="s">
        <v>92</v>
      </c>
      <c r="B1120">
        <v>20601244471</v>
      </c>
      <c r="C1120" t="s">
        <v>1279</v>
      </c>
      <c r="D1120" t="s">
        <v>1280</v>
      </c>
      <c r="E1120" s="1">
        <v>45958</v>
      </c>
      <c r="F1120">
        <v>269.11</v>
      </c>
      <c r="G1120" t="s">
        <v>1437</v>
      </c>
      <c r="H1120">
        <f>_xlfn.XLOOKUP(E1120,K:K,L:L)</f>
        <v>17</v>
      </c>
    </row>
    <row r="1121" spans="1:8" x14ac:dyDescent="0.3">
      <c r="A1121" t="s">
        <v>6</v>
      </c>
      <c r="B1121">
        <v>20610918957</v>
      </c>
      <c r="C1121" t="s">
        <v>1281</v>
      </c>
      <c r="D1121" t="s">
        <v>715</v>
      </c>
      <c r="E1121" s="1">
        <v>45958</v>
      </c>
      <c r="F1121">
        <v>492.3</v>
      </c>
      <c r="G1121" t="s">
        <v>1437</v>
      </c>
      <c r="H1121">
        <f>_xlfn.XLOOKUP(E1121,K:K,L:L)</f>
        <v>17</v>
      </c>
    </row>
    <row r="1122" spans="1:8" x14ac:dyDescent="0.3">
      <c r="A1122" t="s">
        <v>6</v>
      </c>
      <c r="B1122">
        <v>20610094113</v>
      </c>
      <c r="C1122" t="s">
        <v>1282</v>
      </c>
      <c r="D1122" t="s">
        <v>7</v>
      </c>
      <c r="E1122" s="1">
        <v>45958</v>
      </c>
      <c r="F1122">
        <v>209.57</v>
      </c>
      <c r="G1122" t="s">
        <v>1437</v>
      </c>
      <c r="H1122">
        <f>_xlfn.XLOOKUP(E1122,K:K,L:L)</f>
        <v>17</v>
      </c>
    </row>
    <row r="1123" spans="1:8" x14ac:dyDescent="0.3">
      <c r="A1123" t="s">
        <v>93</v>
      </c>
      <c r="B1123">
        <v>20610846999</v>
      </c>
      <c r="C1123" t="s">
        <v>1283</v>
      </c>
      <c r="D1123" t="s">
        <v>473</v>
      </c>
      <c r="E1123" s="1">
        <v>45958</v>
      </c>
      <c r="F1123">
        <v>136.31</v>
      </c>
      <c r="G1123" t="s">
        <v>1437</v>
      </c>
      <c r="H1123">
        <f>_xlfn.XLOOKUP(E1123,K:K,L:L)</f>
        <v>17</v>
      </c>
    </row>
    <row r="1124" spans="1:8" x14ac:dyDescent="0.3">
      <c r="A1124" t="s">
        <v>93</v>
      </c>
      <c r="B1124">
        <v>20605350501</v>
      </c>
      <c r="C1124" t="s">
        <v>1284</v>
      </c>
      <c r="D1124" t="s">
        <v>546</v>
      </c>
      <c r="E1124" s="1">
        <v>45958</v>
      </c>
      <c r="F1124">
        <v>140.16999999999999</v>
      </c>
      <c r="G1124" t="s">
        <v>1437</v>
      </c>
      <c r="H1124">
        <f>_xlfn.XLOOKUP(E1124,K:K,L:L)</f>
        <v>17</v>
      </c>
    </row>
    <row r="1125" spans="1:8" x14ac:dyDescent="0.3">
      <c r="A1125" t="s">
        <v>93</v>
      </c>
      <c r="B1125">
        <v>20523401794</v>
      </c>
      <c r="C1125" t="s">
        <v>1285</v>
      </c>
      <c r="D1125" t="s">
        <v>1286</v>
      </c>
      <c r="E1125" s="1">
        <v>45958</v>
      </c>
      <c r="F1125">
        <v>31.25</v>
      </c>
      <c r="G1125" t="s">
        <v>1437</v>
      </c>
      <c r="H1125">
        <f>_xlfn.XLOOKUP(E1125,K:K,L:L)</f>
        <v>17</v>
      </c>
    </row>
    <row r="1126" spans="1:8" x14ac:dyDescent="0.3">
      <c r="A1126" t="s">
        <v>93</v>
      </c>
      <c r="B1126">
        <v>20522731537</v>
      </c>
      <c r="C1126" t="s">
        <v>1287</v>
      </c>
      <c r="D1126" t="s">
        <v>1288</v>
      </c>
      <c r="E1126" s="1">
        <v>45958</v>
      </c>
      <c r="F1126">
        <v>109.17</v>
      </c>
      <c r="G1126" t="s">
        <v>1437</v>
      </c>
      <c r="H1126">
        <f>_xlfn.XLOOKUP(E1126,K:K,L:L)</f>
        <v>17</v>
      </c>
    </row>
    <row r="1127" spans="1:8" x14ac:dyDescent="0.3">
      <c r="A1127" t="s">
        <v>93</v>
      </c>
      <c r="B1127">
        <v>20101097286</v>
      </c>
      <c r="C1127" t="s">
        <v>623</v>
      </c>
      <c r="D1127" t="s">
        <v>1289</v>
      </c>
      <c r="E1127" s="1">
        <v>45958</v>
      </c>
      <c r="F1127">
        <v>11250.240000000002</v>
      </c>
      <c r="G1127" t="s">
        <v>1437</v>
      </c>
      <c r="H1127">
        <f>_xlfn.XLOOKUP(E1127,K:K,L:L)</f>
        <v>17</v>
      </c>
    </row>
    <row r="1128" spans="1:8" x14ac:dyDescent="0.3">
      <c r="A1128" t="s">
        <v>92</v>
      </c>
      <c r="B1128">
        <v>20481101264</v>
      </c>
      <c r="C1128" t="s">
        <v>1290</v>
      </c>
      <c r="D1128" t="s">
        <v>754</v>
      </c>
      <c r="E1128" s="1">
        <v>45959</v>
      </c>
      <c r="F1128">
        <v>529.22</v>
      </c>
      <c r="G1128" t="s">
        <v>1437</v>
      </c>
      <c r="H1128">
        <f>_xlfn.XLOOKUP(E1128,K:K,L:L)</f>
        <v>18</v>
      </c>
    </row>
    <row r="1129" spans="1:8" x14ac:dyDescent="0.3">
      <c r="A1129" t="s">
        <v>92</v>
      </c>
      <c r="B1129">
        <v>20554010556</v>
      </c>
      <c r="C1129" t="s">
        <v>1291</v>
      </c>
      <c r="D1129" t="s">
        <v>715</v>
      </c>
      <c r="E1129" s="1">
        <v>45959</v>
      </c>
      <c r="F1129">
        <v>417.37</v>
      </c>
      <c r="G1129" t="s">
        <v>1437</v>
      </c>
      <c r="H1129">
        <f>_xlfn.XLOOKUP(E1129,K:K,L:L)</f>
        <v>18</v>
      </c>
    </row>
    <row r="1130" spans="1:8" x14ac:dyDescent="0.3">
      <c r="A1130" t="s">
        <v>92</v>
      </c>
      <c r="B1130">
        <v>20602493831</v>
      </c>
      <c r="C1130" t="s">
        <v>1292</v>
      </c>
      <c r="D1130" t="s">
        <v>715</v>
      </c>
      <c r="E1130" s="1">
        <v>45959</v>
      </c>
      <c r="F1130">
        <v>1098.6399999999999</v>
      </c>
      <c r="G1130" t="s">
        <v>1437</v>
      </c>
      <c r="H1130">
        <f>_xlfn.XLOOKUP(E1130,K:K,L:L)</f>
        <v>18</v>
      </c>
    </row>
    <row r="1131" spans="1:8" x14ac:dyDescent="0.3">
      <c r="A1131" t="s">
        <v>92</v>
      </c>
      <c r="B1131">
        <v>20602598811</v>
      </c>
      <c r="C1131" t="s">
        <v>1293</v>
      </c>
      <c r="D1131" t="s">
        <v>715</v>
      </c>
      <c r="E1131" s="1">
        <v>45959</v>
      </c>
      <c r="F1131">
        <v>287.18</v>
      </c>
      <c r="G1131" t="s">
        <v>1437</v>
      </c>
      <c r="H1131">
        <f>_xlfn.XLOOKUP(E1131,K:K,L:L)</f>
        <v>18</v>
      </c>
    </row>
    <row r="1132" spans="1:8" x14ac:dyDescent="0.3">
      <c r="A1132" t="s">
        <v>92</v>
      </c>
      <c r="B1132">
        <v>20603542194</v>
      </c>
      <c r="C1132" t="s">
        <v>1294</v>
      </c>
      <c r="D1132" t="s">
        <v>715</v>
      </c>
      <c r="E1132" s="1">
        <v>45959</v>
      </c>
      <c r="F1132">
        <v>261.08</v>
      </c>
      <c r="G1132" t="s">
        <v>1437</v>
      </c>
      <c r="H1132">
        <f>_xlfn.XLOOKUP(E1132,K:K,L:L)</f>
        <v>18</v>
      </c>
    </row>
    <row r="1133" spans="1:8" x14ac:dyDescent="0.3">
      <c r="A1133" t="s">
        <v>92</v>
      </c>
      <c r="B1133">
        <v>20612051004</v>
      </c>
      <c r="C1133" t="s">
        <v>1295</v>
      </c>
      <c r="D1133" t="s">
        <v>711</v>
      </c>
      <c r="E1133" s="1">
        <v>45959</v>
      </c>
      <c r="F1133">
        <v>262.24</v>
      </c>
      <c r="G1133" t="s">
        <v>1437</v>
      </c>
      <c r="H1133">
        <f>_xlfn.XLOOKUP(E1133,K:K,L:L)</f>
        <v>18</v>
      </c>
    </row>
    <row r="1134" spans="1:8" x14ac:dyDescent="0.3">
      <c r="A1134" t="s">
        <v>92</v>
      </c>
      <c r="B1134">
        <v>20613730509</v>
      </c>
      <c r="C1134" t="s">
        <v>1296</v>
      </c>
      <c r="D1134" t="s">
        <v>754</v>
      </c>
      <c r="E1134" s="1">
        <v>45959</v>
      </c>
      <c r="F1134">
        <v>1405</v>
      </c>
      <c r="G1134" t="s">
        <v>1437</v>
      </c>
      <c r="H1134">
        <f>_xlfn.XLOOKUP(E1134,K:K,L:L)</f>
        <v>18</v>
      </c>
    </row>
    <row r="1135" spans="1:8" x14ac:dyDescent="0.3">
      <c r="A1135" t="s">
        <v>92</v>
      </c>
      <c r="B1135">
        <v>20614073331</v>
      </c>
      <c r="C1135" t="s">
        <v>1297</v>
      </c>
      <c r="D1135" t="s">
        <v>711</v>
      </c>
      <c r="E1135" s="1">
        <v>45959</v>
      </c>
      <c r="F1135">
        <v>1066.44</v>
      </c>
      <c r="G1135" t="s">
        <v>1437</v>
      </c>
      <c r="H1135">
        <f>_xlfn.XLOOKUP(E1135,K:K,L:L)</f>
        <v>18</v>
      </c>
    </row>
    <row r="1136" spans="1:8" x14ac:dyDescent="0.3">
      <c r="A1136" t="s">
        <v>92</v>
      </c>
      <c r="B1136">
        <v>20608296167</v>
      </c>
      <c r="C1136" t="s">
        <v>1298</v>
      </c>
      <c r="D1136" t="s">
        <v>7</v>
      </c>
      <c r="E1136" s="1">
        <v>45959</v>
      </c>
      <c r="F1136">
        <v>233.09</v>
      </c>
      <c r="G1136" t="s">
        <v>1437</v>
      </c>
      <c r="H1136">
        <f>_xlfn.XLOOKUP(E1136,K:K,L:L)</f>
        <v>18</v>
      </c>
    </row>
    <row r="1137" spans="1:8" x14ac:dyDescent="0.3">
      <c r="A1137" t="s">
        <v>92</v>
      </c>
      <c r="B1137">
        <v>20613167260</v>
      </c>
      <c r="C1137" t="s">
        <v>1299</v>
      </c>
      <c r="D1137" t="s">
        <v>7</v>
      </c>
      <c r="E1137" s="1">
        <v>45959</v>
      </c>
      <c r="F1137">
        <v>145.69</v>
      </c>
      <c r="G1137" t="s">
        <v>1437</v>
      </c>
      <c r="H1137">
        <f>_xlfn.XLOOKUP(E1137,K:K,L:L)</f>
        <v>18</v>
      </c>
    </row>
    <row r="1138" spans="1:8" x14ac:dyDescent="0.3">
      <c r="A1138" t="s">
        <v>92</v>
      </c>
      <c r="B1138">
        <v>20551180272</v>
      </c>
      <c r="C1138" t="s">
        <v>1300</v>
      </c>
      <c r="D1138" t="s">
        <v>65</v>
      </c>
      <c r="E1138" s="1">
        <v>45959</v>
      </c>
      <c r="F1138">
        <v>176.35</v>
      </c>
      <c r="G1138" t="s">
        <v>1437</v>
      </c>
      <c r="H1138">
        <f>_xlfn.XLOOKUP(E1138,K:K,L:L)</f>
        <v>18</v>
      </c>
    </row>
    <row r="1139" spans="1:8" x14ac:dyDescent="0.3">
      <c r="A1139" t="s">
        <v>92</v>
      </c>
      <c r="B1139">
        <v>20525653162</v>
      </c>
      <c r="C1139" t="s">
        <v>1301</v>
      </c>
      <c r="D1139" t="s">
        <v>162</v>
      </c>
      <c r="E1139" s="1">
        <v>45959</v>
      </c>
      <c r="F1139">
        <v>147.55000000000001</v>
      </c>
      <c r="G1139" t="s">
        <v>1437</v>
      </c>
      <c r="H1139">
        <f>_xlfn.XLOOKUP(E1139,K:K,L:L)</f>
        <v>18</v>
      </c>
    </row>
    <row r="1140" spans="1:8" x14ac:dyDescent="0.3">
      <c r="A1140" t="s">
        <v>92</v>
      </c>
      <c r="B1140">
        <v>20602468748</v>
      </c>
      <c r="C1140" t="s">
        <v>1302</v>
      </c>
      <c r="D1140" t="s">
        <v>119</v>
      </c>
      <c r="E1140" s="1">
        <v>45959</v>
      </c>
      <c r="F1140">
        <v>1469.3400000000001</v>
      </c>
      <c r="G1140" t="s">
        <v>1437</v>
      </c>
      <c r="H1140">
        <f>_xlfn.XLOOKUP(E1140,K:K,L:L)</f>
        <v>18</v>
      </c>
    </row>
    <row r="1141" spans="1:8" x14ac:dyDescent="0.3">
      <c r="A1141" t="s">
        <v>92</v>
      </c>
      <c r="B1141">
        <v>20607013927</v>
      </c>
      <c r="C1141" t="s">
        <v>1303</v>
      </c>
      <c r="D1141" t="s">
        <v>1304</v>
      </c>
      <c r="E1141" s="1">
        <v>45959</v>
      </c>
      <c r="F1141">
        <v>1117.52</v>
      </c>
      <c r="G1141" t="s">
        <v>1437</v>
      </c>
      <c r="H1141">
        <f>_xlfn.XLOOKUP(E1141,K:K,L:L)</f>
        <v>18</v>
      </c>
    </row>
    <row r="1142" spans="1:8" x14ac:dyDescent="0.3">
      <c r="A1142" t="s">
        <v>92</v>
      </c>
      <c r="B1142">
        <v>20602965563</v>
      </c>
      <c r="C1142" t="s">
        <v>1305</v>
      </c>
      <c r="D1142" t="s">
        <v>711</v>
      </c>
      <c r="E1142" s="1">
        <v>45959</v>
      </c>
      <c r="F1142">
        <v>290.09000000000003</v>
      </c>
      <c r="G1142" t="s">
        <v>1437</v>
      </c>
      <c r="H1142">
        <f>_xlfn.XLOOKUP(E1142,K:K,L:L)</f>
        <v>18</v>
      </c>
    </row>
    <row r="1143" spans="1:8" x14ac:dyDescent="0.3">
      <c r="A1143" t="s">
        <v>92</v>
      </c>
      <c r="B1143">
        <v>20613570501</v>
      </c>
      <c r="C1143" t="s">
        <v>1306</v>
      </c>
      <c r="D1143" t="s">
        <v>711</v>
      </c>
      <c r="E1143" s="1">
        <v>45959</v>
      </c>
      <c r="F1143">
        <v>301.68</v>
      </c>
      <c r="G1143" t="s">
        <v>1437</v>
      </c>
      <c r="H1143">
        <f>_xlfn.XLOOKUP(E1143,K:K,L:L)</f>
        <v>18</v>
      </c>
    </row>
    <row r="1144" spans="1:8" x14ac:dyDescent="0.3">
      <c r="A1144" t="s">
        <v>6</v>
      </c>
      <c r="B1144">
        <v>20608756427</v>
      </c>
      <c r="C1144" t="s">
        <v>1307</v>
      </c>
      <c r="D1144" t="s">
        <v>715</v>
      </c>
      <c r="E1144" s="1">
        <v>45959</v>
      </c>
      <c r="F1144">
        <v>65.260000000000005</v>
      </c>
      <c r="G1144" t="s">
        <v>1437</v>
      </c>
      <c r="H1144">
        <f>_xlfn.XLOOKUP(E1144,K:K,L:L)</f>
        <v>18</v>
      </c>
    </row>
    <row r="1145" spans="1:8" x14ac:dyDescent="0.3">
      <c r="A1145" t="s">
        <v>93</v>
      </c>
      <c r="B1145">
        <v>20603642059</v>
      </c>
      <c r="C1145" t="s">
        <v>1308</v>
      </c>
      <c r="D1145" t="s">
        <v>1309</v>
      </c>
      <c r="E1145" s="1">
        <v>45959</v>
      </c>
      <c r="F1145">
        <v>662.71</v>
      </c>
      <c r="G1145" t="s">
        <v>1437</v>
      </c>
      <c r="H1145">
        <f>_xlfn.XLOOKUP(E1145,K:K,L:L)</f>
        <v>18</v>
      </c>
    </row>
    <row r="1146" spans="1:8" x14ac:dyDescent="0.3">
      <c r="A1146" t="s">
        <v>93</v>
      </c>
      <c r="B1146">
        <v>20392983504</v>
      </c>
      <c r="C1146" t="s">
        <v>1310</v>
      </c>
      <c r="D1146" t="s">
        <v>1311</v>
      </c>
      <c r="E1146" s="1">
        <v>45959</v>
      </c>
      <c r="F1146">
        <v>5.96</v>
      </c>
      <c r="G1146" t="s">
        <v>1437</v>
      </c>
      <c r="H1146">
        <f>_xlfn.XLOOKUP(E1146,K:K,L:L)</f>
        <v>18</v>
      </c>
    </row>
    <row r="1147" spans="1:8" x14ac:dyDescent="0.3">
      <c r="A1147" t="s">
        <v>92</v>
      </c>
      <c r="B1147">
        <v>20515307720</v>
      </c>
      <c r="C1147" t="s">
        <v>1312</v>
      </c>
      <c r="D1147" t="s">
        <v>715</v>
      </c>
      <c r="E1147" s="1">
        <v>45960</v>
      </c>
      <c r="F1147">
        <v>237.06</v>
      </c>
      <c r="G1147" t="s">
        <v>1437</v>
      </c>
      <c r="H1147">
        <f>_xlfn.XLOOKUP(E1147,K:K,L:L)</f>
        <v>19</v>
      </c>
    </row>
    <row r="1148" spans="1:8" x14ac:dyDescent="0.3">
      <c r="A1148" t="s">
        <v>92</v>
      </c>
      <c r="B1148">
        <v>20610665501</v>
      </c>
      <c r="C1148" t="s">
        <v>1313</v>
      </c>
      <c r="D1148" t="s">
        <v>715</v>
      </c>
      <c r="E1148" s="1">
        <v>45960</v>
      </c>
      <c r="F1148">
        <v>578.16</v>
      </c>
      <c r="G1148" t="s">
        <v>1437</v>
      </c>
      <c r="H1148">
        <f>_xlfn.XLOOKUP(E1148,K:K,L:L)</f>
        <v>19</v>
      </c>
    </row>
    <row r="1149" spans="1:8" x14ac:dyDescent="0.3">
      <c r="A1149" t="s">
        <v>92</v>
      </c>
      <c r="B1149">
        <v>20610791086</v>
      </c>
      <c r="C1149" t="s">
        <v>1314</v>
      </c>
      <c r="D1149" t="s">
        <v>786</v>
      </c>
      <c r="E1149" s="1">
        <v>45960</v>
      </c>
      <c r="F1149">
        <v>1270.27</v>
      </c>
      <c r="G1149" t="s">
        <v>1437</v>
      </c>
      <c r="H1149">
        <f>_xlfn.XLOOKUP(E1149,K:K,L:L)</f>
        <v>19</v>
      </c>
    </row>
    <row r="1150" spans="1:8" x14ac:dyDescent="0.3">
      <c r="A1150" t="s">
        <v>92</v>
      </c>
      <c r="B1150">
        <v>20611713062</v>
      </c>
      <c r="C1150" t="s">
        <v>1315</v>
      </c>
      <c r="D1150" t="s">
        <v>786</v>
      </c>
      <c r="E1150" s="1">
        <v>45960</v>
      </c>
      <c r="F1150">
        <v>1176.5800000000002</v>
      </c>
      <c r="G1150" t="s">
        <v>1437</v>
      </c>
      <c r="H1150">
        <f>_xlfn.XLOOKUP(E1150,K:K,L:L)</f>
        <v>19</v>
      </c>
    </row>
    <row r="1151" spans="1:8" x14ac:dyDescent="0.3">
      <c r="A1151" t="s">
        <v>92</v>
      </c>
      <c r="B1151">
        <v>20506684286</v>
      </c>
      <c r="C1151" t="s">
        <v>1316</v>
      </c>
      <c r="D1151" t="s">
        <v>206</v>
      </c>
      <c r="E1151" s="1">
        <v>45960</v>
      </c>
      <c r="F1151">
        <v>670.55</v>
      </c>
      <c r="G1151" t="s">
        <v>1437</v>
      </c>
      <c r="H1151">
        <f>_xlfn.XLOOKUP(E1151,K:K,L:L)</f>
        <v>19</v>
      </c>
    </row>
    <row r="1152" spans="1:8" x14ac:dyDescent="0.3">
      <c r="A1152" t="s">
        <v>92</v>
      </c>
      <c r="B1152">
        <v>20570835492</v>
      </c>
      <c r="C1152" t="s">
        <v>1317</v>
      </c>
      <c r="D1152" t="s">
        <v>1318</v>
      </c>
      <c r="E1152" s="1">
        <v>45960</v>
      </c>
      <c r="F1152">
        <v>529.47</v>
      </c>
      <c r="G1152" t="s">
        <v>1437</v>
      </c>
      <c r="H1152">
        <f>_xlfn.XLOOKUP(E1152,K:K,L:L)</f>
        <v>19</v>
      </c>
    </row>
    <row r="1153" spans="1:8" x14ac:dyDescent="0.3">
      <c r="A1153" t="s">
        <v>93</v>
      </c>
      <c r="B1153">
        <v>20536708732</v>
      </c>
      <c r="C1153" t="s">
        <v>1319</v>
      </c>
      <c r="D1153" t="s">
        <v>473</v>
      </c>
      <c r="E1153" s="1">
        <v>45960</v>
      </c>
      <c r="F1153">
        <v>136.45000000000002</v>
      </c>
      <c r="G1153" t="s">
        <v>1437</v>
      </c>
      <c r="H1153">
        <f>_xlfn.XLOOKUP(E1153,K:K,L:L)</f>
        <v>19</v>
      </c>
    </row>
    <row r="1154" spans="1:8" x14ac:dyDescent="0.3">
      <c r="A1154" t="s">
        <v>93</v>
      </c>
      <c r="B1154">
        <v>20613488619</v>
      </c>
      <c r="C1154" t="s">
        <v>1320</v>
      </c>
      <c r="D1154" t="s">
        <v>412</v>
      </c>
      <c r="E1154" s="1">
        <v>45960</v>
      </c>
      <c r="F1154">
        <v>138.76</v>
      </c>
      <c r="G1154" t="s">
        <v>1437</v>
      </c>
      <c r="H1154">
        <f>_xlfn.XLOOKUP(E1154,K:K,L:L)</f>
        <v>19</v>
      </c>
    </row>
    <row r="1155" spans="1:8" x14ac:dyDescent="0.3">
      <c r="A1155" t="s">
        <v>93</v>
      </c>
      <c r="B1155">
        <v>20306470338</v>
      </c>
      <c r="C1155" t="s">
        <v>1321</v>
      </c>
      <c r="D1155" t="s">
        <v>347</v>
      </c>
      <c r="E1155" s="1">
        <v>45960</v>
      </c>
      <c r="F1155">
        <v>496.68</v>
      </c>
      <c r="G1155" t="s">
        <v>1437</v>
      </c>
      <c r="H1155">
        <f>_xlfn.XLOOKUP(E1155,K:K,L:L)</f>
        <v>19</v>
      </c>
    </row>
    <row r="1156" spans="1:8" x14ac:dyDescent="0.3">
      <c r="A1156" t="s">
        <v>92</v>
      </c>
      <c r="B1156">
        <v>20502026586</v>
      </c>
      <c r="C1156" t="s">
        <v>1322</v>
      </c>
      <c r="D1156" t="s">
        <v>715</v>
      </c>
      <c r="E1156" s="1">
        <v>45961</v>
      </c>
      <c r="F1156">
        <v>462.53000000000003</v>
      </c>
      <c r="G1156" t="s">
        <v>1437</v>
      </c>
      <c r="H1156">
        <f>_xlfn.XLOOKUP(E1156,K:K,L:L)</f>
        <v>20</v>
      </c>
    </row>
    <row r="1157" spans="1:8" x14ac:dyDescent="0.3">
      <c r="A1157" t="s">
        <v>92</v>
      </c>
      <c r="B1157">
        <v>20516763273</v>
      </c>
      <c r="C1157" t="s">
        <v>1323</v>
      </c>
      <c r="D1157" t="s">
        <v>715</v>
      </c>
      <c r="E1157" s="1">
        <v>45961</v>
      </c>
      <c r="F1157">
        <v>236.20000000000002</v>
      </c>
      <c r="G1157" t="s">
        <v>1437</v>
      </c>
      <c r="H1157">
        <f>_xlfn.XLOOKUP(E1157,K:K,L:L)</f>
        <v>20</v>
      </c>
    </row>
    <row r="1158" spans="1:8" x14ac:dyDescent="0.3">
      <c r="A1158" t="s">
        <v>92</v>
      </c>
      <c r="B1158">
        <v>20559860965</v>
      </c>
      <c r="C1158" t="s">
        <v>1324</v>
      </c>
      <c r="D1158" t="s">
        <v>1325</v>
      </c>
      <c r="E1158" s="1">
        <v>45961</v>
      </c>
      <c r="F1158">
        <v>447.36</v>
      </c>
      <c r="G1158" t="s">
        <v>1437</v>
      </c>
      <c r="H1158">
        <f>_xlfn.XLOOKUP(E1158,K:K,L:L)</f>
        <v>20</v>
      </c>
    </row>
    <row r="1159" spans="1:8" x14ac:dyDescent="0.3">
      <c r="A1159" t="s">
        <v>92</v>
      </c>
      <c r="B1159">
        <v>20600289242</v>
      </c>
      <c r="C1159" t="s">
        <v>1326</v>
      </c>
      <c r="D1159" t="s">
        <v>786</v>
      </c>
      <c r="E1159" s="1">
        <v>45961</v>
      </c>
      <c r="F1159">
        <v>633.28</v>
      </c>
      <c r="G1159" t="s">
        <v>1437</v>
      </c>
      <c r="H1159">
        <f>_xlfn.XLOOKUP(E1159,K:K,L:L)</f>
        <v>20</v>
      </c>
    </row>
    <row r="1160" spans="1:8" x14ac:dyDescent="0.3">
      <c r="A1160" t="s">
        <v>92</v>
      </c>
      <c r="B1160">
        <v>20602224181</v>
      </c>
      <c r="C1160" t="s">
        <v>1327</v>
      </c>
      <c r="D1160" t="s">
        <v>711</v>
      </c>
      <c r="E1160" s="1">
        <v>45961</v>
      </c>
      <c r="F1160">
        <v>1319.94</v>
      </c>
      <c r="G1160" t="s">
        <v>1437</v>
      </c>
      <c r="H1160">
        <f>_xlfn.XLOOKUP(E1160,K:K,L:L)</f>
        <v>20</v>
      </c>
    </row>
    <row r="1161" spans="1:8" x14ac:dyDescent="0.3">
      <c r="A1161" t="s">
        <v>92</v>
      </c>
      <c r="B1161">
        <v>20602748473</v>
      </c>
      <c r="C1161" t="s">
        <v>1328</v>
      </c>
      <c r="D1161" t="s">
        <v>711</v>
      </c>
      <c r="E1161" s="1">
        <v>45961</v>
      </c>
      <c r="F1161">
        <v>262.36</v>
      </c>
      <c r="G1161" t="s">
        <v>1437</v>
      </c>
      <c r="H1161">
        <f>_xlfn.XLOOKUP(E1161,K:K,L:L)</f>
        <v>20</v>
      </c>
    </row>
    <row r="1162" spans="1:8" x14ac:dyDescent="0.3">
      <c r="A1162" t="s">
        <v>92</v>
      </c>
      <c r="B1162">
        <v>20602944710</v>
      </c>
      <c r="C1162" t="s">
        <v>1329</v>
      </c>
      <c r="D1162" t="s">
        <v>713</v>
      </c>
      <c r="E1162" s="1">
        <v>45961</v>
      </c>
      <c r="F1162">
        <v>2072.14</v>
      </c>
      <c r="G1162" t="s">
        <v>1437</v>
      </c>
      <c r="H1162">
        <f>_xlfn.XLOOKUP(E1162,K:K,L:L)</f>
        <v>20</v>
      </c>
    </row>
    <row r="1163" spans="1:8" x14ac:dyDescent="0.3">
      <c r="A1163" t="s">
        <v>92</v>
      </c>
      <c r="B1163">
        <v>20606539674</v>
      </c>
      <c r="C1163" t="s">
        <v>1330</v>
      </c>
      <c r="D1163" t="s">
        <v>711</v>
      </c>
      <c r="E1163" s="1">
        <v>45961</v>
      </c>
      <c r="F1163">
        <v>262.36</v>
      </c>
      <c r="G1163" t="s">
        <v>1437</v>
      </c>
      <c r="H1163">
        <f>_xlfn.XLOOKUP(E1163,K:K,L:L)</f>
        <v>20</v>
      </c>
    </row>
    <row r="1164" spans="1:8" x14ac:dyDescent="0.3">
      <c r="A1164" t="s">
        <v>92</v>
      </c>
      <c r="B1164">
        <v>20607677175</v>
      </c>
      <c r="C1164" t="s">
        <v>1331</v>
      </c>
      <c r="D1164" t="s">
        <v>720</v>
      </c>
      <c r="E1164" s="1">
        <v>45961</v>
      </c>
      <c r="F1164">
        <v>881.35</v>
      </c>
      <c r="G1164" t="s">
        <v>1437</v>
      </c>
      <c r="H1164">
        <f>_xlfn.XLOOKUP(E1164,K:K,L:L)</f>
        <v>20</v>
      </c>
    </row>
    <row r="1165" spans="1:8" x14ac:dyDescent="0.3">
      <c r="A1165" t="s">
        <v>92</v>
      </c>
      <c r="B1165">
        <v>20607706213</v>
      </c>
      <c r="C1165" t="s">
        <v>1332</v>
      </c>
      <c r="D1165" t="s">
        <v>713</v>
      </c>
      <c r="E1165" s="1">
        <v>45961</v>
      </c>
      <c r="F1165">
        <v>395.34000000000003</v>
      </c>
      <c r="G1165" t="s">
        <v>1437</v>
      </c>
      <c r="H1165">
        <f>_xlfn.XLOOKUP(E1165,K:K,L:L)</f>
        <v>20</v>
      </c>
    </row>
    <row r="1166" spans="1:8" x14ac:dyDescent="0.3">
      <c r="A1166" t="s">
        <v>92</v>
      </c>
      <c r="B1166">
        <v>20611756586</v>
      </c>
      <c r="C1166" t="s">
        <v>1333</v>
      </c>
      <c r="D1166" t="s">
        <v>715</v>
      </c>
      <c r="E1166" s="1">
        <v>45961</v>
      </c>
      <c r="F1166">
        <v>720.3</v>
      </c>
      <c r="G1166" t="s">
        <v>1437</v>
      </c>
      <c r="H1166">
        <f>_xlfn.XLOOKUP(E1166,K:K,L:L)</f>
        <v>20</v>
      </c>
    </row>
    <row r="1167" spans="1:8" x14ac:dyDescent="0.3">
      <c r="A1167" t="s">
        <v>92</v>
      </c>
      <c r="B1167">
        <v>20614304881</v>
      </c>
      <c r="C1167" t="s">
        <v>1334</v>
      </c>
      <c r="D1167" t="s">
        <v>715</v>
      </c>
      <c r="E1167" s="1">
        <v>45961</v>
      </c>
      <c r="F1167">
        <v>391.99</v>
      </c>
      <c r="G1167" t="s">
        <v>1437</v>
      </c>
      <c r="H1167">
        <f>_xlfn.XLOOKUP(E1167,K:K,L:L)</f>
        <v>20</v>
      </c>
    </row>
    <row r="1168" spans="1:8" x14ac:dyDescent="0.3">
      <c r="A1168" t="s">
        <v>92</v>
      </c>
      <c r="B1168">
        <v>20605325174</v>
      </c>
      <c r="C1168" t="s">
        <v>1335</v>
      </c>
      <c r="D1168" t="s">
        <v>27</v>
      </c>
      <c r="E1168" s="1">
        <v>45961</v>
      </c>
      <c r="F1168">
        <v>264.67999999999995</v>
      </c>
      <c r="G1168" t="s">
        <v>1437</v>
      </c>
      <c r="H1168">
        <f>_xlfn.XLOOKUP(E1168,K:K,L:L)</f>
        <v>20</v>
      </c>
    </row>
    <row r="1169" spans="1:8" x14ac:dyDescent="0.3">
      <c r="A1169" t="s">
        <v>92</v>
      </c>
      <c r="B1169">
        <v>20610198075</v>
      </c>
      <c r="C1169" t="s">
        <v>1336</v>
      </c>
      <c r="D1169" t="s">
        <v>27</v>
      </c>
      <c r="E1169" s="1">
        <v>45961</v>
      </c>
      <c r="F1169">
        <v>281.07</v>
      </c>
      <c r="G1169" t="s">
        <v>1437</v>
      </c>
      <c r="H1169">
        <f>_xlfn.XLOOKUP(E1169,K:K,L:L)</f>
        <v>20</v>
      </c>
    </row>
    <row r="1170" spans="1:8" x14ac:dyDescent="0.3">
      <c r="A1170" t="s">
        <v>92</v>
      </c>
      <c r="B1170">
        <v>10095822245</v>
      </c>
      <c r="C1170" t="s">
        <v>637</v>
      </c>
      <c r="D1170" t="s">
        <v>473</v>
      </c>
      <c r="E1170" s="1">
        <v>45961</v>
      </c>
      <c r="F1170">
        <v>545.78</v>
      </c>
      <c r="G1170" t="s">
        <v>1437</v>
      </c>
      <c r="H1170">
        <f>_xlfn.XLOOKUP(E1170,K:K,L:L)</f>
        <v>20</v>
      </c>
    </row>
    <row r="1171" spans="1:8" x14ac:dyDescent="0.3">
      <c r="A1171" t="s">
        <v>93</v>
      </c>
      <c r="B1171">
        <v>20516557371</v>
      </c>
      <c r="C1171" t="s">
        <v>1337</v>
      </c>
      <c r="D1171" t="s">
        <v>450</v>
      </c>
      <c r="E1171" s="1">
        <v>45961</v>
      </c>
      <c r="F1171">
        <v>51.89</v>
      </c>
      <c r="G1171" t="s">
        <v>1437</v>
      </c>
      <c r="H1171">
        <f>_xlfn.XLOOKUP(E1171,K:K,L:L)</f>
        <v>20</v>
      </c>
    </row>
    <row r="1172" spans="1:8" x14ac:dyDescent="0.3">
      <c r="A1172" t="s">
        <v>92</v>
      </c>
      <c r="B1172">
        <v>20547609221</v>
      </c>
      <c r="C1172" t="s">
        <v>1338</v>
      </c>
      <c r="D1172" t="s">
        <v>711</v>
      </c>
      <c r="E1172" s="1">
        <v>45962</v>
      </c>
      <c r="F1172">
        <v>262.61</v>
      </c>
      <c r="G1172" t="s">
        <v>1437</v>
      </c>
      <c r="H1172">
        <f>_xlfn.XLOOKUP(E1172,K:K,L:L)</f>
        <v>20</v>
      </c>
    </row>
    <row r="1173" spans="1:8" x14ac:dyDescent="0.3">
      <c r="A1173" t="s">
        <v>93</v>
      </c>
      <c r="B1173">
        <v>20556355526</v>
      </c>
      <c r="C1173" t="s">
        <v>1339</v>
      </c>
      <c r="D1173" t="s">
        <v>1309</v>
      </c>
      <c r="E1173" s="1">
        <v>45962</v>
      </c>
      <c r="F1173">
        <v>446.85</v>
      </c>
      <c r="G1173" t="s">
        <v>1437</v>
      </c>
      <c r="H1173">
        <f>_xlfn.XLOOKUP(E1173,K:K,L:L)</f>
        <v>20</v>
      </c>
    </row>
    <row r="1174" spans="1:8" x14ac:dyDescent="0.3">
      <c r="A1174" t="s">
        <v>92</v>
      </c>
      <c r="B1174">
        <v>10097569636</v>
      </c>
      <c r="C1174" t="s">
        <v>1340</v>
      </c>
      <c r="D1174" t="s">
        <v>715</v>
      </c>
      <c r="E1174" s="1">
        <v>45964</v>
      </c>
      <c r="F1174">
        <v>279.99</v>
      </c>
      <c r="G1174" t="s">
        <v>1437</v>
      </c>
      <c r="H1174">
        <f>_xlfn.XLOOKUP(E1174,K:K,L:L)</f>
        <v>21</v>
      </c>
    </row>
    <row r="1175" spans="1:8" x14ac:dyDescent="0.3">
      <c r="A1175" t="s">
        <v>92</v>
      </c>
      <c r="B1175">
        <v>20384484981</v>
      </c>
      <c r="C1175" t="s">
        <v>1341</v>
      </c>
      <c r="D1175" t="s">
        <v>715</v>
      </c>
      <c r="E1175" s="1">
        <v>45964</v>
      </c>
      <c r="F1175">
        <v>261.58999999999997</v>
      </c>
      <c r="G1175" t="s">
        <v>1437</v>
      </c>
      <c r="H1175">
        <f>_xlfn.XLOOKUP(E1175,K:K,L:L)</f>
        <v>21</v>
      </c>
    </row>
    <row r="1176" spans="1:8" x14ac:dyDescent="0.3">
      <c r="A1176" t="s">
        <v>92</v>
      </c>
      <c r="B1176">
        <v>20517740781</v>
      </c>
      <c r="C1176" t="s">
        <v>1342</v>
      </c>
      <c r="D1176" t="s">
        <v>715</v>
      </c>
      <c r="E1176" s="1">
        <v>45964</v>
      </c>
      <c r="F1176">
        <v>868.1</v>
      </c>
      <c r="G1176" t="s">
        <v>1437</v>
      </c>
      <c r="H1176">
        <f>_xlfn.XLOOKUP(E1176,K:K,L:L)</f>
        <v>21</v>
      </c>
    </row>
    <row r="1177" spans="1:8" x14ac:dyDescent="0.3">
      <c r="A1177" t="s">
        <v>92</v>
      </c>
      <c r="B1177">
        <v>20603869932</v>
      </c>
      <c r="C1177" t="s">
        <v>1343</v>
      </c>
      <c r="D1177" t="s">
        <v>786</v>
      </c>
      <c r="E1177" s="1">
        <v>45964</v>
      </c>
      <c r="F1177">
        <v>665.41</v>
      </c>
      <c r="G1177" t="s">
        <v>1437</v>
      </c>
      <c r="H1177">
        <f>_xlfn.XLOOKUP(E1177,K:K,L:L)</f>
        <v>21</v>
      </c>
    </row>
    <row r="1178" spans="1:8" x14ac:dyDescent="0.3">
      <c r="A1178" t="s">
        <v>92</v>
      </c>
      <c r="B1178">
        <v>20565679253</v>
      </c>
      <c r="C1178" t="s">
        <v>1344</v>
      </c>
      <c r="D1178" t="s">
        <v>7</v>
      </c>
      <c r="E1178" s="1">
        <v>45964</v>
      </c>
      <c r="F1178">
        <v>131.82</v>
      </c>
      <c r="G1178" t="s">
        <v>1437</v>
      </c>
      <c r="H1178">
        <f>_xlfn.XLOOKUP(E1178,K:K,L:L)</f>
        <v>21</v>
      </c>
    </row>
    <row r="1179" spans="1:8" x14ac:dyDescent="0.3">
      <c r="A1179" t="s">
        <v>92</v>
      </c>
      <c r="B1179">
        <v>20543418065</v>
      </c>
      <c r="C1179" t="s">
        <v>1345</v>
      </c>
      <c r="D1179" t="s">
        <v>540</v>
      </c>
      <c r="E1179" s="1">
        <v>45964</v>
      </c>
      <c r="F1179">
        <v>499.03</v>
      </c>
      <c r="G1179" t="s">
        <v>1437</v>
      </c>
      <c r="H1179">
        <f>_xlfn.XLOOKUP(E1179,K:K,L:L)</f>
        <v>21</v>
      </c>
    </row>
    <row r="1180" spans="1:8" x14ac:dyDescent="0.3">
      <c r="A1180" t="s">
        <v>6</v>
      </c>
      <c r="B1180">
        <v>20523897048</v>
      </c>
      <c r="C1180" t="s">
        <v>1346</v>
      </c>
      <c r="D1180" t="s">
        <v>715</v>
      </c>
      <c r="E1180" s="1">
        <v>45964</v>
      </c>
      <c r="F1180">
        <v>173.62</v>
      </c>
      <c r="G1180" t="s">
        <v>1437</v>
      </c>
      <c r="H1180">
        <f>_xlfn.XLOOKUP(E1180,K:K,L:L)</f>
        <v>21</v>
      </c>
    </row>
    <row r="1181" spans="1:8" x14ac:dyDescent="0.3">
      <c r="A1181" t="s">
        <v>93</v>
      </c>
      <c r="B1181">
        <v>20564452859</v>
      </c>
      <c r="C1181" t="s">
        <v>1347</v>
      </c>
      <c r="D1181" t="s">
        <v>169</v>
      </c>
      <c r="E1181" s="1">
        <v>45964</v>
      </c>
      <c r="F1181">
        <v>274.31</v>
      </c>
      <c r="G1181" t="s">
        <v>1437</v>
      </c>
      <c r="H1181">
        <f>_xlfn.XLOOKUP(E1181,K:K,L:L)</f>
        <v>21</v>
      </c>
    </row>
    <row r="1182" spans="1:8" x14ac:dyDescent="0.3">
      <c r="A1182" t="s">
        <v>92</v>
      </c>
      <c r="B1182">
        <v>20606240253</v>
      </c>
      <c r="C1182" t="s">
        <v>1890</v>
      </c>
      <c r="E1182" s="1">
        <v>45966</v>
      </c>
      <c r="F1182">
        <v>229.22</v>
      </c>
      <c r="G1182" t="s">
        <v>2099</v>
      </c>
      <c r="H1182">
        <f>_xlfn.XLOOKUP(E1182,K:K,L:L)</f>
        <v>23</v>
      </c>
    </row>
    <row r="1183" spans="1:8" x14ac:dyDescent="0.3">
      <c r="A1183" t="s">
        <v>92</v>
      </c>
      <c r="B1183">
        <v>20608585509</v>
      </c>
      <c r="C1183" t="s">
        <v>1891</v>
      </c>
      <c r="E1183" s="1">
        <v>45966</v>
      </c>
      <c r="F1183">
        <v>229.22</v>
      </c>
      <c r="G1183" t="s">
        <v>2099</v>
      </c>
      <c r="H1183">
        <f>_xlfn.XLOOKUP(E1183,K:K,L:L)</f>
        <v>23</v>
      </c>
    </row>
    <row r="1184" spans="1:8" x14ac:dyDescent="0.3">
      <c r="A1184" t="s">
        <v>875</v>
      </c>
      <c r="B1184">
        <v>20514740152</v>
      </c>
      <c r="C1184" t="s">
        <v>882</v>
      </c>
      <c r="E1184" s="1">
        <v>45966</v>
      </c>
      <c r="F1184">
        <v>1312.33</v>
      </c>
      <c r="G1184" t="s">
        <v>2099</v>
      </c>
      <c r="H1184">
        <f>_xlfn.XLOOKUP(E1184,K:K,L:L)</f>
        <v>23</v>
      </c>
    </row>
    <row r="1185" spans="1:8" x14ac:dyDescent="0.3">
      <c r="A1185" t="s">
        <v>875</v>
      </c>
      <c r="B1185">
        <v>20514740152</v>
      </c>
      <c r="C1185" t="s">
        <v>882</v>
      </c>
      <c r="E1185" s="1">
        <v>45966</v>
      </c>
      <c r="F1185">
        <v>1295.54</v>
      </c>
      <c r="G1185" t="s">
        <v>2099</v>
      </c>
      <c r="H1185">
        <f>_xlfn.XLOOKUP(E1185,K:K,L:L)</f>
        <v>23</v>
      </c>
    </row>
    <row r="1186" spans="1:8" x14ac:dyDescent="0.3">
      <c r="A1186" t="s">
        <v>875</v>
      </c>
      <c r="B1186">
        <v>20514740152</v>
      </c>
      <c r="C1186" t="s">
        <v>882</v>
      </c>
      <c r="E1186" s="1">
        <v>45966</v>
      </c>
      <c r="F1186">
        <v>1274.6600000000001</v>
      </c>
      <c r="G1186" t="s">
        <v>2099</v>
      </c>
      <c r="H1186">
        <f>_xlfn.XLOOKUP(E1186,K:K,L:L)</f>
        <v>23</v>
      </c>
    </row>
    <row r="1187" spans="1:8" x14ac:dyDescent="0.3">
      <c r="A1187" t="s">
        <v>875</v>
      </c>
      <c r="B1187">
        <v>20514740152</v>
      </c>
      <c r="C1187" t="s">
        <v>882</v>
      </c>
      <c r="E1187" s="1">
        <v>45966</v>
      </c>
      <c r="F1187">
        <v>1241.29</v>
      </c>
      <c r="G1187" t="s">
        <v>2099</v>
      </c>
      <c r="H1187">
        <f>_xlfn.XLOOKUP(E1187,K:K,L:L)</f>
        <v>23</v>
      </c>
    </row>
    <row r="1188" spans="1:8" x14ac:dyDescent="0.3">
      <c r="A1188" t="s">
        <v>875</v>
      </c>
      <c r="B1188">
        <v>20514740152</v>
      </c>
      <c r="C1188" t="s">
        <v>882</v>
      </c>
      <c r="E1188" s="1">
        <v>45966</v>
      </c>
      <c r="F1188">
        <v>1222.67</v>
      </c>
      <c r="G1188" t="s">
        <v>2099</v>
      </c>
      <c r="H1188">
        <f>_xlfn.XLOOKUP(E1188,K:K,L:L)</f>
        <v>23</v>
      </c>
    </row>
    <row r="1189" spans="1:8" x14ac:dyDescent="0.3">
      <c r="A1189" t="s">
        <v>875</v>
      </c>
      <c r="B1189">
        <v>20514740152</v>
      </c>
      <c r="C1189" t="s">
        <v>882</v>
      </c>
      <c r="E1189" s="1">
        <v>45966</v>
      </c>
      <c r="F1189">
        <v>1201.28</v>
      </c>
      <c r="G1189" t="s">
        <v>2099</v>
      </c>
      <c r="H1189">
        <f>_xlfn.XLOOKUP(E1189,K:K,L:L)</f>
        <v>23</v>
      </c>
    </row>
    <row r="1190" spans="1:8" x14ac:dyDescent="0.3">
      <c r="A1190" t="s">
        <v>875</v>
      </c>
      <c r="B1190">
        <v>20514740152</v>
      </c>
      <c r="C1190" t="s">
        <v>882</v>
      </c>
      <c r="E1190" s="1">
        <v>45966</v>
      </c>
      <c r="F1190">
        <v>642.04999999999995</v>
      </c>
      <c r="G1190" t="s">
        <v>2099</v>
      </c>
      <c r="H1190">
        <f>_xlfn.XLOOKUP(E1190,K:K,L:L)</f>
        <v>23</v>
      </c>
    </row>
    <row r="1191" spans="1:8" x14ac:dyDescent="0.3">
      <c r="A1191" t="s">
        <v>92</v>
      </c>
      <c r="B1191">
        <v>20602160433</v>
      </c>
      <c r="C1191" t="s">
        <v>1544</v>
      </c>
      <c r="E1191" s="1">
        <v>45967</v>
      </c>
      <c r="F1191">
        <v>325.94</v>
      </c>
      <c r="G1191" t="s">
        <v>2099</v>
      </c>
      <c r="H1191">
        <f>_xlfn.XLOOKUP(E1191,K:K,L:L)</f>
        <v>1</v>
      </c>
    </row>
    <row r="1192" spans="1:8" x14ac:dyDescent="0.3">
      <c r="A1192" t="s">
        <v>92</v>
      </c>
      <c r="B1192">
        <v>10443989787</v>
      </c>
      <c r="C1192" t="s">
        <v>1545</v>
      </c>
      <c r="E1192" s="1">
        <v>45968</v>
      </c>
      <c r="F1192">
        <v>206.5</v>
      </c>
      <c r="G1192" t="s">
        <v>2099</v>
      </c>
      <c r="H1192">
        <f>_xlfn.XLOOKUP(E1192,K:K,L:L)</f>
        <v>2</v>
      </c>
    </row>
    <row r="1193" spans="1:8" x14ac:dyDescent="0.3">
      <c r="A1193" t="s">
        <v>92</v>
      </c>
      <c r="B1193">
        <v>10485288321</v>
      </c>
      <c r="C1193" t="s">
        <v>1546</v>
      </c>
      <c r="E1193" s="1">
        <v>45968</v>
      </c>
      <c r="F1193">
        <v>166.36</v>
      </c>
      <c r="G1193" t="s">
        <v>2099</v>
      </c>
      <c r="H1193">
        <f>_xlfn.XLOOKUP(E1193,K:K,L:L)</f>
        <v>2</v>
      </c>
    </row>
    <row r="1194" spans="1:8" x14ac:dyDescent="0.3">
      <c r="A1194" t="s">
        <v>92</v>
      </c>
      <c r="B1194">
        <v>10771641283</v>
      </c>
      <c r="C1194" t="s">
        <v>1547</v>
      </c>
      <c r="E1194" s="1">
        <v>45968</v>
      </c>
      <c r="F1194">
        <v>203.57999999999998</v>
      </c>
      <c r="G1194" t="s">
        <v>2099</v>
      </c>
      <c r="H1194">
        <f>_xlfn.XLOOKUP(E1194,K:K,L:L)</f>
        <v>2</v>
      </c>
    </row>
    <row r="1195" spans="1:8" x14ac:dyDescent="0.3">
      <c r="A1195" t="s">
        <v>92</v>
      </c>
      <c r="B1195">
        <v>20343155230</v>
      </c>
      <c r="C1195" t="s">
        <v>1548</v>
      </c>
      <c r="E1195" s="1">
        <v>45968</v>
      </c>
      <c r="F1195">
        <v>540.96</v>
      </c>
      <c r="G1195" t="s">
        <v>2099</v>
      </c>
      <c r="H1195">
        <f>_xlfn.XLOOKUP(E1195,K:K,L:L)</f>
        <v>2</v>
      </c>
    </row>
    <row r="1196" spans="1:8" x14ac:dyDescent="0.3">
      <c r="A1196" t="s">
        <v>92</v>
      </c>
      <c r="B1196">
        <v>20439069849</v>
      </c>
      <c r="C1196" t="s">
        <v>1549</v>
      </c>
      <c r="E1196" s="1">
        <v>45968</v>
      </c>
      <c r="F1196">
        <v>259.27</v>
      </c>
      <c r="G1196" t="s">
        <v>2099</v>
      </c>
      <c r="H1196">
        <f>_xlfn.XLOOKUP(E1196,K:K,L:L)</f>
        <v>2</v>
      </c>
    </row>
    <row r="1197" spans="1:8" x14ac:dyDescent="0.3">
      <c r="A1197" t="s">
        <v>92</v>
      </c>
      <c r="B1197">
        <v>20496080808</v>
      </c>
      <c r="C1197" t="s">
        <v>1550</v>
      </c>
      <c r="E1197" s="1">
        <v>45968</v>
      </c>
      <c r="F1197">
        <v>263.86</v>
      </c>
      <c r="G1197" t="s">
        <v>2099</v>
      </c>
      <c r="H1197">
        <f>_xlfn.XLOOKUP(E1197,K:K,L:L)</f>
        <v>2</v>
      </c>
    </row>
    <row r="1198" spans="1:8" x14ac:dyDescent="0.3">
      <c r="A1198" t="s">
        <v>92</v>
      </c>
      <c r="B1198">
        <v>20521676711</v>
      </c>
      <c r="C1198" t="s">
        <v>1551</v>
      </c>
      <c r="E1198" s="1">
        <v>45968</v>
      </c>
      <c r="F1198">
        <v>484.82</v>
      </c>
      <c r="G1198" t="s">
        <v>2099</v>
      </c>
      <c r="H1198">
        <f>_xlfn.XLOOKUP(E1198,K:K,L:L)</f>
        <v>2</v>
      </c>
    </row>
    <row r="1199" spans="1:8" x14ac:dyDescent="0.3">
      <c r="A1199" t="s">
        <v>92</v>
      </c>
      <c r="B1199">
        <v>20534080108</v>
      </c>
      <c r="C1199" t="s">
        <v>1552</v>
      </c>
      <c r="E1199" s="1">
        <v>45968</v>
      </c>
      <c r="F1199">
        <v>388.91</v>
      </c>
      <c r="G1199" t="s">
        <v>2099</v>
      </c>
      <c r="H1199">
        <f>_xlfn.XLOOKUP(E1199,K:K,L:L)</f>
        <v>2</v>
      </c>
    </row>
    <row r="1200" spans="1:8" x14ac:dyDescent="0.3">
      <c r="A1200" t="s">
        <v>92</v>
      </c>
      <c r="B1200">
        <v>20534421703</v>
      </c>
      <c r="C1200" t="s">
        <v>1553</v>
      </c>
      <c r="E1200" s="1">
        <v>45968</v>
      </c>
      <c r="F1200">
        <v>216.82</v>
      </c>
      <c r="G1200" t="s">
        <v>2099</v>
      </c>
      <c r="H1200">
        <f>_xlfn.XLOOKUP(E1200,K:K,L:L)</f>
        <v>2</v>
      </c>
    </row>
    <row r="1201" spans="1:8" x14ac:dyDescent="0.3">
      <c r="A1201" t="s">
        <v>92</v>
      </c>
      <c r="B1201">
        <v>20544938356</v>
      </c>
      <c r="C1201" t="s">
        <v>1554</v>
      </c>
      <c r="E1201" s="1">
        <v>45968</v>
      </c>
      <c r="F1201">
        <v>630.98</v>
      </c>
      <c r="G1201" t="s">
        <v>2099</v>
      </c>
      <c r="H1201">
        <f>_xlfn.XLOOKUP(E1201,K:K,L:L)</f>
        <v>2</v>
      </c>
    </row>
    <row r="1202" spans="1:8" x14ac:dyDescent="0.3">
      <c r="A1202" t="s">
        <v>92</v>
      </c>
      <c r="B1202">
        <v>20552502354</v>
      </c>
      <c r="C1202" t="s">
        <v>1555</v>
      </c>
      <c r="E1202" s="1">
        <v>45968</v>
      </c>
      <c r="F1202">
        <v>668.38</v>
      </c>
      <c r="G1202" t="s">
        <v>2099</v>
      </c>
      <c r="H1202">
        <f>_xlfn.XLOOKUP(E1202,K:K,L:L)</f>
        <v>2</v>
      </c>
    </row>
    <row r="1203" spans="1:8" x14ac:dyDescent="0.3">
      <c r="A1203" t="s">
        <v>92</v>
      </c>
      <c r="B1203">
        <v>20558269511</v>
      </c>
      <c r="C1203" t="s">
        <v>1556</v>
      </c>
      <c r="E1203" s="1">
        <v>45968</v>
      </c>
      <c r="F1203">
        <v>278.63</v>
      </c>
      <c r="G1203" t="s">
        <v>2099</v>
      </c>
      <c r="H1203">
        <f>_xlfn.XLOOKUP(E1203,K:K,L:L)</f>
        <v>2</v>
      </c>
    </row>
    <row r="1204" spans="1:8" x14ac:dyDescent="0.3">
      <c r="A1204" t="s">
        <v>92</v>
      </c>
      <c r="B1204">
        <v>20600587383</v>
      </c>
      <c r="C1204" t="s">
        <v>1557</v>
      </c>
      <c r="E1204" s="1">
        <v>45968</v>
      </c>
      <c r="F1204">
        <v>314.69</v>
      </c>
      <c r="G1204" t="s">
        <v>2099</v>
      </c>
      <c r="H1204">
        <f>_xlfn.XLOOKUP(E1204,K:K,L:L)</f>
        <v>2</v>
      </c>
    </row>
    <row r="1205" spans="1:8" x14ac:dyDescent="0.3">
      <c r="A1205" t="s">
        <v>92</v>
      </c>
      <c r="B1205">
        <v>20600630033</v>
      </c>
      <c r="C1205" t="s">
        <v>1558</v>
      </c>
      <c r="E1205" s="1">
        <v>45968</v>
      </c>
      <c r="F1205">
        <v>515.55000000000007</v>
      </c>
      <c r="G1205" t="s">
        <v>2099</v>
      </c>
      <c r="H1205">
        <f>_xlfn.XLOOKUP(E1205,K:K,L:L)</f>
        <v>2</v>
      </c>
    </row>
    <row r="1206" spans="1:8" x14ac:dyDescent="0.3">
      <c r="A1206" t="s">
        <v>92</v>
      </c>
      <c r="B1206">
        <v>20600723317</v>
      </c>
      <c r="C1206" t="s">
        <v>1559</v>
      </c>
      <c r="E1206" s="1">
        <v>45968</v>
      </c>
      <c r="F1206">
        <v>259.27</v>
      </c>
      <c r="G1206" t="s">
        <v>2099</v>
      </c>
      <c r="H1206">
        <f>_xlfn.XLOOKUP(E1206,K:K,L:L)</f>
        <v>2</v>
      </c>
    </row>
    <row r="1207" spans="1:8" x14ac:dyDescent="0.3">
      <c r="A1207" t="s">
        <v>92</v>
      </c>
      <c r="B1207">
        <v>20601669413</v>
      </c>
      <c r="C1207" t="s">
        <v>1560</v>
      </c>
      <c r="E1207" s="1">
        <v>45968</v>
      </c>
      <c r="F1207">
        <v>229.45000000000002</v>
      </c>
      <c r="G1207" t="s">
        <v>2099</v>
      </c>
      <c r="H1207">
        <f>_xlfn.XLOOKUP(E1207,K:K,L:L)</f>
        <v>2</v>
      </c>
    </row>
    <row r="1208" spans="1:8" x14ac:dyDescent="0.3">
      <c r="A1208" t="s">
        <v>92</v>
      </c>
      <c r="B1208">
        <v>20601941881</v>
      </c>
      <c r="C1208" t="s">
        <v>1561</v>
      </c>
      <c r="E1208" s="1">
        <v>45968</v>
      </c>
      <c r="F1208">
        <v>1307.8499999999999</v>
      </c>
      <c r="G1208" t="s">
        <v>2099</v>
      </c>
      <c r="H1208">
        <f>_xlfn.XLOOKUP(E1208,K:K,L:L)</f>
        <v>2</v>
      </c>
    </row>
    <row r="1209" spans="1:8" x14ac:dyDescent="0.3">
      <c r="A1209" t="s">
        <v>92</v>
      </c>
      <c r="B1209">
        <v>20602215599</v>
      </c>
      <c r="C1209" t="s">
        <v>1562</v>
      </c>
      <c r="E1209" s="1">
        <v>45968</v>
      </c>
      <c r="F1209">
        <v>276.73</v>
      </c>
      <c r="G1209" t="s">
        <v>2099</v>
      </c>
      <c r="H1209">
        <f>_xlfn.XLOOKUP(E1209,K:K,L:L)</f>
        <v>2</v>
      </c>
    </row>
    <row r="1210" spans="1:8" x14ac:dyDescent="0.3">
      <c r="A1210" t="s">
        <v>92</v>
      </c>
      <c r="B1210">
        <v>20603041519</v>
      </c>
      <c r="C1210" t="s">
        <v>1563</v>
      </c>
      <c r="E1210" s="1">
        <v>45968</v>
      </c>
      <c r="F1210">
        <v>907.46</v>
      </c>
      <c r="G1210" t="s">
        <v>2099</v>
      </c>
      <c r="H1210">
        <f>_xlfn.XLOOKUP(E1210,K:K,L:L)</f>
        <v>2</v>
      </c>
    </row>
    <row r="1211" spans="1:8" x14ac:dyDescent="0.3">
      <c r="A1211" t="s">
        <v>92</v>
      </c>
      <c r="B1211">
        <v>20603354240</v>
      </c>
      <c r="C1211" t="s">
        <v>1564</v>
      </c>
      <c r="E1211" s="1">
        <v>45968</v>
      </c>
      <c r="F1211">
        <v>601.5</v>
      </c>
      <c r="G1211" t="s">
        <v>2099</v>
      </c>
      <c r="H1211">
        <f>_xlfn.XLOOKUP(E1211,K:K,L:L)</f>
        <v>2</v>
      </c>
    </row>
    <row r="1212" spans="1:8" x14ac:dyDescent="0.3">
      <c r="A1212" t="s">
        <v>92</v>
      </c>
      <c r="B1212">
        <v>20605419730</v>
      </c>
      <c r="C1212" t="s">
        <v>1565</v>
      </c>
      <c r="E1212" s="1">
        <v>45968</v>
      </c>
      <c r="F1212">
        <v>504.78</v>
      </c>
      <c r="G1212" t="s">
        <v>2099</v>
      </c>
      <c r="H1212">
        <f>_xlfn.XLOOKUP(E1212,K:K,L:L)</f>
        <v>2</v>
      </c>
    </row>
    <row r="1213" spans="1:8" x14ac:dyDescent="0.3">
      <c r="A1213" t="s">
        <v>92</v>
      </c>
      <c r="B1213">
        <v>20605456406</v>
      </c>
      <c r="C1213" t="s">
        <v>1566</v>
      </c>
      <c r="E1213" s="1">
        <v>45968</v>
      </c>
      <c r="F1213">
        <v>129.63999999999999</v>
      </c>
      <c r="G1213" t="s">
        <v>2099</v>
      </c>
      <c r="H1213">
        <f>_xlfn.XLOOKUP(E1213,K:K,L:L)</f>
        <v>2</v>
      </c>
    </row>
    <row r="1214" spans="1:8" x14ac:dyDescent="0.3">
      <c r="A1214" t="s">
        <v>92</v>
      </c>
      <c r="B1214">
        <v>20605614745</v>
      </c>
      <c r="C1214" t="s">
        <v>1567</v>
      </c>
      <c r="E1214" s="1">
        <v>45968</v>
      </c>
      <c r="F1214">
        <v>511.67999999999995</v>
      </c>
      <c r="G1214" t="s">
        <v>2099</v>
      </c>
      <c r="H1214">
        <f>_xlfn.XLOOKUP(E1214,K:K,L:L)</f>
        <v>2</v>
      </c>
    </row>
    <row r="1215" spans="1:8" x14ac:dyDescent="0.3">
      <c r="A1215" t="s">
        <v>92</v>
      </c>
      <c r="B1215">
        <v>20606091681</v>
      </c>
      <c r="C1215" t="s">
        <v>1568</v>
      </c>
      <c r="E1215" s="1">
        <v>45968</v>
      </c>
      <c r="F1215">
        <v>286.81</v>
      </c>
      <c r="G1215" t="s">
        <v>2099</v>
      </c>
      <c r="H1215">
        <f>_xlfn.XLOOKUP(E1215,K:K,L:L)</f>
        <v>2</v>
      </c>
    </row>
    <row r="1216" spans="1:8" x14ac:dyDescent="0.3">
      <c r="A1216" t="s">
        <v>92</v>
      </c>
      <c r="B1216">
        <v>20606336447</v>
      </c>
      <c r="C1216" t="s">
        <v>1569</v>
      </c>
      <c r="E1216" s="1">
        <v>45968</v>
      </c>
      <c r="F1216">
        <v>332.70000000000005</v>
      </c>
      <c r="G1216" t="s">
        <v>2099</v>
      </c>
      <c r="H1216">
        <f>_xlfn.XLOOKUP(E1216,K:K,L:L)</f>
        <v>2</v>
      </c>
    </row>
    <row r="1217" spans="1:8" x14ac:dyDescent="0.3">
      <c r="A1217" t="s">
        <v>92</v>
      </c>
      <c r="B1217">
        <v>20607301515</v>
      </c>
      <c r="C1217" t="s">
        <v>1570</v>
      </c>
      <c r="E1217" s="1">
        <v>45968</v>
      </c>
      <c r="F1217">
        <v>374.35</v>
      </c>
      <c r="G1217" t="s">
        <v>2099</v>
      </c>
      <c r="H1217">
        <f>_xlfn.XLOOKUP(E1217,K:K,L:L)</f>
        <v>2</v>
      </c>
    </row>
    <row r="1218" spans="1:8" x14ac:dyDescent="0.3">
      <c r="A1218" t="s">
        <v>92</v>
      </c>
      <c r="B1218">
        <v>20607827592</v>
      </c>
      <c r="C1218" t="s">
        <v>1571</v>
      </c>
      <c r="E1218" s="1">
        <v>45968</v>
      </c>
      <c r="F1218">
        <v>286.81</v>
      </c>
      <c r="G1218" t="s">
        <v>2099</v>
      </c>
      <c r="H1218">
        <f>_xlfn.XLOOKUP(E1218,K:K,L:L)</f>
        <v>2</v>
      </c>
    </row>
    <row r="1219" spans="1:8" x14ac:dyDescent="0.3">
      <c r="A1219" t="s">
        <v>92</v>
      </c>
      <c r="B1219">
        <v>20608118153</v>
      </c>
      <c r="C1219" t="s">
        <v>1572</v>
      </c>
      <c r="E1219" s="1">
        <v>45968</v>
      </c>
      <c r="F1219">
        <v>493.31</v>
      </c>
      <c r="G1219" t="s">
        <v>2099</v>
      </c>
      <c r="H1219">
        <f>_xlfn.XLOOKUP(E1219,K:K,L:L)</f>
        <v>2</v>
      </c>
    </row>
    <row r="1220" spans="1:8" x14ac:dyDescent="0.3">
      <c r="A1220" t="s">
        <v>92</v>
      </c>
      <c r="B1220">
        <v>20608563157</v>
      </c>
      <c r="C1220" t="s">
        <v>1573</v>
      </c>
      <c r="E1220" s="1">
        <v>45968</v>
      </c>
      <c r="F1220">
        <v>230.94</v>
      </c>
      <c r="G1220" t="s">
        <v>2099</v>
      </c>
      <c r="H1220">
        <f>_xlfn.XLOOKUP(E1220,K:K,L:L)</f>
        <v>2</v>
      </c>
    </row>
    <row r="1221" spans="1:8" x14ac:dyDescent="0.3">
      <c r="A1221" t="s">
        <v>92</v>
      </c>
      <c r="B1221">
        <v>20608666851</v>
      </c>
      <c r="C1221" t="s">
        <v>1574</v>
      </c>
      <c r="E1221" s="1">
        <v>45968</v>
      </c>
      <c r="F1221">
        <v>129.63999999999999</v>
      </c>
      <c r="G1221" t="s">
        <v>2099</v>
      </c>
      <c r="H1221">
        <f>_xlfn.XLOOKUP(E1221,K:K,L:L)</f>
        <v>2</v>
      </c>
    </row>
    <row r="1222" spans="1:8" x14ac:dyDescent="0.3">
      <c r="A1222" t="s">
        <v>92</v>
      </c>
      <c r="B1222">
        <v>20609499517</v>
      </c>
      <c r="C1222" t="s">
        <v>1575</v>
      </c>
      <c r="E1222" s="1">
        <v>45968</v>
      </c>
      <c r="F1222">
        <v>518.54999999999995</v>
      </c>
      <c r="G1222" t="s">
        <v>2099</v>
      </c>
      <c r="H1222">
        <f>_xlfn.XLOOKUP(E1222,K:K,L:L)</f>
        <v>2</v>
      </c>
    </row>
    <row r="1223" spans="1:8" x14ac:dyDescent="0.3">
      <c r="A1223" t="s">
        <v>92</v>
      </c>
      <c r="B1223">
        <v>20609757575</v>
      </c>
      <c r="C1223" t="s">
        <v>1576</v>
      </c>
      <c r="E1223" s="1">
        <v>45968</v>
      </c>
      <c r="F1223">
        <v>259.27</v>
      </c>
      <c r="G1223" t="s">
        <v>2099</v>
      </c>
      <c r="H1223">
        <f>_xlfn.XLOOKUP(E1223,K:K,L:L)</f>
        <v>2</v>
      </c>
    </row>
    <row r="1224" spans="1:8" x14ac:dyDescent="0.3">
      <c r="A1224" t="s">
        <v>92</v>
      </c>
      <c r="B1224">
        <v>20610786414</v>
      </c>
      <c r="C1224" t="s">
        <v>1577</v>
      </c>
      <c r="E1224" s="1">
        <v>45968</v>
      </c>
      <c r="F1224">
        <v>129.63999999999999</v>
      </c>
      <c r="G1224" t="s">
        <v>2099</v>
      </c>
      <c r="H1224">
        <f>_xlfn.XLOOKUP(E1224,K:K,L:L)</f>
        <v>2</v>
      </c>
    </row>
    <row r="1225" spans="1:8" x14ac:dyDescent="0.3">
      <c r="A1225" t="s">
        <v>92</v>
      </c>
      <c r="B1225">
        <v>20610854215</v>
      </c>
      <c r="C1225" t="s">
        <v>1578</v>
      </c>
      <c r="E1225" s="1">
        <v>45968</v>
      </c>
      <c r="F1225">
        <v>396.94</v>
      </c>
      <c r="G1225" t="s">
        <v>2099</v>
      </c>
      <c r="H1225">
        <f>_xlfn.XLOOKUP(E1225,K:K,L:L)</f>
        <v>2</v>
      </c>
    </row>
    <row r="1226" spans="1:8" x14ac:dyDescent="0.3">
      <c r="A1226" t="s">
        <v>92</v>
      </c>
      <c r="B1226">
        <v>20611998245</v>
      </c>
      <c r="C1226" t="s">
        <v>1579</v>
      </c>
      <c r="E1226" s="1">
        <v>45968</v>
      </c>
      <c r="F1226">
        <v>129.63999999999999</v>
      </c>
      <c r="G1226" t="s">
        <v>2099</v>
      </c>
      <c r="H1226">
        <f>_xlfn.XLOOKUP(E1226,K:K,L:L)</f>
        <v>2</v>
      </c>
    </row>
    <row r="1227" spans="1:8" x14ac:dyDescent="0.3">
      <c r="A1227" t="s">
        <v>92</v>
      </c>
      <c r="B1227">
        <v>20123697864</v>
      </c>
      <c r="C1227" t="s">
        <v>1580</v>
      </c>
      <c r="E1227" s="1">
        <v>45968</v>
      </c>
      <c r="F1227">
        <v>278.06</v>
      </c>
      <c r="G1227" t="s">
        <v>2099</v>
      </c>
      <c r="H1227">
        <f>_xlfn.XLOOKUP(E1227,K:K,L:L)</f>
        <v>2</v>
      </c>
    </row>
    <row r="1228" spans="1:8" x14ac:dyDescent="0.3">
      <c r="A1228" t="s">
        <v>92</v>
      </c>
      <c r="B1228">
        <v>20521334089</v>
      </c>
      <c r="C1228" t="s">
        <v>1581</v>
      </c>
      <c r="E1228" s="1">
        <v>45968</v>
      </c>
      <c r="F1228">
        <v>231.72000000000003</v>
      </c>
      <c r="G1228" t="s">
        <v>2099</v>
      </c>
      <c r="H1228">
        <f>_xlfn.XLOOKUP(E1228,K:K,L:L)</f>
        <v>2</v>
      </c>
    </row>
    <row r="1229" spans="1:8" x14ac:dyDescent="0.3">
      <c r="A1229" t="s">
        <v>92</v>
      </c>
      <c r="B1229">
        <v>20524860504</v>
      </c>
      <c r="C1229" t="s">
        <v>1582</v>
      </c>
      <c r="E1229" s="1">
        <v>45968</v>
      </c>
      <c r="F1229">
        <v>656.33</v>
      </c>
      <c r="G1229" t="s">
        <v>2099</v>
      </c>
      <c r="H1229">
        <f>_xlfn.XLOOKUP(E1229,K:K,L:L)</f>
        <v>2</v>
      </c>
    </row>
    <row r="1230" spans="1:8" x14ac:dyDescent="0.3">
      <c r="A1230" t="s">
        <v>92</v>
      </c>
      <c r="B1230">
        <v>20552615043</v>
      </c>
      <c r="C1230" t="s">
        <v>1583</v>
      </c>
      <c r="E1230" s="1">
        <v>45968</v>
      </c>
      <c r="F1230">
        <v>752.88000000000011</v>
      </c>
      <c r="G1230" t="s">
        <v>2099</v>
      </c>
      <c r="H1230">
        <f>_xlfn.XLOOKUP(E1230,K:K,L:L)</f>
        <v>2</v>
      </c>
    </row>
    <row r="1231" spans="1:8" x14ac:dyDescent="0.3">
      <c r="A1231" t="s">
        <v>92</v>
      </c>
      <c r="B1231">
        <v>20563578824</v>
      </c>
      <c r="C1231" t="s">
        <v>10</v>
      </c>
      <c r="E1231" s="1">
        <v>45968</v>
      </c>
      <c r="F1231">
        <v>447.79999999999995</v>
      </c>
      <c r="G1231" t="s">
        <v>2099</v>
      </c>
      <c r="H1231">
        <f>_xlfn.XLOOKUP(E1231,K:K,L:L)</f>
        <v>2</v>
      </c>
    </row>
    <row r="1232" spans="1:8" x14ac:dyDescent="0.3">
      <c r="A1232" t="s">
        <v>92</v>
      </c>
      <c r="B1232">
        <v>20600723317</v>
      </c>
      <c r="C1232" t="s">
        <v>1559</v>
      </c>
      <c r="E1232" s="1">
        <v>45968</v>
      </c>
      <c r="F1232">
        <v>261.83999999999997</v>
      </c>
      <c r="G1232" t="s">
        <v>2099</v>
      </c>
      <c r="H1232">
        <f>_xlfn.XLOOKUP(E1232,K:K,L:L)</f>
        <v>2</v>
      </c>
    </row>
    <row r="1233" spans="1:8" x14ac:dyDescent="0.3">
      <c r="A1233" t="s">
        <v>92</v>
      </c>
      <c r="B1233">
        <v>20600859251</v>
      </c>
      <c r="C1233" t="s">
        <v>1584</v>
      </c>
      <c r="E1233" s="1">
        <v>45968</v>
      </c>
      <c r="F1233">
        <v>130.92000000000002</v>
      </c>
      <c r="G1233" t="s">
        <v>2099</v>
      </c>
      <c r="H1233">
        <f>_xlfn.XLOOKUP(E1233,K:K,L:L)</f>
        <v>2</v>
      </c>
    </row>
    <row r="1234" spans="1:8" x14ac:dyDescent="0.3">
      <c r="A1234" t="s">
        <v>92</v>
      </c>
      <c r="B1234">
        <v>20603354240</v>
      </c>
      <c r="C1234" t="s">
        <v>1564</v>
      </c>
      <c r="E1234" s="1">
        <v>45968</v>
      </c>
      <c r="F1234">
        <v>669.23</v>
      </c>
      <c r="G1234" t="s">
        <v>2099</v>
      </c>
      <c r="H1234">
        <f>_xlfn.XLOOKUP(E1234,K:K,L:L)</f>
        <v>2</v>
      </c>
    </row>
    <row r="1235" spans="1:8" x14ac:dyDescent="0.3">
      <c r="A1235" t="s">
        <v>92</v>
      </c>
      <c r="B1235">
        <v>20605614745</v>
      </c>
      <c r="C1235" t="s">
        <v>1567</v>
      </c>
      <c r="E1235" s="1">
        <v>45968</v>
      </c>
      <c r="F1235">
        <v>476.53000000000003</v>
      </c>
      <c r="G1235" t="s">
        <v>2099</v>
      </c>
      <c r="H1235">
        <f>_xlfn.XLOOKUP(E1235,K:K,L:L)</f>
        <v>2</v>
      </c>
    </row>
    <row r="1236" spans="1:8" x14ac:dyDescent="0.3">
      <c r="A1236" t="s">
        <v>92</v>
      </c>
      <c r="B1236">
        <v>20607827592</v>
      </c>
      <c r="C1236" t="s">
        <v>1571</v>
      </c>
      <c r="E1236" s="1">
        <v>45968</v>
      </c>
      <c r="F1236">
        <v>289.64999999999998</v>
      </c>
      <c r="G1236" t="s">
        <v>2099</v>
      </c>
      <c r="H1236">
        <f>_xlfn.XLOOKUP(E1236,K:K,L:L)</f>
        <v>2</v>
      </c>
    </row>
    <row r="1237" spans="1:8" x14ac:dyDescent="0.3">
      <c r="A1237" t="s">
        <v>92</v>
      </c>
      <c r="B1237">
        <v>20608563157</v>
      </c>
      <c r="C1237" t="s">
        <v>1573</v>
      </c>
      <c r="E1237" s="1">
        <v>45968</v>
      </c>
      <c r="F1237">
        <v>262.58</v>
      </c>
      <c r="G1237" t="s">
        <v>2099</v>
      </c>
      <c r="H1237">
        <f>_xlfn.XLOOKUP(E1237,K:K,L:L)</f>
        <v>2</v>
      </c>
    </row>
    <row r="1238" spans="1:8" x14ac:dyDescent="0.3">
      <c r="A1238" t="s">
        <v>92</v>
      </c>
      <c r="B1238">
        <v>20608666851</v>
      </c>
      <c r="C1238" t="s">
        <v>1574</v>
      </c>
      <c r="E1238" s="1">
        <v>45968</v>
      </c>
      <c r="F1238">
        <v>130.92000000000002</v>
      </c>
      <c r="G1238" t="s">
        <v>2099</v>
      </c>
      <c r="H1238">
        <f>_xlfn.XLOOKUP(E1238,K:K,L:L)</f>
        <v>2</v>
      </c>
    </row>
    <row r="1239" spans="1:8" x14ac:dyDescent="0.3">
      <c r="A1239" t="s">
        <v>92</v>
      </c>
      <c r="B1239">
        <v>20610364935</v>
      </c>
      <c r="C1239" t="s">
        <v>1585</v>
      </c>
      <c r="E1239" s="1">
        <v>45968</v>
      </c>
      <c r="F1239">
        <v>523.68999999999994</v>
      </c>
      <c r="G1239" t="s">
        <v>2099</v>
      </c>
      <c r="H1239">
        <f>_xlfn.XLOOKUP(E1239,K:K,L:L)</f>
        <v>2</v>
      </c>
    </row>
    <row r="1240" spans="1:8" x14ac:dyDescent="0.3">
      <c r="A1240" t="s">
        <v>92</v>
      </c>
      <c r="B1240">
        <v>20610786414</v>
      </c>
      <c r="C1240" t="s">
        <v>1577</v>
      </c>
      <c r="E1240" s="1">
        <v>45968</v>
      </c>
      <c r="F1240">
        <v>130.92000000000002</v>
      </c>
      <c r="G1240" t="s">
        <v>2099</v>
      </c>
      <c r="H1240">
        <f>_xlfn.XLOOKUP(E1240,K:K,L:L)</f>
        <v>2</v>
      </c>
    </row>
    <row r="1241" spans="1:8" x14ac:dyDescent="0.3">
      <c r="A1241" t="s">
        <v>92</v>
      </c>
      <c r="B1241">
        <v>20611998245</v>
      </c>
      <c r="C1241" t="s">
        <v>1579</v>
      </c>
      <c r="E1241" s="1">
        <v>45968</v>
      </c>
      <c r="F1241">
        <v>130.92000000000002</v>
      </c>
      <c r="G1241" t="s">
        <v>2099</v>
      </c>
      <c r="H1241">
        <f>_xlfn.XLOOKUP(E1241,K:K,L:L)</f>
        <v>2</v>
      </c>
    </row>
    <row r="1242" spans="1:8" x14ac:dyDescent="0.3">
      <c r="A1242" t="s">
        <v>92</v>
      </c>
      <c r="B1242">
        <v>20600859251</v>
      </c>
      <c r="C1242" t="s">
        <v>1584</v>
      </c>
      <c r="E1242" s="1">
        <v>45968</v>
      </c>
      <c r="F1242">
        <v>131.94999999999999</v>
      </c>
      <c r="G1242" t="s">
        <v>2099</v>
      </c>
      <c r="H1242">
        <f>_xlfn.XLOOKUP(E1242,K:K,L:L)</f>
        <v>2</v>
      </c>
    </row>
    <row r="1243" spans="1:8" x14ac:dyDescent="0.3">
      <c r="A1243" t="s">
        <v>92</v>
      </c>
      <c r="B1243">
        <v>20605614745</v>
      </c>
      <c r="C1243" t="s">
        <v>1567</v>
      </c>
      <c r="E1243" s="1">
        <v>45968</v>
      </c>
      <c r="F1243">
        <v>480.28000000000003</v>
      </c>
      <c r="G1243" t="s">
        <v>2099</v>
      </c>
      <c r="H1243">
        <f>_xlfn.XLOOKUP(E1243,K:K,L:L)</f>
        <v>2</v>
      </c>
    </row>
    <row r="1244" spans="1:8" x14ac:dyDescent="0.3">
      <c r="A1244" t="s">
        <v>92</v>
      </c>
      <c r="B1244">
        <v>20608563157</v>
      </c>
      <c r="C1244" t="s">
        <v>1573</v>
      </c>
      <c r="E1244" s="1">
        <v>45968</v>
      </c>
      <c r="F1244">
        <v>264.64</v>
      </c>
      <c r="G1244" t="s">
        <v>2099</v>
      </c>
      <c r="H1244">
        <f>_xlfn.XLOOKUP(E1244,K:K,L:L)</f>
        <v>2</v>
      </c>
    </row>
    <row r="1245" spans="1:8" x14ac:dyDescent="0.3">
      <c r="A1245" t="s">
        <v>92</v>
      </c>
      <c r="B1245">
        <v>20610786414</v>
      </c>
      <c r="C1245" t="s">
        <v>1577</v>
      </c>
      <c r="E1245" s="1">
        <v>45968</v>
      </c>
      <c r="F1245">
        <v>131.94999999999999</v>
      </c>
      <c r="G1245" t="s">
        <v>2099</v>
      </c>
      <c r="H1245">
        <f>_xlfn.XLOOKUP(E1245,K:K,L:L)</f>
        <v>2</v>
      </c>
    </row>
    <row r="1246" spans="1:8" x14ac:dyDescent="0.3">
      <c r="A1246" t="s">
        <v>92</v>
      </c>
      <c r="B1246">
        <v>20613817264</v>
      </c>
      <c r="C1246" t="s">
        <v>1586</v>
      </c>
      <c r="E1246" s="1">
        <v>45968</v>
      </c>
      <c r="F1246">
        <v>1670.36</v>
      </c>
      <c r="G1246" t="s">
        <v>2099</v>
      </c>
      <c r="H1246">
        <f>_xlfn.XLOOKUP(E1246,K:K,L:L)</f>
        <v>2</v>
      </c>
    </row>
    <row r="1247" spans="1:8" x14ac:dyDescent="0.3">
      <c r="A1247" t="s">
        <v>92</v>
      </c>
      <c r="B1247">
        <v>20605614745</v>
      </c>
      <c r="C1247" t="s">
        <v>1567</v>
      </c>
      <c r="E1247" s="1">
        <v>45968</v>
      </c>
      <c r="F1247">
        <v>484.95</v>
      </c>
      <c r="G1247" t="s">
        <v>2099</v>
      </c>
      <c r="H1247">
        <f>_xlfn.XLOOKUP(E1247,K:K,L:L)</f>
        <v>2</v>
      </c>
    </row>
    <row r="1248" spans="1:8" x14ac:dyDescent="0.3">
      <c r="A1248" t="s">
        <v>92</v>
      </c>
      <c r="B1248">
        <v>20607021393</v>
      </c>
      <c r="C1248" t="s">
        <v>1587</v>
      </c>
      <c r="E1248" s="1">
        <v>45968</v>
      </c>
      <c r="F1248">
        <v>308.09000000000003</v>
      </c>
      <c r="G1248" t="s">
        <v>2099</v>
      </c>
      <c r="H1248">
        <f>_xlfn.XLOOKUP(E1248,K:K,L:L)</f>
        <v>2</v>
      </c>
    </row>
    <row r="1249" spans="1:8" x14ac:dyDescent="0.3">
      <c r="A1249" t="s">
        <v>92</v>
      </c>
      <c r="B1249">
        <v>20608563157</v>
      </c>
      <c r="C1249" t="s">
        <v>1573</v>
      </c>
      <c r="E1249" s="1">
        <v>45968</v>
      </c>
      <c r="F1249">
        <v>252.27999999999997</v>
      </c>
      <c r="G1249" t="s">
        <v>2099</v>
      </c>
      <c r="H1249">
        <f>_xlfn.XLOOKUP(E1249,K:K,L:L)</f>
        <v>2</v>
      </c>
    </row>
    <row r="1250" spans="1:8" x14ac:dyDescent="0.3">
      <c r="A1250" t="s">
        <v>92</v>
      </c>
      <c r="B1250">
        <v>20610786414</v>
      </c>
      <c r="C1250" t="s">
        <v>1577</v>
      </c>
      <c r="E1250" s="1">
        <v>45968</v>
      </c>
      <c r="F1250">
        <v>133.23000000000002</v>
      </c>
      <c r="G1250" t="s">
        <v>2099</v>
      </c>
      <c r="H1250">
        <f>_xlfn.XLOOKUP(E1250,K:K,L:L)</f>
        <v>2</v>
      </c>
    </row>
    <row r="1251" spans="1:8" x14ac:dyDescent="0.3">
      <c r="A1251" t="s">
        <v>92</v>
      </c>
      <c r="B1251">
        <v>20613817264</v>
      </c>
      <c r="C1251" t="s">
        <v>1586</v>
      </c>
      <c r="E1251" s="1">
        <v>45968</v>
      </c>
      <c r="F1251">
        <v>2529.92</v>
      </c>
      <c r="G1251" t="s">
        <v>2099</v>
      </c>
      <c r="H1251">
        <f>_xlfn.XLOOKUP(E1251,K:K,L:L)</f>
        <v>2</v>
      </c>
    </row>
    <row r="1252" spans="1:8" x14ac:dyDescent="0.3">
      <c r="A1252" t="s">
        <v>92</v>
      </c>
      <c r="B1252">
        <v>20605614745</v>
      </c>
      <c r="C1252" t="s">
        <v>1567</v>
      </c>
      <c r="E1252" s="1">
        <v>45968</v>
      </c>
      <c r="F1252">
        <v>489.16</v>
      </c>
      <c r="G1252" t="s">
        <v>2099</v>
      </c>
      <c r="H1252">
        <f>_xlfn.XLOOKUP(E1252,K:K,L:L)</f>
        <v>2</v>
      </c>
    </row>
    <row r="1253" spans="1:8" x14ac:dyDescent="0.3">
      <c r="A1253" t="s">
        <v>92</v>
      </c>
      <c r="B1253">
        <v>20607021393</v>
      </c>
      <c r="C1253" t="s">
        <v>1587</v>
      </c>
      <c r="E1253" s="1">
        <v>45968</v>
      </c>
      <c r="F1253">
        <v>310.77</v>
      </c>
      <c r="G1253" t="s">
        <v>2099</v>
      </c>
      <c r="H1253">
        <f>_xlfn.XLOOKUP(E1253,K:K,L:L)</f>
        <v>2</v>
      </c>
    </row>
    <row r="1254" spans="1:8" x14ac:dyDescent="0.3">
      <c r="A1254" t="s">
        <v>92</v>
      </c>
      <c r="B1254">
        <v>20608563157</v>
      </c>
      <c r="C1254" t="s">
        <v>1573</v>
      </c>
      <c r="E1254" s="1">
        <v>45968</v>
      </c>
      <c r="F1254">
        <v>473.15</v>
      </c>
      <c r="G1254" t="s">
        <v>2099</v>
      </c>
      <c r="H1254">
        <f>_xlfn.XLOOKUP(E1254,K:K,L:L)</f>
        <v>2</v>
      </c>
    </row>
    <row r="1255" spans="1:8" x14ac:dyDescent="0.3">
      <c r="A1255" t="s">
        <v>92</v>
      </c>
      <c r="B1255">
        <v>20610786414</v>
      </c>
      <c r="C1255" t="s">
        <v>1577</v>
      </c>
      <c r="E1255" s="1">
        <v>45968</v>
      </c>
      <c r="F1255">
        <v>134.39000000000001</v>
      </c>
      <c r="G1255" t="s">
        <v>2099</v>
      </c>
      <c r="H1255">
        <f>_xlfn.XLOOKUP(E1255,K:K,L:L)</f>
        <v>2</v>
      </c>
    </row>
    <row r="1256" spans="1:8" x14ac:dyDescent="0.3">
      <c r="A1256" t="s">
        <v>92</v>
      </c>
      <c r="B1256">
        <v>20613817264</v>
      </c>
      <c r="C1256" t="s">
        <v>1586</v>
      </c>
      <c r="E1256" s="1">
        <v>45968</v>
      </c>
      <c r="F1256">
        <v>2115.0100000000002</v>
      </c>
      <c r="G1256" t="s">
        <v>2099</v>
      </c>
      <c r="H1256">
        <f>_xlfn.XLOOKUP(E1256,K:K,L:L)</f>
        <v>2</v>
      </c>
    </row>
    <row r="1257" spans="1:8" x14ac:dyDescent="0.3">
      <c r="A1257" t="s">
        <v>92</v>
      </c>
      <c r="B1257">
        <v>20605614745</v>
      </c>
      <c r="C1257" t="s">
        <v>1567</v>
      </c>
      <c r="E1257" s="1">
        <v>45968</v>
      </c>
      <c r="F1257">
        <v>493.37</v>
      </c>
      <c r="G1257" t="s">
        <v>2099</v>
      </c>
      <c r="H1257">
        <f>_xlfn.XLOOKUP(E1257,K:K,L:L)</f>
        <v>2</v>
      </c>
    </row>
    <row r="1258" spans="1:8" x14ac:dyDescent="0.3">
      <c r="A1258" t="s">
        <v>92</v>
      </c>
      <c r="B1258">
        <v>20607021393</v>
      </c>
      <c r="C1258" t="s">
        <v>1587</v>
      </c>
      <c r="E1258" s="1">
        <v>45968</v>
      </c>
      <c r="F1258">
        <v>313.44</v>
      </c>
      <c r="G1258" t="s">
        <v>2099</v>
      </c>
      <c r="H1258">
        <f>_xlfn.XLOOKUP(E1258,K:K,L:L)</f>
        <v>2</v>
      </c>
    </row>
    <row r="1259" spans="1:8" x14ac:dyDescent="0.3">
      <c r="A1259" t="s">
        <v>92</v>
      </c>
      <c r="B1259">
        <v>20610786414</v>
      </c>
      <c r="C1259" t="s">
        <v>1577</v>
      </c>
      <c r="E1259" s="1">
        <v>45968</v>
      </c>
      <c r="F1259">
        <v>135.55000000000001</v>
      </c>
      <c r="G1259" t="s">
        <v>2099</v>
      </c>
      <c r="H1259">
        <f>_xlfn.XLOOKUP(E1259,K:K,L:L)</f>
        <v>2</v>
      </c>
    </row>
    <row r="1260" spans="1:8" x14ac:dyDescent="0.3">
      <c r="A1260" t="s">
        <v>92</v>
      </c>
      <c r="B1260">
        <v>20610786414</v>
      </c>
      <c r="C1260" t="s">
        <v>1577</v>
      </c>
      <c r="E1260" s="1">
        <v>45968</v>
      </c>
      <c r="F1260">
        <v>136.69999999999999</v>
      </c>
      <c r="G1260" t="s">
        <v>2099</v>
      </c>
      <c r="H1260">
        <f>_xlfn.XLOOKUP(E1260,K:K,L:L)</f>
        <v>2</v>
      </c>
    </row>
    <row r="1261" spans="1:8" x14ac:dyDescent="0.3">
      <c r="A1261" t="s">
        <v>92</v>
      </c>
      <c r="B1261">
        <v>20610786414</v>
      </c>
      <c r="C1261" t="s">
        <v>1577</v>
      </c>
      <c r="E1261" s="1">
        <v>45968</v>
      </c>
      <c r="F1261">
        <v>137.99</v>
      </c>
      <c r="G1261" t="s">
        <v>2099</v>
      </c>
      <c r="H1261">
        <f>_xlfn.XLOOKUP(E1261,K:K,L:L)</f>
        <v>2</v>
      </c>
    </row>
    <row r="1262" spans="1:8" x14ac:dyDescent="0.3">
      <c r="A1262" t="s">
        <v>92</v>
      </c>
      <c r="B1262">
        <v>20480515961</v>
      </c>
      <c r="C1262" t="s">
        <v>1588</v>
      </c>
      <c r="E1262" s="1">
        <v>45969</v>
      </c>
      <c r="F1262">
        <v>129.76</v>
      </c>
      <c r="G1262" t="s">
        <v>2099</v>
      </c>
      <c r="H1262">
        <f>_xlfn.XLOOKUP(E1262,K:K,L:L)</f>
        <v>2</v>
      </c>
    </row>
    <row r="1263" spans="1:8" x14ac:dyDescent="0.3">
      <c r="A1263" t="s">
        <v>92</v>
      </c>
      <c r="B1263">
        <v>20491086212</v>
      </c>
      <c r="C1263" t="s">
        <v>1589</v>
      </c>
      <c r="E1263" s="1">
        <v>45969</v>
      </c>
      <c r="F1263">
        <v>125.42999999999999</v>
      </c>
      <c r="G1263" t="s">
        <v>2099</v>
      </c>
      <c r="H1263">
        <f>_xlfn.XLOOKUP(E1263,K:K,L:L)</f>
        <v>2</v>
      </c>
    </row>
    <row r="1264" spans="1:8" x14ac:dyDescent="0.3">
      <c r="A1264" t="s">
        <v>92</v>
      </c>
      <c r="B1264">
        <v>20492325784</v>
      </c>
      <c r="C1264" t="s">
        <v>1590</v>
      </c>
      <c r="E1264" s="1">
        <v>45969</v>
      </c>
      <c r="F1264">
        <v>574.19000000000005</v>
      </c>
      <c r="G1264" t="s">
        <v>2099</v>
      </c>
      <c r="H1264">
        <f>_xlfn.XLOOKUP(E1264,K:K,L:L)</f>
        <v>2</v>
      </c>
    </row>
    <row r="1265" spans="1:8" x14ac:dyDescent="0.3">
      <c r="A1265" t="s">
        <v>92</v>
      </c>
      <c r="B1265">
        <v>20534262800</v>
      </c>
      <c r="C1265" t="s">
        <v>1591</v>
      </c>
      <c r="E1265" s="1">
        <v>45969</v>
      </c>
      <c r="F1265">
        <v>1061.56</v>
      </c>
      <c r="G1265" t="s">
        <v>2099</v>
      </c>
      <c r="H1265">
        <f>_xlfn.XLOOKUP(E1265,K:K,L:L)</f>
        <v>2</v>
      </c>
    </row>
    <row r="1266" spans="1:8" x14ac:dyDescent="0.3">
      <c r="A1266" t="s">
        <v>92</v>
      </c>
      <c r="B1266">
        <v>20559646530</v>
      </c>
      <c r="C1266" t="s">
        <v>1592</v>
      </c>
      <c r="E1266" s="1">
        <v>45969</v>
      </c>
      <c r="F1266">
        <v>172.26</v>
      </c>
      <c r="G1266" t="s">
        <v>2099</v>
      </c>
      <c r="H1266">
        <f>_xlfn.XLOOKUP(E1266,K:K,L:L)</f>
        <v>2</v>
      </c>
    </row>
    <row r="1267" spans="1:8" x14ac:dyDescent="0.3">
      <c r="A1267" t="s">
        <v>92</v>
      </c>
      <c r="B1267">
        <v>20559934241</v>
      </c>
      <c r="C1267" t="s">
        <v>1593</v>
      </c>
      <c r="E1267" s="1">
        <v>45969</v>
      </c>
      <c r="F1267">
        <v>548.39</v>
      </c>
      <c r="G1267" t="s">
        <v>2099</v>
      </c>
      <c r="H1267">
        <f>_xlfn.XLOOKUP(E1267,K:K,L:L)</f>
        <v>2</v>
      </c>
    </row>
    <row r="1268" spans="1:8" x14ac:dyDescent="0.3">
      <c r="A1268" t="s">
        <v>92</v>
      </c>
      <c r="B1268">
        <v>20560037628</v>
      </c>
      <c r="C1268" t="s">
        <v>1594</v>
      </c>
      <c r="E1268" s="1">
        <v>45969</v>
      </c>
      <c r="F1268">
        <v>448.32</v>
      </c>
      <c r="G1268" t="s">
        <v>2099</v>
      </c>
      <c r="H1268">
        <f>_xlfn.XLOOKUP(E1268,K:K,L:L)</f>
        <v>2</v>
      </c>
    </row>
    <row r="1269" spans="1:8" x14ac:dyDescent="0.3">
      <c r="A1269" t="s">
        <v>92</v>
      </c>
      <c r="B1269">
        <v>20601250773</v>
      </c>
      <c r="C1269" t="s">
        <v>1595</v>
      </c>
      <c r="E1269" s="1">
        <v>45969</v>
      </c>
      <c r="F1269">
        <v>259.52999999999997</v>
      </c>
      <c r="G1269" t="s">
        <v>2099</v>
      </c>
      <c r="H1269">
        <f>_xlfn.XLOOKUP(E1269,K:K,L:L)</f>
        <v>2</v>
      </c>
    </row>
    <row r="1270" spans="1:8" x14ac:dyDescent="0.3">
      <c r="A1270" t="s">
        <v>92</v>
      </c>
      <c r="B1270">
        <v>20601649579</v>
      </c>
      <c r="C1270" t="s">
        <v>1596</v>
      </c>
      <c r="E1270" s="1">
        <v>45969</v>
      </c>
      <c r="F1270">
        <v>469.15999999999997</v>
      </c>
      <c r="G1270" t="s">
        <v>2099</v>
      </c>
      <c r="H1270">
        <f>_xlfn.XLOOKUP(E1270,K:K,L:L)</f>
        <v>2</v>
      </c>
    </row>
    <row r="1271" spans="1:8" x14ac:dyDescent="0.3">
      <c r="A1271" t="s">
        <v>92</v>
      </c>
      <c r="B1271">
        <v>20602365426</v>
      </c>
      <c r="C1271" t="s">
        <v>1597</v>
      </c>
      <c r="E1271" s="1">
        <v>45969</v>
      </c>
      <c r="F1271">
        <v>318.21000000000004</v>
      </c>
      <c r="G1271" t="s">
        <v>2099</v>
      </c>
      <c r="H1271">
        <f>_xlfn.XLOOKUP(E1271,K:K,L:L)</f>
        <v>2</v>
      </c>
    </row>
    <row r="1272" spans="1:8" x14ac:dyDescent="0.3">
      <c r="A1272" t="s">
        <v>92</v>
      </c>
      <c r="B1272">
        <v>20603257121</v>
      </c>
      <c r="C1272" t="s">
        <v>1598</v>
      </c>
      <c r="E1272" s="1">
        <v>45969</v>
      </c>
      <c r="F1272">
        <v>431.17</v>
      </c>
      <c r="G1272" t="s">
        <v>2099</v>
      </c>
      <c r="H1272">
        <f>_xlfn.XLOOKUP(E1272,K:K,L:L)</f>
        <v>2</v>
      </c>
    </row>
    <row r="1273" spans="1:8" x14ac:dyDescent="0.3">
      <c r="A1273" t="s">
        <v>92</v>
      </c>
      <c r="B1273">
        <v>20607402052</v>
      </c>
      <c r="C1273" t="s">
        <v>1599</v>
      </c>
      <c r="E1273" s="1">
        <v>45969</v>
      </c>
      <c r="F1273">
        <v>344.51</v>
      </c>
      <c r="G1273" t="s">
        <v>2099</v>
      </c>
      <c r="H1273">
        <f>_xlfn.XLOOKUP(E1273,K:K,L:L)</f>
        <v>2</v>
      </c>
    </row>
    <row r="1274" spans="1:8" x14ac:dyDescent="0.3">
      <c r="A1274" t="s">
        <v>92</v>
      </c>
      <c r="B1274">
        <v>20608879022</v>
      </c>
      <c r="C1274" t="s">
        <v>1600</v>
      </c>
      <c r="E1274" s="1">
        <v>45969</v>
      </c>
      <c r="F1274">
        <v>287.09000000000003</v>
      </c>
      <c r="G1274" t="s">
        <v>2099</v>
      </c>
      <c r="H1274">
        <f>_xlfn.XLOOKUP(E1274,K:K,L:L)</f>
        <v>2</v>
      </c>
    </row>
    <row r="1275" spans="1:8" x14ac:dyDescent="0.3">
      <c r="A1275" t="s">
        <v>92</v>
      </c>
      <c r="B1275">
        <v>20611694971</v>
      </c>
      <c r="C1275" t="s">
        <v>1601</v>
      </c>
      <c r="E1275" s="1">
        <v>45969</v>
      </c>
      <c r="F1275">
        <v>259.52999999999997</v>
      </c>
      <c r="G1275" t="s">
        <v>2099</v>
      </c>
      <c r="H1275">
        <f>_xlfn.XLOOKUP(E1275,K:K,L:L)</f>
        <v>2</v>
      </c>
    </row>
    <row r="1276" spans="1:8" x14ac:dyDescent="0.3">
      <c r="A1276" t="s">
        <v>92</v>
      </c>
      <c r="B1276">
        <v>20612556157</v>
      </c>
      <c r="C1276" t="s">
        <v>1602</v>
      </c>
      <c r="E1276" s="1">
        <v>45969</v>
      </c>
      <c r="F1276">
        <v>302.02</v>
      </c>
      <c r="G1276" t="s">
        <v>2099</v>
      </c>
      <c r="H1276">
        <f>_xlfn.XLOOKUP(E1276,K:K,L:L)</f>
        <v>2</v>
      </c>
    </row>
    <row r="1277" spans="1:8" x14ac:dyDescent="0.3">
      <c r="A1277" t="s">
        <v>92</v>
      </c>
      <c r="B1277">
        <v>20393905825</v>
      </c>
      <c r="C1277" t="s">
        <v>1603</v>
      </c>
      <c r="E1277" s="1">
        <v>45969</v>
      </c>
      <c r="F1277">
        <v>131.05000000000001</v>
      </c>
      <c r="G1277" t="s">
        <v>2099</v>
      </c>
      <c r="H1277">
        <f>_xlfn.XLOOKUP(E1277,K:K,L:L)</f>
        <v>2</v>
      </c>
    </row>
    <row r="1278" spans="1:8" x14ac:dyDescent="0.3">
      <c r="A1278" t="s">
        <v>92</v>
      </c>
      <c r="B1278">
        <v>20480515961</v>
      </c>
      <c r="C1278" t="s">
        <v>1588</v>
      </c>
      <c r="E1278" s="1">
        <v>45969</v>
      </c>
      <c r="F1278">
        <v>122.32</v>
      </c>
      <c r="G1278" t="s">
        <v>2099</v>
      </c>
      <c r="H1278">
        <f>_xlfn.XLOOKUP(E1278,K:K,L:L)</f>
        <v>2</v>
      </c>
    </row>
    <row r="1279" spans="1:8" x14ac:dyDescent="0.3">
      <c r="A1279" t="s">
        <v>92</v>
      </c>
      <c r="B1279">
        <v>20491086212</v>
      </c>
      <c r="C1279" t="s">
        <v>1589</v>
      </c>
      <c r="E1279" s="1">
        <v>45969</v>
      </c>
      <c r="F1279">
        <v>139.78</v>
      </c>
      <c r="G1279" t="s">
        <v>2099</v>
      </c>
      <c r="H1279">
        <f>_xlfn.XLOOKUP(E1279,K:K,L:L)</f>
        <v>2</v>
      </c>
    </row>
    <row r="1280" spans="1:8" x14ac:dyDescent="0.3">
      <c r="A1280" t="s">
        <v>92</v>
      </c>
      <c r="B1280">
        <v>20549945083</v>
      </c>
      <c r="C1280" t="s">
        <v>1604</v>
      </c>
      <c r="E1280" s="1">
        <v>45969</v>
      </c>
      <c r="F1280">
        <v>405.90999999999997</v>
      </c>
      <c r="G1280" t="s">
        <v>2099</v>
      </c>
      <c r="H1280">
        <f>_xlfn.XLOOKUP(E1280,K:K,L:L)</f>
        <v>2</v>
      </c>
    </row>
    <row r="1281" spans="1:8" x14ac:dyDescent="0.3">
      <c r="A1281" t="s">
        <v>92</v>
      </c>
      <c r="B1281">
        <v>20559646530</v>
      </c>
      <c r="C1281" t="s">
        <v>1592</v>
      </c>
      <c r="E1281" s="1">
        <v>45969</v>
      </c>
      <c r="F1281">
        <v>173.96</v>
      </c>
      <c r="G1281" t="s">
        <v>2099</v>
      </c>
      <c r="H1281">
        <f>_xlfn.XLOOKUP(E1281,K:K,L:L)</f>
        <v>2</v>
      </c>
    </row>
    <row r="1282" spans="1:8" x14ac:dyDescent="0.3">
      <c r="A1282" t="s">
        <v>92</v>
      </c>
      <c r="B1282">
        <v>20600879970</v>
      </c>
      <c r="C1282" t="s">
        <v>1605</v>
      </c>
      <c r="E1282" s="1">
        <v>45969</v>
      </c>
      <c r="F1282">
        <v>670.39</v>
      </c>
      <c r="G1282" t="s">
        <v>2099</v>
      </c>
      <c r="H1282">
        <f>_xlfn.XLOOKUP(E1282,K:K,L:L)</f>
        <v>2</v>
      </c>
    </row>
    <row r="1283" spans="1:8" x14ac:dyDescent="0.3">
      <c r="A1283" t="s">
        <v>92</v>
      </c>
      <c r="B1283">
        <v>20603928718</v>
      </c>
      <c r="C1283" t="s">
        <v>1606</v>
      </c>
      <c r="E1283" s="1">
        <v>45969</v>
      </c>
      <c r="F1283">
        <v>115.26</v>
      </c>
      <c r="G1283" t="s">
        <v>2099</v>
      </c>
      <c r="H1283">
        <f>_xlfn.XLOOKUP(E1283,K:K,L:L)</f>
        <v>2</v>
      </c>
    </row>
    <row r="1284" spans="1:8" x14ac:dyDescent="0.3">
      <c r="A1284" t="s">
        <v>92</v>
      </c>
      <c r="B1284">
        <v>20559646530</v>
      </c>
      <c r="C1284" t="s">
        <v>1592</v>
      </c>
      <c r="E1284" s="1">
        <v>45969</v>
      </c>
      <c r="F1284">
        <v>175.32999999999998</v>
      </c>
      <c r="G1284" t="s">
        <v>2099</v>
      </c>
      <c r="H1284">
        <f>_xlfn.XLOOKUP(E1284,K:K,L:L)</f>
        <v>2</v>
      </c>
    </row>
    <row r="1285" spans="1:8" x14ac:dyDescent="0.3">
      <c r="A1285" t="s">
        <v>92</v>
      </c>
      <c r="B1285">
        <v>20544296222</v>
      </c>
      <c r="C1285" t="s">
        <v>1607</v>
      </c>
      <c r="E1285" s="1">
        <v>45970</v>
      </c>
      <c r="F1285">
        <v>517.11</v>
      </c>
      <c r="G1285" t="s">
        <v>2099</v>
      </c>
      <c r="H1285">
        <f>_xlfn.XLOOKUP(E1285,K:K,L:L)</f>
        <v>2</v>
      </c>
    </row>
    <row r="1286" spans="1:8" x14ac:dyDescent="0.3">
      <c r="A1286" t="s">
        <v>92</v>
      </c>
      <c r="B1286">
        <v>20603792115</v>
      </c>
      <c r="C1286" t="s">
        <v>1608</v>
      </c>
      <c r="E1286" s="1">
        <v>45970</v>
      </c>
      <c r="F1286">
        <v>129.76</v>
      </c>
      <c r="G1286" t="s">
        <v>2099</v>
      </c>
      <c r="H1286">
        <f>_xlfn.XLOOKUP(E1286,K:K,L:L)</f>
        <v>2</v>
      </c>
    </row>
    <row r="1287" spans="1:8" x14ac:dyDescent="0.3">
      <c r="A1287" t="s">
        <v>92</v>
      </c>
      <c r="B1287">
        <v>20605742701</v>
      </c>
      <c r="C1287" t="s">
        <v>1609</v>
      </c>
      <c r="E1287" s="1">
        <v>45970</v>
      </c>
      <c r="F1287">
        <v>229.67000000000002</v>
      </c>
      <c r="G1287" t="s">
        <v>2099</v>
      </c>
      <c r="H1287">
        <f>_xlfn.XLOOKUP(E1287,K:K,L:L)</f>
        <v>2</v>
      </c>
    </row>
    <row r="1288" spans="1:8" x14ac:dyDescent="0.3">
      <c r="A1288" t="s">
        <v>92</v>
      </c>
      <c r="B1288">
        <v>20606176199</v>
      </c>
      <c r="C1288" t="s">
        <v>1610</v>
      </c>
      <c r="E1288" s="1">
        <v>45970</v>
      </c>
      <c r="F1288">
        <v>611.72</v>
      </c>
      <c r="G1288" t="s">
        <v>2099</v>
      </c>
      <c r="H1288">
        <f>_xlfn.XLOOKUP(E1288,K:K,L:L)</f>
        <v>2</v>
      </c>
    </row>
    <row r="1289" spans="1:8" x14ac:dyDescent="0.3">
      <c r="A1289" t="s">
        <v>92</v>
      </c>
      <c r="B1289">
        <v>20614289407</v>
      </c>
      <c r="C1289" t="s">
        <v>1611</v>
      </c>
      <c r="E1289" s="1">
        <v>45970</v>
      </c>
      <c r="F1289">
        <v>129.76</v>
      </c>
      <c r="G1289" t="s">
        <v>2099</v>
      </c>
      <c r="H1289">
        <f>_xlfn.XLOOKUP(E1289,K:K,L:L)</f>
        <v>2</v>
      </c>
    </row>
    <row r="1290" spans="1:8" x14ac:dyDescent="0.3">
      <c r="A1290" t="s">
        <v>92</v>
      </c>
      <c r="B1290">
        <v>20603792115</v>
      </c>
      <c r="C1290" t="s">
        <v>1608</v>
      </c>
      <c r="E1290" s="1">
        <v>45970</v>
      </c>
      <c r="F1290">
        <v>131.05000000000001</v>
      </c>
      <c r="G1290" t="s">
        <v>2099</v>
      </c>
      <c r="H1290">
        <f>_xlfn.XLOOKUP(E1290,K:K,L:L)</f>
        <v>2</v>
      </c>
    </row>
    <row r="1291" spans="1:8" x14ac:dyDescent="0.3">
      <c r="A1291" t="s">
        <v>92</v>
      </c>
      <c r="B1291">
        <v>20614289407</v>
      </c>
      <c r="C1291" t="s">
        <v>1611</v>
      </c>
      <c r="E1291" s="1">
        <v>45970</v>
      </c>
      <c r="F1291">
        <v>232.53</v>
      </c>
      <c r="G1291" t="s">
        <v>2099</v>
      </c>
      <c r="H1291">
        <f>_xlfn.XLOOKUP(E1291,K:K,L:L)</f>
        <v>2</v>
      </c>
    </row>
    <row r="1292" spans="1:8" x14ac:dyDescent="0.3">
      <c r="A1292" t="s">
        <v>92</v>
      </c>
      <c r="B1292">
        <v>10004908843</v>
      </c>
      <c r="C1292" t="s">
        <v>1612</v>
      </c>
      <c r="E1292" s="1">
        <v>45971</v>
      </c>
      <c r="F1292">
        <v>277.78999999999996</v>
      </c>
      <c r="G1292" t="s">
        <v>2099</v>
      </c>
      <c r="H1292">
        <f>_xlfn.XLOOKUP(E1292,K:K,L:L)</f>
        <v>3</v>
      </c>
    </row>
    <row r="1293" spans="1:8" x14ac:dyDescent="0.3">
      <c r="A1293" t="s">
        <v>92</v>
      </c>
      <c r="B1293">
        <v>10107845513</v>
      </c>
      <c r="C1293" t="s">
        <v>1613</v>
      </c>
      <c r="E1293" s="1">
        <v>45971</v>
      </c>
      <c r="F1293">
        <v>206.71</v>
      </c>
      <c r="G1293" t="s">
        <v>2099</v>
      </c>
      <c r="H1293">
        <f>_xlfn.XLOOKUP(E1293,K:K,L:L)</f>
        <v>3</v>
      </c>
    </row>
    <row r="1294" spans="1:8" x14ac:dyDescent="0.3">
      <c r="A1294" t="s">
        <v>92</v>
      </c>
      <c r="B1294">
        <v>15603354831</v>
      </c>
      <c r="C1294" t="s">
        <v>1614</v>
      </c>
      <c r="E1294" s="1">
        <v>45971</v>
      </c>
      <c r="F1294">
        <v>129.76</v>
      </c>
      <c r="G1294" t="s">
        <v>2099</v>
      </c>
      <c r="H1294">
        <f>_xlfn.XLOOKUP(E1294,K:K,L:L)</f>
        <v>3</v>
      </c>
    </row>
    <row r="1295" spans="1:8" x14ac:dyDescent="0.3">
      <c r="A1295" t="s">
        <v>92</v>
      </c>
      <c r="B1295">
        <v>20454377011</v>
      </c>
      <c r="C1295" t="s">
        <v>1615</v>
      </c>
      <c r="E1295" s="1">
        <v>45971</v>
      </c>
      <c r="F1295">
        <v>631.6</v>
      </c>
      <c r="G1295" t="s">
        <v>2099</v>
      </c>
      <c r="H1295">
        <f>_xlfn.XLOOKUP(E1295,K:K,L:L)</f>
        <v>3</v>
      </c>
    </row>
    <row r="1296" spans="1:8" x14ac:dyDescent="0.3">
      <c r="A1296" t="s">
        <v>92</v>
      </c>
      <c r="B1296">
        <v>20479912344</v>
      </c>
      <c r="C1296" t="s">
        <v>1616</v>
      </c>
      <c r="E1296" s="1">
        <v>45971</v>
      </c>
      <c r="F1296">
        <v>302.02</v>
      </c>
      <c r="G1296" t="s">
        <v>2099</v>
      </c>
      <c r="H1296">
        <f>_xlfn.XLOOKUP(E1296,K:K,L:L)</f>
        <v>3</v>
      </c>
    </row>
    <row r="1297" spans="1:8" x14ac:dyDescent="0.3">
      <c r="A1297" t="s">
        <v>92</v>
      </c>
      <c r="B1297">
        <v>20492865894</v>
      </c>
      <c r="C1297" t="s">
        <v>1617</v>
      </c>
      <c r="E1297" s="1">
        <v>45971</v>
      </c>
      <c r="F1297">
        <v>603.06999999999994</v>
      </c>
      <c r="G1297" t="s">
        <v>2099</v>
      </c>
      <c r="H1297">
        <f>_xlfn.XLOOKUP(E1297,K:K,L:L)</f>
        <v>3</v>
      </c>
    </row>
    <row r="1298" spans="1:8" x14ac:dyDescent="0.3">
      <c r="A1298" t="s">
        <v>92</v>
      </c>
      <c r="B1298">
        <v>20498453245</v>
      </c>
      <c r="C1298" t="s">
        <v>1618</v>
      </c>
      <c r="E1298" s="1">
        <v>45971</v>
      </c>
      <c r="F1298">
        <v>1250.27</v>
      </c>
      <c r="G1298" t="s">
        <v>2099</v>
      </c>
      <c r="H1298">
        <f>_xlfn.XLOOKUP(E1298,K:K,L:L)</f>
        <v>3</v>
      </c>
    </row>
    <row r="1299" spans="1:8" x14ac:dyDescent="0.3">
      <c r="A1299" t="s">
        <v>92</v>
      </c>
      <c r="B1299">
        <v>20504796508</v>
      </c>
      <c r="C1299" t="s">
        <v>1619</v>
      </c>
      <c r="E1299" s="1">
        <v>45971</v>
      </c>
      <c r="F1299">
        <v>202</v>
      </c>
      <c r="G1299" t="s">
        <v>2099</v>
      </c>
      <c r="H1299">
        <f>_xlfn.XLOOKUP(E1299,K:K,L:L)</f>
        <v>3</v>
      </c>
    </row>
    <row r="1300" spans="1:8" x14ac:dyDescent="0.3">
      <c r="A1300" t="s">
        <v>92</v>
      </c>
      <c r="B1300">
        <v>20508513381</v>
      </c>
      <c r="C1300" t="s">
        <v>1620</v>
      </c>
      <c r="E1300" s="1">
        <v>45971</v>
      </c>
      <c r="F1300">
        <v>401.93</v>
      </c>
      <c r="G1300" t="s">
        <v>2099</v>
      </c>
      <c r="H1300">
        <f>_xlfn.XLOOKUP(E1300,K:K,L:L)</f>
        <v>3</v>
      </c>
    </row>
    <row r="1301" spans="1:8" x14ac:dyDescent="0.3">
      <c r="A1301" t="s">
        <v>92</v>
      </c>
      <c r="B1301">
        <v>20508513381</v>
      </c>
      <c r="C1301" t="s">
        <v>1620</v>
      </c>
      <c r="E1301" s="1">
        <v>45971</v>
      </c>
      <c r="F1301">
        <v>345.96</v>
      </c>
      <c r="G1301" t="s">
        <v>2099</v>
      </c>
      <c r="H1301">
        <f>_xlfn.XLOOKUP(E1301,K:K,L:L)</f>
        <v>3</v>
      </c>
    </row>
    <row r="1302" spans="1:8" x14ac:dyDescent="0.3">
      <c r="A1302" t="s">
        <v>92</v>
      </c>
      <c r="B1302">
        <v>20520855514</v>
      </c>
      <c r="C1302" t="s">
        <v>1621</v>
      </c>
      <c r="E1302" s="1">
        <v>45971</v>
      </c>
      <c r="F1302">
        <v>269.23</v>
      </c>
      <c r="G1302" t="s">
        <v>2099</v>
      </c>
      <c r="H1302">
        <f>_xlfn.XLOOKUP(E1302,K:K,L:L)</f>
        <v>3</v>
      </c>
    </row>
    <row r="1303" spans="1:8" x14ac:dyDescent="0.3">
      <c r="A1303" t="s">
        <v>92</v>
      </c>
      <c r="B1303">
        <v>20520988239</v>
      </c>
      <c r="C1303" t="s">
        <v>1622</v>
      </c>
      <c r="E1303" s="1">
        <v>45971</v>
      </c>
      <c r="F1303">
        <v>285.49</v>
      </c>
      <c r="G1303" t="s">
        <v>2099</v>
      </c>
      <c r="H1303">
        <f>_xlfn.XLOOKUP(E1303,K:K,L:L)</f>
        <v>3</v>
      </c>
    </row>
    <row r="1304" spans="1:8" x14ac:dyDescent="0.3">
      <c r="A1304" t="s">
        <v>92</v>
      </c>
      <c r="B1304">
        <v>20524125367</v>
      </c>
      <c r="C1304" t="s">
        <v>1623</v>
      </c>
      <c r="E1304" s="1">
        <v>45971</v>
      </c>
      <c r="F1304">
        <v>201.20000000000002</v>
      </c>
      <c r="G1304" t="s">
        <v>2099</v>
      </c>
      <c r="H1304">
        <f>_xlfn.XLOOKUP(E1304,K:K,L:L)</f>
        <v>3</v>
      </c>
    </row>
    <row r="1305" spans="1:8" x14ac:dyDescent="0.3">
      <c r="A1305" t="s">
        <v>92</v>
      </c>
      <c r="B1305">
        <v>20537295334</v>
      </c>
      <c r="C1305" t="s">
        <v>1624</v>
      </c>
      <c r="E1305" s="1">
        <v>45971</v>
      </c>
      <c r="F1305">
        <v>360.68</v>
      </c>
      <c r="G1305" t="s">
        <v>2099</v>
      </c>
      <c r="H1305">
        <f>_xlfn.XLOOKUP(E1305,K:K,L:L)</f>
        <v>3</v>
      </c>
    </row>
    <row r="1306" spans="1:8" x14ac:dyDescent="0.3">
      <c r="A1306" t="s">
        <v>92</v>
      </c>
      <c r="B1306">
        <v>20543817512</v>
      </c>
      <c r="C1306" t="s">
        <v>1625</v>
      </c>
      <c r="E1306" s="1">
        <v>45971</v>
      </c>
      <c r="F1306">
        <v>129.76</v>
      </c>
      <c r="G1306" t="s">
        <v>2099</v>
      </c>
      <c r="H1306">
        <f>_xlfn.XLOOKUP(E1306,K:K,L:L)</f>
        <v>3</v>
      </c>
    </row>
    <row r="1307" spans="1:8" x14ac:dyDescent="0.3">
      <c r="A1307" t="s">
        <v>92</v>
      </c>
      <c r="B1307">
        <v>20547480601</v>
      </c>
      <c r="C1307" t="s">
        <v>1626</v>
      </c>
      <c r="E1307" s="1">
        <v>45971</v>
      </c>
      <c r="F1307">
        <v>310.06</v>
      </c>
      <c r="G1307" t="s">
        <v>2099</v>
      </c>
      <c r="H1307">
        <f>_xlfn.XLOOKUP(E1307,K:K,L:L)</f>
        <v>3</v>
      </c>
    </row>
    <row r="1308" spans="1:8" x14ac:dyDescent="0.3">
      <c r="A1308" t="s">
        <v>92</v>
      </c>
      <c r="B1308">
        <v>20555523395</v>
      </c>
      <c r="C1308" t="s">
        <v>1627</v>
      </c>
      <c r="E1308" s="1">
        <v>45971</v>
      </c>
      <c r="F1308">
        <v>313.16000000000003</v>
      </c>
      <c r="G1308" t="s">
        <v>2099</v>
      </c>
      <c r="H1308">
        <f>_xlfn.XLOOKUP(E1308,K:K,L:L)</f>
        <v>3</v>
      </c>
    </row>
    <row r="1309" spans="1:8" x14ac:dyDescent="0.3">
      <c r="A1309" t="s">
        <v>92</v>
      </c>
      <c r="B1309">
        <v>20565870638</v>
      </c>
      <c r="C1309" t="s">
        <v>1628</v>
      </c>
      <c r="E1309" s="1">
        <v>45971</v>
      </c>
      <c r="F1309">
        <v>416.86</v>
      </c>
      <c r="G1309" t="s">
        <v>2099</v>
      </c>
      <c r="H1309">
        <f>_xlfn.XLOOKUP(E1309,K:K,L:L)</f>
        <v>3</v>
      </c>
    </row>
    <row r="1310" spans="1:8" x14ac:dyDescent="0.3">
      <c r="A1310" t="s">
        <v>92</v>
      </c>
      <c r="B1310">
        <v>20601225809</v>
      </c>
      <c r="C1310" t="s">
        <v>1629</v>
      </c>
      <c r="E1310" s="1">
        <v>45971</v>
      </c>
      <c r="F1310">
        <v>211.3</v>
      </c>
      <c r="G1310" t="s">
        <v>2099</v>
      </c>
      <c r="H1310">
        <f>_xlfn.XLOOKUP(E1310,K:K,L:L)</f>
        <v>3</v>
      </c>
    </row>
    <row r="1311" spans="1:8" x14ac:dyDescent="0.3">
      <c r="A1311" t="s">
        <v>92</v>
      </c>
      <c r="B1311">
        <v>20601638496</v>
      </c>
      <c r="C1311" t="s">
        <v>1630</v>
      </c>
      <c r="E1311" s="1">
        <v>45971</v>
      </c>
      <c r="F1311">
        <v>342.72999999999996</v>
      </c>
      <c r="G1311" t="s">
        <v>2099</v>
      </c>
      <c r="H1311">
        <f>_xlfn.XLOOKUP(E1311,K:K,L:L)</f>
        <v>3</v>
      </c>
    </row>
    <row r="1312" spans="1:8" x14ac:dyDescent="0.3">
      <c r="A1312" t="s">
        <v>92</v>
      </c>
      <c r="B1312">
        <v>20601758823</v>
      </c>
      <c r="C1312" t="s">
        <v>1631</v>
      </c>
      <c r="E1312" s="1">
        <v>45971</v>
      </c>
      <c r="F1312">
        <v>272.51</v>
      </c>
      <c r="G1312" t="s">
        <v>2099</v>
      </c>
      <c r="H1312">
        <f>_xlfn.XLOOKUP(E1312,K:K,L:L)</f>
        <v>3</v>
      </c>
    </row>
    <row r="1313" spans="1:8" x14ac:dyDescent="0.3">
      <c r="A1313" t="s">
        <v>92</v>
      </c>
      <c r="B1313">
        <v>20602290248</v>
      </c>
      <c r="C1313" t="s">
        <v>1632</v>
      </c>
      <c r="E1313" s="1">
        <v>45971</v>
      </c>
      <c r="F1313">
        <v>267.57</v>
      </c>
      <c r="G1313" t="s">
        <v>2099</v>
      </c>
      <c r="H1313">
        <f>_xlfn.XLOOKUP(E1313,K:K,L:L)</f>
        <v>3</v>
      </c>
    </row>
    <row r="1314" spans="1:8" x14ac:dyDescent="0.3">
      <c r="A1314" t="s">
        <v>92</v>
      </c>
      <c r="B1314">
        <v>20602467733</v>
      </c>
      <c r="C1314" t="s">
        <v>1633</v>
      </c>
      <c r="E1314" s="1">
        <v>45971</v>
      </c>
      <c r="F1314">
        <v>143.43</v>
      </c>
      <c r="G1314" t="s">
        <v>2099</v>
      </c>
      <c r="H1314">
        <f>_xlfn.XLOOKUP(E1314,K:K,L:L)</f>
        <v>3</v>
      </c>
    </row>
    <row r="1315" spans="1:8" x14ac:dyDescent="0.3">
      <c r="A1315" t="s">
        <v>92</v>
      </c>
      <c r="B1315">
        <v>20602699880</v>
      </c>
      <c r="C1315" t="s">
        <v>1634</v>
      </c>
      <c r="E1315" s="1">
        <v>45971</v>
      </c>
      <c r="F1315">
        <v>409.4</v>
      </c>
      <c r="G1315" t="s">
        <v>2099</v>
      </c>
      <c r="H1315">
        <f>_xlfn.XLOOKUP(E1315,K:K,L:L)</f>
        <v>3</v>
      </c>
    </row>
    <row r="1316" spans="1:8" x14ac:dyDescent="0.3">
      <c r="A1316" t="s">
        <v>92</v>
      </c>
      <c r="B1316">
        <v>20603210531</v>
      </c>
      <c r="C1316" t="s">
        <v>1635</v>
      </c>
      <c r="E1316" s="1">
        <v>45971</v>
      </c>
      <c r="F1316">
        <v>519.05999999999995</v>
      </c>
      <c r="G1316" t="s">
        <v>2099</v>
      </c>
      <c r="H1316">
        <f>_xlfn.XLOOKUP(E1316,K:K,L:L)</f>
        <v>3</v>
      </c>
    </row>
    <row r="1317" spans="1:8" x14ac:dyDescent="0.3">
      <c r="A1317" t="s">
        <v>92</v>
      </c>
      <c r="B1317">
        <v>20604661537</v>
      </c>
      <c r="C1317" t="s">
        <v>1636</v>
      </c>
      <c r="E1317" s="1">
        <v>45971</v>
      </c>
      <c r="F1317">
        <v>129.76</v>
      </c>
      <c r="G1317" t="s">
        <v>2099</v>
      </c>
      <c r="H1317">
        <f>_xlfn.XLOOKUP(E1317,K:K,L:L)</f>
        <v>3</v>
      </c>
    </row>
    <row r="1318" spans="1:8" x14ac:dyDescent="0.3">
      <c r="A1318" t="s">
        <v>92</v>
      </c>
      <c r="B1318">
        <v>20605481656</v>
      </c>
      <c r="C1318" t="s">
        <v>1637</v>
      </c>
      <c r="E1318" s="1">
        <v>45971</v>
      </c>
      <c r="F1318">
        <v>656.81999999999994</v>
      </c>
      <c r="G1318" t="s">
        <v>2099</v>
      </c>
      <c r="H1318">
        <f>_xlfn.XLOOKUP(E1318,K:K,L:L)</f>
        <v>3</v>
      </c>
    </row>
    <row r="1319" spans="1:8" x14ac:dyDescent="0.3">
      <c r="A1319" t="s">
        <v>92</v>
      </c>
      <c r="B1319">
        <v>20606543353</v>
      </c>
      <c r="C1319" t="s">
        <v>1638</v>
      </c>
      <c r="E1319" s="1">
        <v>45971</v>
      </c>
      <c r="F1319">
        <v>142.74</v>
      </c>
      <c r="G1319" t="s">
        <v>2099</v>
      </c>
      <c r="H1319">
        <f>_xlfn.XLOOKUP(E1319,K:K,L:L)</f>
        <v>3</v>
      </c>
    </row>
    <row r="1320" spans="1:8" x14ac:dyDescent="0.3">
      <c r="A1320" t="s">
        <v>92</v>
      </c>
      <c r="B1320">
        <v>20607522864</v>
      </c>
      <c r="C1320" t="s">
        <v>1639</v>
      </c>
      <c r="E1320" s="1">
        <v>45971</v>
      </c>
      <c r="F1320">
        <v>129.76</v>
      </c>
      <c r="G1320" t="s">
        <v>2099</v>
      </c>
      <c r="H1320">
        <f>_xlfn.XLOOKUP(E1320,K:K,L:L)</f>
        <v>3</v>
      </c>
    </row>
    <row r="1321" spans="1:8" x14ac:dyDescent="0.3">
      <c r="A1321" t="s">
        <v>92</v>
      </c>
      <c r="B1321">
        <v>20608703277</v>
      </c>
      <c r="C1321" t="s">
        <v>1640</v>
      </c>
      <c r="E1321" s="1">
        <v>45971</v>
      </c>
      <c r="F1321">
        <v>269.87</v>
      </c>
      <c r="G1321" t="s">
        <v>2099</v>
      </c>
      <c r="H1321">
        <f>_xlfn.XLOOKUP(E1321,K:K,L:L)</f>
        <v>3</v>
      </c>
    </row>
    <row r="1322" spans="1:8" x14ac:dyDescent="0.3">
      <c r="A1322" t="s">
        <v>92</v>
      </c>
      <c r="B1322">
        <v>20608885693</v>
      </c>
      <c r="C1322" t="s">
        <v>1641</v>
      </c>
      <c r="E1322" s="1">
        <v>45971</v>
      </c>
      <c r="F1322">
        <v>218.19</v>
      </c>
      <c r="G1322" t="s">
        <v>2099</v>
      </c>
      <c r="H1322">
        <f>_xlfn.XLOOKUP(E1322,K:K,L:L)</f>
        <v>3</v>
      </c>
    </row>
    <row r="1323" spans="1:8" x14ac:dyDescent="0.3">
      <c r="A1323" t="s">
        <v>92</v>
      </c>
      <c r="B1323">
        <v>20609988658</v>
      </c>
      <c r="C1323" t="s">
        <v>1642</v>
      </c>
      <c r="E1323" s="1">
        <v>45971</v>
      </c>
      <c r="F1323">
        <v>172.26</v>
      </c>
      <c r="G1323" t="s">
        <v>2099</v>
      </c>
      <c r="H1323">
        <f>_xlfn.XLOOKUP(E1323,K:K,L:L)</f>
        <v>3</v>
      </c>
    </row>
    <row r="1324" spans="1:8" x14ac:dyDescent="0.3">
      <c r="A1324" t="s">
        <v>92</v>
      </c>
      <c r="B1324">
        <v>20610091955</v>
      </c>
      <c r="C1324" t="s">
        <v>1643</v>
      </c>
      <c r="E1324" s="1">
        <v>45971</v>
      </c>
      <c r="F1324">
        <v>219.17</v>
      </c>
      <c r="G1324" t="s">
        <v>2099</v>
      </c>
      <c r="H1324">
        <f>_xlfn.XLOOKUP(E1324,K:K,L:L)</f>
        <v>3</v>
      </c>
    </row>
    <row r="1325" spans="1:8" x14ac:dyDescent="0.3">
      <c r="A1325" t="s">
        <v>92</v>
      </c>
      <c r="B1325">
        <v>20610521739</v>
      </c>
      <c r="C1325" t="s">
        <v>1644</v>
      </c>
      <c r="E1325" s="1">
        <v>45971</v>
      </c>
      <c r="F1325">
        <v>229.67000000000002</v>
      </c>
      <c r="G1325" t="s">
        <v>2099</v>
      </c>
      <c r="H1325">
        <f>_xlfn.XLOOKUP(E1325,K:K,L:L)</f>
        <v>3</v>
      </c>
    </row>
    <row r="1326" spans="1:8" x14ac:dyDescent="0.3">
      <c r="A1326" t="s">
        <v>92</v>
      </c>
      <c r="B1326">
        <v>20611000121</v>
      </c>
      <c r="C1326" t="s">
        <v>1645</v>
      </c>
      <c r="E1326" s="1">
        <v>45971</v>
      </c>
      <c r="F1326">
        <v>129.76</v>
      </c>
      <c r="G1326" t="s">
        <v>2099</v>
      </c>
      <c r="H1326">
        <f>_xlfn.XLOOKUP(E1326,K:K,L:L)</f>
        <v>3</v>
      </c>
    </row>
    <row r="1327" spans="1:8" x14ac:dyDescent="0.3">
      <c r="A1327" t="s">
        <v>92</v>
      </c>
      <c r="B1327">
        <v>20612189189</v>
      </c>
      <c r="C1327" t="s">
        <v>1646</v>
      </c>
      <c r="E1327" s="1">
        <v>45971</v>
      </c>
      <c r="F1327">
        <v>736.8</v>
      </c>
      <c r="G1327" t="s">
        <v>2099</v>
      </c>
      <c r="H1327">
        <f>_xlfn.XLOOKUP(E1327,K:K,L:L)</f>
        <v>3</v>
      </c>
    </row>
    <row r="1328" spans="1:8" x14ac:dyDescent="0.3">
      <c r="A1328" t="s">
        <v>92</v>
      </c>
      <c r="B1328">
        <v>20612866814</v>
      </c>
      <c r="C1328" t="s">
        <v>1647</v>
      </c>
      <c r="E1328" s="1">
        <v>45971</v>
      </c>
      <c r="F1328">
        <v>223.06</v>
      </c>
      <c r="G1328" t="s">
        <v>2099</v>
      </c>
      <c r="H1328">
        <f>_xlfn.XLOOKUP(E1328,K:K,L:L)</f>
        <v>3</v>
      </c>
    </row>
    <row r="1329" spans="1:8" x14ac:dyDescent="0.3">
      <c r="A1329" t="s">
        <v>92</v>
      </c>
      <c r="B1329">
        <v>20612887021</v>
      </c>
      <c r="C1329" t="s">
        <v>1648</v>
      </c>
      <c r="E1329" s="1">
        <v>45971</v>
      </c>
      <c r="F1329">
        <v>137.80000000000001</v>
      </c>
      <c r="G1329" t="s">
        <v>2099</v>
      </c>
      <c r="H1329">
        <f>_xlfn.XLOOKUP(E1329,K:K,L:L)</f>
        <v>3</v>
      </c>
    </row>
    <row r="1330" spans="1:8" x14ac:dyDescent="0.3">
      <c r="A1330" t="s">
        <v>92</v>
      </c>
      <c r="B1330">
        <v>20612966797</v>
      </c>
      <c r="C1330" t="s">
        <v>1649</v>
      </c>
      <c r="E1330" s="1">
        <v>45971</v>
      </c>
      <c r="F1330">
        <v>206.05</v>
      </c>
      <c r="G1330" t="s">
        <v>2099</v>
      </c>
      <c r="H1330">
        <f>_xlfn.XLOOKUP(E1330,K:K,L:L)</f>
        <v>3</v>
      </c>
    </row>
    <row r="1331" spans="1:8" x14ac:dyDescent="0.3">
      <c r="A1331" t="s">
        <v>92</v>
      </c>
      <c r="B1331">
        <v>20613280821</v>
      </c>
      <c r="C1331" t="s">
        <v>1650</v>
      </c>
      <c r="E1331" s="1">
        <v>45971</v>
      </c>
      <c r="F1331">
        <v>259.52999999999997</v>
      </c>
      <c r="G1331" t="s">
        <v>2099</v>
      </c>
      <c r="H1331">
        <f>_xlfn.XLOOKUP(E1331,K:K,L:L)</f>
        <v>3</v>
      </c>
    </row>
    <row r="1332" spans="1:8" x14ac:dyDescent="0.3">
      <c r="A1332" t="s">
        <v>92</v>
      </c>
      <c r="B1332">
        <v>20614407728</v>
      </c>
      <c r="C1332" t="s">
        <v>1651</v>
      </c>
      <c r="E1332" s="1">
        <v>45971</v>
      </c>
      <c r="F1332">
        <v>533.99</v>
      </c>
      <c r="G1332" t="s">
        <v>2099</v>
      </c>
      <c r="H1332">
        <f>_xlfn.XLOOKUP(E1332,K:K,L:L)</f>
        <v>3</v>
      </c>
    </row>
    <row r="1333" spans="1:8" x14ac:dyDescent="0.3">
      <c r="A1333" t="s">
        <v>92</v>
      </c>
      <c r="B1333">
        <v>15603354831</v>
      </c>
      <c r="C1333" t="s">
        <v>1614</v>
      </c>
      <c r="E1333" s="1">
        <v>45971</v>
      </c>
      <c r="F1333">
        <v>131.05000000000001</v>
      </c>
      <c r="G1333" t="s">
        <v>2099</v>
      </c>
      <c r="H1333">
        <f>_xlfn.XLOOKUP(E1333,K:K,L:L)</f>
        <v>3</v>
      </c>
    </row>
    <row r="1334" spans="1:8" x14ac:dyDescent="0.3">
      <c r="A1334" t="s">
        <v>92</v>
      </c>
      <c r="B1334">
        <v>20492865894</v>
      </c>
      <c r="C1334" t="s">
        <v>1617</v>
      </c>
      <c r="E1334" s="1">
        <v>45971</v>
      </c>
      <c r="F1334">
        <v>609.04</v>
      </c>
      <c r="G1334" t="s">
        <v>2099</v>
      </c>
      <c r="H1334">
        <f>_xlfn.XLOOKUP(E1334,K:K,L:L)</f>
        <v>3</v>
      </c>
    </row>
    <row r="1335" spans="1:8" x14ac:dyDescent="0.3">
      <c r="A1335" t="s">
        <v>92</v>
      </c>
      <c r="B1335">
        <v>20536873695</v>
      </c>
      <c r="C1335" t="s">
        <v>1652</v>
      </c>
      <c r="E1335" s="1">
        <v>45971</v>
      </c>
      <c r="F1335">
        <v>131.05000000000001</v>
      </c>
      <c r="G1335" t="s">
        <v>2099</v>
      </c>
      <c r="H1335">
        <f>_xlfn.XLOOKUP(E1335,K:K,L:L)</f>
        <v>3</v>
      </c>
    </row>
    <row r="1336" spans="1:8" x14ac:dyDescent="0.3">
      <c r="A1336" t="s">
        <v>92</v>
      </c>
      <c r="B1336">
        <v>20541672533</v>
      </c>
      <c r="C1336" t="s">
        <v>1653</v>
      </c>
      <c r="E1336" s="1">
        <v>45971</v>
      </c>
      <c r="F1336">
        <v>158.29999999999998</v>
      </c>
      <c r="G1336" t="s">
        <v>2099</v>
      </c>
      <c r="H1336">
        <f>_xlfn.XLOOKUP(E1336,K:K,L:L)</f>
        <v>3</v>
      </c>
    </row>
    <row r="1337" spans="1:8" x14ac:dyDescent="0.3">
      <c r="A1337" t="s">
        <v>92</v>
      </c>
      <c r="B1337">
        <v>20543817512</v>
      </c>
      <c r="C1337" t="s">
        <v>1625</v>
      </c>
      <c r="E1337" s="1">
        <v>45971</v>
      </c>
      <c r="F1337">
        <v>131.05000000000001</v>
      </c>
      <c r="G1337" t="s">
        <v>2099</v>
      </c>
      <c r="H1337">
        <f>_xlfn.XLOOKUP(E1337,K:K,L:L)</f>
        <v>3</v>
      </c>
    </row>
    <row r="1338" spans="1:8" x14ac:dyDescent="0.3">
      <c r="A1338" t="s">
        <v>92</v>
      </c>
      <c r="B1338">
        <v>20602467733</v>
      </c>
      <c r="C1338" t="s">
        <v>1633</v>
      </c>
      <c r="E1338" s="1">
        <v>45971</v>
      </c>
      <c r="F1338">
        <v>144.85</v>
      </c>
      <c r="G1338" t="s">
        <v>2099</v>
      </c>
      <c r="H1338">
        <f>_xlfn.XLOOKUP(E1338,K:K,L:L)</f>
        <v>3</v>
      </c>
    </row>
    <row r="1339" spans="1:8" x14ac:dyDescent="0.3">
      <c r="A1339" t="s">
        <v>92</v>
      </c>
      <c r="B1339">
        <v>20603063296</v>
      </c>
      <c r="C1339" t="s">
        <v>1654</v>
      </c>
      <c r="E1339" s="1">
        <v>45971</v>
      </c>
      <c r="F1339">
        <v>306</v>
      </c>
      <c r="G1339" t="s">
        <v>2099</v>
      </c>
      <c r="H1339">
        <f>_xlfn.XLOOKUP(E1339,K:K,L:L)</f>
        <v>3</v>
      </c>
    </row>
    <row r="1340" spans="1:8" x14ac:dyDescent="0.3">
      <c r="A1340" t="s">
        <v>92</v>
      </c>
      <c r="B1340">
        <v>20604661537</v>
      </c>
      <c r="C1340" t="s">
        <v>1636</v>
      </c>
      <c r="E1340" s="1">
        <v>45971</v>
      </c>
      <c r="F1340">
        <v>131.05000000000001</v>
      </c>
      <c r="G1340" t="s">
        <v>2099</v>
      </c>
      <c r="H1340">
        <f>_xlfn.XLOOKUP(E1340,K:K,L:L)</f>
        <v>3</v>
      </c>
    </row>
    <row r="1341" spans="1:8" x14ac:dyDescent="0.3">
      <c r="A1341" t="s">
        <v>92</v>
      </c>
      <c r="B1341">
        <v>20606543353</v>
      </c>
      <c r="C1341" t="s">
        <v>1638</v>
      </c>
      <c r="E1341" s="1">
        <v>45971</v>
      </c>
      <c r="F1341">
        <v>144.16</v>
      </c>
      <c r="G1341" t="s">
        <v>2099</v>
      </c>
      <c r="H1341">
        <f>_xlfn.XLOOKUP(E1341,K:K,L:L)</f>
        <v>3</v>
      </c>
    </row>
    <row r="1342" spans="1:8" x14ac:dyDescent="0.3">
      <c r="A1342" t="s">
        <v>92</v>
      </c>
      <c r="B1342">
        <v>20607100510</v>
      </c>
      <c r="C1342" t="s">
        <v>1655</v>
      </c>
      <c r="E1342" s="1">
        <v>45971</v>
      </c>
      <c r="F1342">
        <v>131.05000000000001</v>
      </c>
      <c r="G1342" t="s">
        <v>2099</v>
      </c>
      <c r="H1342">
        <f>_xlfn.XLOOKUP(E1342,K:K,L:L)</f>
        <v>3</v>
      </c>
    </row>
    <row r="1343" spans="1:8" x14ac:dyDescent="0.3">
      <c r="A1343" t="s">
        <v>92</v>
      </c>
      <c r="B1343">
        <v>20607522864</v>
      </c>
      <c r="C1343" t="s">
        <v>1639</v>
      </c>
      <c r="E1343" s="1">
        <v>45971</v>
      </c>
      <c r="F1343">
        <v>131.05000000000001</v>
      </c>
      <c r="G1343" t="s">
        <v>2099</v>
      </c>
      <c r="H1343">
        <f>_xlfn.XLOOKUP(E1343,K:K,L:L)</f>
        <v>3</v>
      </c>
    </row>
    <row r="1344" spans="1:8" x14ac:dyDescent="0.3">
      <c r="A1344" t="s">
        <v>92</v>
      </c>
      <c r="B1344">
        <v>20609988658</v>
      </c>
      <c r="C1344" t="s">
        <v>1642</v>
      </c>
      <c r="E1344" s="1">
        <v>45971</v>
      </c>
      <c r="F1344">
        <v>173.96</v>
      </c>
      <c r="G1344" t="s">
        <v>2099</v>
      </c>
      <c r="H1344">
        <f>_xlfn.XLOOKUP(E1344,K:K,L:L)</f>
        <v>3</v>
      </c>
    </row>
    <row r="1345" spans="1:8" x14ac:dyDescent="0.3">
      <c r="A1345" t="s">
        <v>92</v>
      </c>
      <c r="B1345">
        <v>20611000121</v>
      </c>
      <c r="C1345" t="s">
        <v>1645</v>
      </c>
      <c r="E1345" s="1">
        <v>45971</v>
      </c>
      <c r="F1345">
        <v>131.05000000000001</v>
      </c>
      <c r="G1345" t="s">
        <v>2099</v>
      </c>
      <c r="H1345">
        <f>_xlfn.XLOOKUP(E1345,K:K,L:L)</f>
        <v>3</v>
      </c>
    </row>
    <row r="1346" spans="1:8" x14ac:dyDescent="0.3">
      <c r="A1346" t="s">
        <v>92</v>
      </c>
      <c r="B1346">
        <v>20612887021</v>
      </c>
      <c r="C1346" t="s">
        <v>1648</v>
      </c>
      <c r="E1346" s="1">
        <v>45971</v>
      </c>
      <c r="F1346">
        <v>139.17000000000002</v>
      </c>
      <c r="G1346" t="s">
        <v>2099</v>
      </c>
      <c r="H1346">
        <f>_xlfn.XLOOKUP(E1346,K:K,L:L)</f>
        <v>3</v>
      </c>
    </row>
    <row r="1347" spans="1:8" x14ac:dyDescent="0.3">
      <c r="A1347" t="s">
        <v>92</v>
      </c>
      <c r="B1347">
        <v>20613280821</v>
      </c>
      <c r="C1347" t="s">
        <v>1650</v>
      </c>
      <c r="E1347" s="1">
        <v>45971</v>
      </c>
      <c r="F1347">
        <v>262.10000000000002</v>
      </c>
      <c r="G1347" t="s">
        <v>2099</v>
      </c>
      <c r="H1347">
        <f>_xlfn.XLOOKUP(E1347,K:K,L:L)</f>
        <v>3</v>
      </c>
    </row>
    <row r="1348" spans="1:8" x14ac:dyDescent="0.3">
      <c r="A1348" t="s">
        <v>92</v>
      </c>
      <c r="B1348">
        <v>15603354831</v>
      </c>
      <c r="C1348" t="s">
        <v>1614</v>
      </c>
      <c r="E1348" s="1">
        <v>45971</v>
      </c>
      <c r="F1348">
        <v>132.07</v>
      </c>
      <c r="G1348" t="s">
        <v>2099</v>
      </c>
      <c r="H1348">
        <f>_xlfn.XLOOKUP(E1348,K:K,L:L)</f>
        <v>3</v>
      </c>
    </row>
    <row r="1349" spans="1:8" x14ac:dyDescent="0.3">
      <c r="A1349" t="s">
        <v>92</v>
      </c>
      <c r="B1349">
        <v>20492865894</v>
      </c>
      <c r="C1349" t="s">
        <v>1617</v>
      </c>
      <c r="E1349" s="1">
        <v>45971</v>
      </c>
      <c r="F1349">
        <v>613.81000000000006</v>
      </c>
      <c r="G1349" t="s">
        <v>2099</v>
      </c>
      <c r="H1349">
        <f>_xlfn.XLOOKUP(E1349,K:K,L:L)</f>
        <v>3</v>
      </c>
    </row>
    <row r="1350" spans="1:8" x14ac:dyDescent="0.3">
      <c r="A1350" t="s">
        <v>92</v>
      </c>
      <c r="B1350">
        <v>20536873695</v>
      </c>
      <c r="C1350" t="s">
        <v>1652</v>
      </c>
      <c r="E1350" s="1">
        <v>45971</v>
      </c>
      <c r="F1350">
        <v>132.07</v>
      </c>
      <c r="G1350" t="s">
        <v>2099</v>
      </c>
      <c r="H1350">
        <f>_xlfn.XLOOKUP(E1350,K:K,L:L)</f>
        <v>3</v>
      </c>
    </row>
    <row r="1351" spans="1:8" x14ac:dyDescent="0.3">
      <c r="A1351" t="s">
        <v>92</v>
      </c>
      <c r="B1351">
        <v>20543817512</v>
      </c>
      <c r="C1351" t="s">
        <v>1625</v>
      </c>
      <c r="E1351" s="1">
        <v>45971</v>
      </c>
      <c r="F1351">
        <v>132.07</v>
      </c>
      <c r="G1351" t="s">
        <v>2099</v>
      </c>
      <c r="H1351">
        <f>_xlfn.XLOOKUP(E1351,K:K,L:L)</f>
        <v>3</v>
      </c>
    </row>
    <row r="1352" spans="1:8" x14ac:dyDescent="0.3">
      <c r="A1352" t="s">
        <v>92</v>
      </c>
      <c r="B1352">
        <v>20602467733</v>
      </c>
      <c r="C1352" t="s">
        <v>1633</v>
      </c>
      <c r="E1352" s="1">
        <v>45971</v>
      </c>
      <c r="F1352">
        <v>145.99</v>
      </c>
      <c r="G1352" t="s">
        <v>2099</v>
      </c>
      <c r="H1352">
        <f>_xlfn.XLOOKUP(E1352,K:K,L:L)</f>
        <v>3</v>
      </c>
    </row>
    <row r="1353" spans="1:8" x14ac:dyDescent="0.3">
      <c r="A1353" t="s">
        <v>92</v>
      </c>
      <c r="B1353">
        <v>20603063296</v>
      </c>
      <c r="C1353" t="s">
        <v>1654</v>
      </c>
      <c r="E1353" s="1">
        <v>45971</v>
      </c>
      <c r="F1353">
        <v>308.39999999999998</v>
      </c>
      <c r="G1353" t="s">
        <v>2099</v>
      </c>
      <c r="H1353">
        <f>_xlfn.XLOOKUP(E1353,K:K,L:L)</f>
        <v>3</v>
      </c>
    </row>
    <row r="1354" spans="1:8" x14ac:dyDescent="0.3">
      <c r="A1354" t="s">
        <v>92</v>
      </c>
      <c r="B1354">
        <v>20607100510</v>
      </c>
      <c r="C1354" t="s">
        <v>1655</v>
      </c>
      <c r="E1354" s="1">
        <v>45971</v>
      </c>
      <c r="F1354">
        <v>132.07</v>
      </c>
      <c r="G1354" t="s">
        <v>2099</v>
      </c>
      <c r="H1354">
        <f>_xlfn.XLOOKUP(E1354,K:K,L:L)</f>
        <v>3</v>
      </c>
    </row>
    <row r="1355" spans="1:8" x14ac:dyDescent="0.3">
      <c r="A1355" t="s">
        <v>92</v>
      </c>
      <c r="B1355">
        <v>20607522864</v>
      </c>
      <c r="C1355" t="s">
        <v>1639</v>
      </c>
      <c r="E1355" s="1">
        <v>45971</v>
      </c>
      <c r="F1355">
        <v>132.07</v>
      </c>
      <c r="G1355" t="s">
        <v>2099</v>
      </c>
      <c r="H1355">
        <f>_xlfn.XLOOKUP(E1355,K:K,L:L)</f>
        <v>3</v>
      </c>
    </row>
    <row r="1356" spans="1:8" x14ac:dyDescent="0.3">
      <c r="A1356" t="s">
        <v>92</v>
      </c>
      <c r="B1356">
        <v>20609988658</v>
      </c>
      <c r="C1356" t="s">
        <v>1642</v>
      </c>
      <c r="E1356" s="1">
        <v>45971</v>
      </c>
      <c r="F1356">
        <v>175.32999999999998</v>
      </c>
      <c r="G1356" t="s">
        <v>2099</v>
      </c>
      <c r="H1356">
        <f>_xlfn.XLOOKUP(E1356,K:K,L:L)</f>
        <v>3</v>
      </c>
    </row>
    <row r="1357" spans="1:8" x14ac:dyDescent="0.3">
      <c r="A1357" t="s">
        <v>92</v>
      </c>
      <c r="B1357">
        <v>20612510581</v>
      </c>
      <c r="C1357" t="s">
        <v>1656</v>
      </c>
      <c r="E1357" s="1">
        <v>45971</v>
      </c>
      <c r="F1357">
        <v>151.94999999999999</v>
      </c>
      <c r="G1357" t="s">
        <v>2099</v>
      </c>
      <c r="H1357">
        <f>_xlfn.XLOOKUP(E1357,K:K,L:L)</f>
        <v>3</v>
      </c>
    </row>
    <row r="1358" spans="1:8" x14ac:dyDescent="0.3">
      <c r="A1358" t="s">
        <v>92</v>
      </c>
      <c r="B1358">
        <v>20492865894</v>
      </c>
      <c r="C1358" t="s">
        <v>1617</v>
      </c>
      <c r="E1358" s="1">
        <v>45971</v>
      </c>
      <c r="F1358">
        <v>619.79</v>
      </c>
      <c r="G1358" t="s">
        <v>2099</v>
      </c>
      <c r="H1358">
        <f>_xlfn.XLOOKUP(E1358,K:K,L:L)</f>
        <v>3</v>
      </c>
    </row>
    <row r="1359" spans="1:8" x14ac:dyDescent="0.3">
      <c r="A1359" t="s">
        <v>92</v>
      </c>
      <c r="B1359">
        <v>20536873695</v>
      </c>
      <c r="C1359" t="s">
        <v>1652</v>
      </c>
      <c r="E1359" s="1">
        <v>45971</v>
      </c>
      <c r="F1359">
        <v>133.36000000000001</v>
      </c>
      <c r="G1359" t="s">
        <v>2099</v>
      </c>
      <c r="H1359">
        <f>_xlfn.XLOOKUP(E1359,K:K,L:L)</f>
        <v>3</v>
      </c>
    </row>
    <row r="1360" spans="1:8" x14ac:dyDescent="0.3">
      <c r="A1360" t="s">
        <v>92</v>
      </c>
      <c r="B1360">
        <v>20543817512</v>
      </c>
      <c r="C1360" t="s">
        <v>1625</v>
      </c>
      <c r="E1360" s="1">
        <v>45971</v>
      </c>
      <c r="F1360">
        <v>133.36000000000001</v>
      </c>
      <c r="G1360" t="s">
        <v>2099</v>
      </c>
      <c r="H1360">
        <f>_xlfn.XLOOKUP(E1360,K:K,L:L)</f>
        <v>3</v>
      </c>
    </row>
    <row r="1361" spans="1:8" x14ac:dyDescent="0.3">
      <c r="A1361" t="s">
        <v>92</v>
      </c>
      <c r="B1361">
        <v>20602467733</v>
      </c>
      <c r="C1361" t="s">
        <v>1633</v>
      </c>
      <c r="E1361" s="1">
        <v>45971</v>
      </c>
      <c r="F1361">
        <v>147.41</v>
      </c>
      <c r="G1361" t="s">
        <v>2099</v>
      </c>
      <c r="H1361">
        <f>_xlfn.XLOOKUP(E1361,K:K,L:L)</f>
        <v>3</v>
      </c>
    </row>
    <row r="1362" spans="1:8" x14ac:dyDescent="0.3">
      <c r="A1362" t="s">
        <v>92</v>
      </c>
      <c r="B1362">
        <v>20609988658</v>
      </c>
      <c r="C1362" t="s">
        <v>1642</v>
      </c>
      <c r="E1362" s="1">
        <v>45971</v>
      </c>
      <c r="F1362">
        <v>177.02999999999997</v>
      </c>
      <c r="G1362" t="s">
        <v>2099</v>
      </c>
      <c r="H1362">
        <f>_xlfn.XLOOKUP(E1362,K:K,L:L)</f>
        <v>3</v>
      </c>
    </row>
    <row r="1363" spans="1:8" x14ac:dyDescent="0.3">
      <c r="A1363" t="s">
        <v>92</v>
      </c>
      <c r="B1363">
        <v>20492865894</v>
      </c>
      <c r="C1363" t="s">
        <v>1617</v>
      </c>
      <c r="E1363" s="1">
        <v>45971</v>
      </c>
      <c r="F1363">
        <v>648.90000000000009</v>
      </c>
      <c r="G1363" t="s">
        <v>2099</v>
      </c>
      <c r="H1363">
        <f>_xlfn.XLOOKUP(E1363,K:K,L:L)</f>
        <v>3</v>
      </c>
    </row>
    <row r="1364" spans="1:8" x14ac:dyDescent="0.3">
      <c r="A1364" t="s">
        <v>92</v>
      </c>
      <c r="B1364">
        <v>20536873695</v>
      </c>
      <c r="C1364" t="s">
        <v>1652</v>
      </c>
      <c r="E1364" s="1">
        <v>45971</v>
      </c>
      <c r="F1364">
        <v>134.52000000000001</v>
      </c>
      <c r="G1364" t="s">
        <v>2099</v>
      </c>
      <c r="H1364">
        <f>_xlfn.XLOOKUP(E1364,K:K,L:L)</f>
        <v>3</v>
      </c>
    </row>
    <row r="1365" spans="1:8" x14ac:dyDescent="0.3">
      <c r="A1365" t="s">
        <v>92</v>
      </c>
      <c r="B1365">
        <v>20602467733</v>
      </c>
      <c r="C1365" t="s">
        <v>1633</v>
      </c>
      <c r="E1365" s="1">
        <v>45971</v>
      </c>
      <c r="F1365">
        <v>84.32</v>
      </c>
      <c r="G1365" t="s">
        <v>2099</v>
      </c>
      <c r="H1365">
        <f>_xlfn.XLOOKUP(E1365,K:K,L:L)</f>
        <v>3</v>
      </c>
    </row>
    <row r="1366" spans="1:8" x14ac:dyDescent="0.3">
      <c r="A1366" t="s">
        <v>92</v>
      </c>
      <c r="B1366">
        <v>20492865894</v>
      </c>
      <c r="C1366" t="s">
        <v>1617</v>
      </c>
      <c r="E1366" s="1">
        <v>45971</v>
      </c>
      <c r="F1366">
        <v>654.48</v>
      </c>
      <c r="G1366" t="s">
        <v>2099</v>
      </c>
      <c r="H1366">
        <f>_xlfn.XLOOKUP(E1366,K:K,L:L)</f>
        <v>3</v>
      </c>
    </row>
    <row r="1367" spans="1:8" x14ac:dyDescent="0.3">
      <c r="A1367" t="s">
        <v>92</v>
      </c>
      <c r="B1367">
        <v>20602467733</v>
      </c>
      <c r="C1367" t="s">
        <v>1633</v>
      </c>
      <c r="E1367" s="1">
        <v>45971</v>
      </c>
      <c r="F1367">
        <v>149.95999999999998</v>
      </c>
      <c r="G1367" t="s">
        <v>2099</v>
      </c>
      <c r="H1367">
        <f>_xlfn.XLOOKUP(E1367,K:K,L:L)</f>
        <v>3</v>
      </c>
    </row>
    <row r="1368" spans="1:8" x14ac:dyDescent="0.3">
      <c r="A1368" t="s">
        <v>92</v>
      </c>
      <c r="B1368">
        <v>20492865894</v>
      </c>
      <c r="C1368" t="s">
        <v>1617</v>
      </c>
      <c r="E1368" s="1">
        <v>45971</v>
      </c>
      <c r="F1368">
        <v>660.05</v>
      </c>
      <c r="G1368" t="s">
        <v>2099</v>
      </c>
      <c r="H1368">
        <f>_xlfn.XLOOKUP(E1368,K:K,L:L)</f>
        <v>3</v>
      </c>
    </row>
    <row r="1369" spans="1:8" x14ac:dyDescent="0.3">
      <c r="A1369" t="s">
        <v>92</v>
      </c>
      <c r="B1369">
        <v>20602467733</v>
      </c>
      <c r="C1369" t="s">
        <v>1633</v>
      </c>
      <c r="E1369" s="1">
        <v>45971</v>
      </c>
      <c r="F1369">
        <v>151.24</v>
      </c>
      <c r="G1369" t="s">
        <v>2099</v>
      </c>
      <c r="H1369">
        <f>_xlfn.XLOOKUP(E1369,K:K,L:L)</f>
        <v>3</v>
      </c>
    </row>
    <row r="1370" spans="1:8" x14ac:dyDescent="0.3">
      <c r="A1370" t="s">
        <v>92</v>
      </c>
      <c r="B1370">
        <v>20492865894</v>
      </c>
      <c r="C1370" t="s">
        <v>1617</v>
      </c>
      <c r="E1370" s="1">
        <v>45971</v>
      </c>
      <c r="F1370">
        <v>665.64</v>
      </c>
      <c r="G1370" t="s">
        <v>2099</v>
      </c>
      <c r="H1370">
        <f>_xlfn.XLOOKUP(E1370,K:K,L:L)</f>
        <v>3</v>
      </c>
    </row>
    <row r="1371" spans="1:8" x14ac:dyDescent="0.3">
      <c r="A1371" t="s">
        <v>92</v>
      </c>
      <c r="B1371">
        <v>20602467733</v>
      </c>
      <c r="C1371" t="s">
        <v>1633</v>
      </c>
      <c r="E1371" s="1">
        <v>45971</v>
      </c>
      <c r="F1371">
        <v>152.51999999999998</v>
      </c>
      <c r="G1371" t="s">
        <v>2099</v>
      </c>
      <c r="H1371">
        <f>_xlfn.XLOOKUP(E1371,K:K,L:L)</f>
        <v>3</v>
      </c>
    </row>
    <row r="1372" spans="1:8" x14ac:dyDescent="0.3">
      <c r="A1372" t="s">
        <v>92</v>
      </c>
      <c r="B1372">
        <v>20602467733</v>
      </c>
      <c r="C1372" t="s">
        <v>1633</v>
      </c>
      <c r="E1372" s="1">
        <v>45971</v>
      </c>
      <c r="F1372">
        <v>153.80000000000001</v>
      </c>
      <c r="G1372" t="s">
        <v>2099</v>
      </c>
      <c r="H1372">
        <f>_xlfn.XLOOKUP(E1372,K:K,L:L)</f>
        <v>3</v>
      </c>
    </row>
    <row r="1373" spans="1:8" x14ac:dyDescent="0.3">
      <c r="A1373" t="s">
        <v>92</v>
      </c>
      <c r="B1373">
        <v>20602467733</v>
      </c>
      <c r="C1373" t="s">
        <v>1633</v>
      </c>
      <c r="E1373" s="1">
        <v>45971</v>
      </c>
      <c r="F1373">
        <v>158.23000000000002</v>
      </c>
      <c r="G1373" t="s">
        <v>2099</v>
      </c>
      <c r="H1373">
        <f>_xlfn.XLOOKUP(E1373,K:K,L:L)</f>
        <v>3</v>
      </c>
    </row>
    <row r="1374" spans="1:8" x14ac:dyDescent="0.3">
      <c r="A1374" t="s">
        <v>92</v>
      </c>
      <c r="B1374">
        <v>20602467733</v>
      </c>
      <c r="C1374" t="s">
        <v>1633</v>
      </c>
      <c r="E1374" s="1">
        <v>45971</v>
      </c>
      <c r="F1374">
        <v>159.67999999999998</v>
      </c>
      <c r="G1374" t="s">
        <v>2099</v>
      </c>
      <c r="H1374">
        <f>_xlfn.XLOOKUP(E1374,K:K,L:L)</f>
        <v>3</v>
      </c>
    </row>
    <row r="1375" spans="1:8" x14ac:dyDescent="0.3">
      <c r="A1375" t="s">
        <v>92</v>
      </c>
      <c r="B1375">
        <v>20602467733</v>
      </c>
      <c r="C1375" t="s">
        <v>1633</v>
      </c>
      <c r="E1375" s="1">
        <v>45971</v>
      </c>
      <c r="F1375">
        <v>160.84</v>
      </c>
      <c r="G1375" t="s">
        <v>2099</v>
      </c>
      <c r="H1375">
        <f>_xlfn.XLOOKUP(E1375,K:K,L:L)</f>
        <v>3</v>
      </c>
    </row>
    <row r="1376" spans="1:8" x14ac:dyDescent="0.3">
      <c r="A1376" t="s">
        <v>92</v>
      </c>
      <c r="B1376">
        <v>20602467733</v>
      </c>
      <c r="C1376" t="s">
        <v>1633</v>
      </c>
      <c r="E1376" s="1">
        <v>45971</v>
      </c>
      <c r="F1376">
        <v>162.29000000000002</v>
      </c>
      <c r="G1376" t="s">
        <v>2099</v>
      </c>
      <c r="H1376">
        <f>_xlfn.XLOOKUP(E1376,K:K,L:L)</f>
        <v>3</v>
      </c>
    </row>
    <row r="1377" spans="1:8" x14ac:dyDescent="0.3">
      <c r="A1377" t="s">
        <v>92</v>
      </c>
      <c r="B1377">
        <v>20602467733</v>
      </c>
      <c r="C1377" t="s">
        <v>1633</v>
      </c>
      <c r="E1377" s="1">
        <v>45971</v>
      </c>
      <c r="F1377">
        <v>163.60000000000002</v>
      </c>
      <c r="G1377" t="s">
        <v>2099</v>
      </c>
      <c r="H1377">
        <f>_xlfn.XLOOKUP(E1377,K:K,L:L)</f>
        <v>3</v>
      </c>
    </row>
    <row r="1378" spans="1:8" x14ac:dyDescent="0.3">
      <c r="A1378" t="s">
        <v>92</v>
      </c>
      <c r="B1378">
        <v>20602467733</v>
      </c>
      <c r="C1378" t="s">
        <v>1633</v>
      </c>
      <c r="E1378" s="1">
        <v>45971</v>
      </c>
      <c r="F1378">
        <v>164.89</v>
      </c>
      <c r="G1378" t="s">
        <v>2099</v>
      </c>
      <c r="H1378">
        <f>_xlfn.XLOOKUP(E1378,K:K,L:L)</f>
        <v>3</v>
      </c>
    </row>
    <row r="1379" spans="1:8" x14ac:dyDescent="0.3">
      <c r="A1379" t="s">
        <v>92</v>
      </c>
      <c r="B1379">
        <v>20602467733</v>
      </c>
      <c r="C1379" t="s">
        <v>1633</v>
      </c>
      <c r="E1379" s="1">
        <v>45971</v>
      </c>
      <c r="F1379">
        <v>166.35000000000002</v>
      </c>
      <c r="G1379" t="s">
        <v>2099</v>
      </c>
      <c r="H1379">
        <f>_xlfn.XLOOKUP(E1379,K:K,L:L)</f>
        <v>3</v>
      </c>
    </row>
    <row r="1380" spans="1:8" x14ac:dyDescent="0.3">
      <c r="A1380" t="s">
        <v>92</v>
      </c>
      <c r="B1380">
        <v>20602467733</v>
      </c>
      <c r="C1380" t="s">
        <v>1633</v>
      </c>
      <c r="E1380" s="1">
        <v>45971</v>
      </c>
      <c r="F1380">
        <v>167.36</v>
      </c>
      <c r="G1380" t="s">
        <v>2099</v>
      </c>
      <c r="H1380">
        <f>_xlfn.XLOOKUP(E1380,K:K,L:L)</f>
        <v>3</v>
      </c>
    </row>
    <row r="1381" spans="1:8" x14ac:dyDescent="0.3">
      <c r="A1381" t="s">
        <v>93</v>
      </c>
      <c r="B1381">
        <v>20605468919</v>
      </c>
      <c r="C1381" t="s">
        <v>2079</v>
      </c>
      <c r="E1381" s="1">
        <v>45971</v>
      </c>
      <c r="F1381">
        <v>366.34</v>
      </c>
      <c r="G1381" t="s">
        <v>2099</v>
      </c>
      <c r="H1381">
        <f>_xlfn.XLOOKUP(E1381,K:K,L:L)</f>
        <v>3</v>
      </c>
    </row>
    <row r="1382" spans="1:8" x14ac:dyDescent="0.3">
      <c r="A1382" t="s">
        <v>93</v>
      </c>
      <c r="B1382">
        <v>20605468919</v>
      </c>
      <c r="C1382" t="s">
        <v>2079</v>
      </c>
      <c r="E1382" s="1">
        <v>45971</v>
      </c>
      <c r="F1382">
        <v>369.40999999999997</v>
      </c>
      <c r="G1382" t="s">
        <v>2099</v>
      </c>
      <c r="H1382">
        <f>_xlfn.XLOOKUP(E1382,K:K,L:L)</f>
        <v>3</v>
      </c>
    </row>
    <row r="1383" spans="1:8" x14ac:dyDescent="0.3">
      <c r="A1383" t="s">
        <v>93</v>
      </c>
      <c r="B1383">
        <v>20605468919</v>
      </c>
      <c r="C1383" t="s">
        <v>2079</v>
      </c>
      <c r="E1383" s="1">
        <v>45971</v>
      </c>
      <c r="F1383">
        <v>383.29</v>
      </c>
      <c r="G1383" t="s">
        <v>2099</v>
      </c>
      <c r="H1383">
        <f>_xlfn.XLOOKUP(E1383,K:K,L:L)</f>
        <v>3</v>
      </c>
    </row>
    <row r="1384" spans="1:8" x14ac:dyDescent="0.3">
      <c r="A1384" t="s">
        <v>93</v>
      </c>
      <c r="B1384">
        <v>20605468919</v>
      </c>
      <c r="C1384" t="s">
        <v>2079</v>
      </c>
      <c r="E1384" s="1">
        <v>45971</v>
      </c>
      <c r="F1384">
        <v>386.8</v>
      </c>
      <c r="G1384" t="s">
        <v>2099</v>
      </c>
      <c r="H1384">
        <f>_xlfn.XLOOKUP(E1384,K:K,L:L)</f>
        <v>3</v>
      </c>
    </row>
    <row r="1385" spans="1:8" x14ac:dyDescent="0.3">
      <c r="A1385" t="s">
        <v>93</v>
      </c>
      <c r="B1385">
        <v>20605468919</v>
      </c>
      <c r="C1385" t="s">
        <v>2079</v>
      </c>
      <c r="E1385" s="1">
        <v>45971</v>
      </c>
      <c r="F1385">
        <v>389.61</v>
      </c>
      <c r="G1385" t="s">
        <v>2099</v>
      </c>
      <c r="H1385">
        <f>_xlfn.XLOOKUP(E1385,K:K,L:L)</f>
        <v>3</v>
      </c>
    </row>
    <row r="1386" spans="1:8" x14ac:dyDescent="0.3">
      <c r="A1386" t="s">
        <v>93</v>
      </c>
      <c r="B1386">
        <v>20605468919</v>
      </c>
      <c r="C1386" t="s">
        <v>2079</v>
      </c>
      <c r="E1386" s="1">
        <v>45971</v>
      </c>
      <c r="F1386">
        <v>393.12</v>
      </c>
      <c r="G1386" t="s">
        <v>2099</v>
      </c>
      <c r="H1386">
        <f>_xlfn.XLOOKUP(E1386,K:K,L:L)</f>
        <v>3</v>
      </c>
    </row>
    <row r="1387" spans="1:8" x14ac:dyDescent="0.3">
      <c r="A1387" t="s">
        <v>93</v>
      </c>
      <c r="B1387">
        <v>20605468919</v>
      </c>
      <c r="C1387" t="s">
        <v>2079</v>
      </c>
      <c r="E1387" s="1">
        <v>45971</v>
      </c>
      <c r="F1387">
        <v>396.28</v>
      </c>
      <c r="G1387" t="s">
        <v>2099</v>
      </c>
      <c r="H1387">
        <f>_xlfn.XLOOKUP(E1387,K:K,L:L)</f>
        <v>3</v>
      </c>
    </row>
    <row r="1388" spans="1:8" x14ac:dyDescent="0.3">
      <c r="A1388" t="s">
        <v>93</v>
      </c>
      <c r="B1388">
        <v>20605468919</v>
      </c>
      <c r="C1388" t="s">
        <v>2079</v>
      </c>
      <c r="E1388" s="1">
        <v>45971</v>
      </c>
      <c r="F1388">
        <v>399.44</v>
      </c>
      <c r="G1388" t="s">
        <v>2099</v>
      </c>
      <c r="H1388">
        <f>_xlfn.XLOOKUP(E1388,K:K,L:L)</f>
        <v>3</v>
      </c>
    </row>
    <row r="1389" spans="1:8" x14ac:dyDescent="0.3">
      <c r="A1389" t="s">
        <v>93</v>
      </c>
      <c r="B1389">
        <v>20605468919</v>
      </c>
      <c r="C1389" t="s">
        <v>2079</v>
      </c>
      <c r="E1389" s="1">
        <v>45971</v>
      </c>
      <c r="F1389">
        <v>402.95</v>
      </c>
      <c r="G1389" t="s">
        <v>2099</v>
      </c>
      <c r="H1389">
        <f>_xlfn.XLOOKUP(E1389,K:K,L:L)</f>
        <v>3</v>
      </c>
    </row>
    <row r="1390" spans="1:8" x14ac:dyDescent="0.3">
      <c r="A1390" t="s">
        <v>93</v>
      </c>
      <c r="B1390">
        <v>20605468919</v>
      </c>
      <c r="C1390" t="s">
        <v>2079</v>
      </c>
      <c r="E1390" s="1">
        <v>45971</v>
      </c>
      <c r="F1390">
        <v>405.40999999999997</v>
      </c>
      <c r="G1390" t="s">
        <v>2099</v>
      </c>
      <c r="H1390">
        <f>_xlfn.XLOOKUP(E1390,K:K,L:L)</f>
        <v>3</v>
      </c>
    </row>
    <row r="1391" spans="1:8" x14ac:dyDescent="0.3">
      <c r="A1391" t="s">
        <v>93</v>
      </c>
      <c r="B1391">
        <v>20605468919</v>
      </c>
      <c r="C1391" t="s">
        <v>2079</v>
      </c>
      <c r="E1391" s="1">
        <v>45971</v>
      </c>
      <c r="F1391">
        <v>408.92</v>
      </c>
      <c r="G1391" t="s">
        <v>2099</v>
      </c>
      <c r="H1391">
        <f>_xlfn.XLOOKUP(E1391,K:K,L:L)</f>
        <v>3</v>
      </c>
    </row>
    <row r="1392" spans="1:8" x14ac:dyDescent="0.3">
      <c r="A1392" t="s">
        <v>93</v>
      </c>
      <c r="B1392">
        <v>20605468919</v>
      </c>
      <c r="C1392" t="s">
        <v>2079</v>
      </c>
      <c r="E1392" s="1">
        <v>45971</v>
      </c>
      <c r="F1392">
        <v>412.43</v>
      </c>
      <c r="G1392" t="s">
        <v>2099</v>
      </c>
      <c r="H1392">
        <f>_xlfn.XLOOKUP(E1392,K:K,L:L)</f>
        <v>3</v>
      </c>
    </row>
    <row r="1393" spans="1:8" x14ac:dyDescent="0.3">
      <c r="A1393" t="s">
        <v>93</v>
      </c>
      <c r="B1393">
        <v>20605468919</v>
      </c>
      <c r="C1393" t="s">
        <v>2079</v>
      </c>
      <c r="E1393" s="1">
        <v>45971</v>
      </c>
      <c r="F1393">
        <v>415.58</v>
      </c>
      <c r="G1393" t="s">
        <v>2099</v>
      </c>
      <c r="H1393">
        <f>_xlfn.XLOOKUP(E1393,K:K,L:L)</f>
        <v>3</v>
      </c>
    </row>
    <row r="1394" spans="1:8" x14ac:dyDescent="0.3">
      <c r="A1394" t="s">
        <v>93</v>
      </c>
      <c r="B1394">
        <v>20605468919</v>
      </c>
      <c r="C1394" t="s">
        <v>2079</v>
      </c>
      <c r="E1394" s="1">
        <v>45971</v>
      </c>
      <c r="F1394">
        <v>418.74</v>
      </c>
      <c r="G1394" t="s">
        <v>2099</v>
      </c>
      <c r="H1394">
        <f>_xlfn.XLOOKUP(E1394,K:K,L:L)</f>
        <v>3</v>
      </c>
    </row>
    <row r="1395" spans="1:8" x14ac:dyDescent="0.3">
      <c r="A1395" t="s">
        <v>875</v>
      </c>
      <c r="B1395">
        <v>20107945874</v>
      </c>
      <c r="C1395" t="s">
        <v>2098</v>
      </c>
      <c r="E1395" s="1">
        <v>45971</v>
      </c>
      <c r="F1395">
        <v>1044.6400000000001</v>
      </c>
      <c r="G1395" t="s">
        <v>2099</v>
      </c>
      <c r="H1395">
        <f>_xlfn.XLOOKUP(E1395,K:K,L:L)</f>
        <v>3</v>
      </c>
    </row>
    <row r="1396" spans="1:8" x14ac:dyDescent="0.3">
      <c r="A1396" t="s">
        <v>875</v>
      </c>
      <c r="B1396">
        <v>20509470848</v>
      </c>
      <c r="C1396" t="s">
        <v>1079</v>
      </c>
      <c r="E1396" s="1">
        <v>45971</v>
      </c>
      <c r="F1396">
        <v>383.97</v>
      </c>
      <c r="G1396" t="s">
        <v>2099</v>
      </c>
      <c r="H1396">
        <f>_xlfn.XLOOKUP(E1396,K:K,L:L)</f>
        <v>3</v>
      </c>
    </row>
    <row r="1397" spans="1:8" x14ac:dyDescent="0.3">
      <c r="A1397" t="s">
        <v>875</v>
      </c>
      <c r="B1397">
        <v>20509470848</v>
      </c>
      <c r="C1397" t="s">
        <v>1079</v>
      </c>
      <c r="E1397" s="1">
        <v>45971</v>
      </c>
      <c r="F1397">
        <v>378.69</v>
      </c>
      <c r="G1397" t="s">
        <v>2099</v>
      </c>
      <c r="H1397">
        <f>_xlfn.XLOOKUP(E1397,K:K,L:L)</f>
        <v>3</v>
      </c>
    </row>
    <row r="1398" spans="1:8" x14ac:dyDescent="0.3">
      <c r="A1398" t="s">
        <v>875</v>
      </c>
      <c r="B1398">
        <v>20509470848</v>
      </c>
      <c r="C1398" t="s">
        <v>1079</v>
      </c>
      <c r="E1398" s="1">
        <v>45971</v>
      </c>
      <c r="F1398">
        <v>372.92</v>
      </c>
      <c r="G1398" t="s">
        <v>2099</v>
      </c>
      <c r="H1398">
        <f>_xlfn.XLOOKUP(E1398,K:K,L:L)</f>
        <v>3</v>
      </c>
    </row>
    <row r="1399" spans="1:8" x14ac:dyDescent="0.3">
      <c r="A1399" t="s">
        <v>875</v>
      </c>
      <c r="B1399">
        <v>20509470848</v>
      </c>
      <c r="C1399" t="s">
        <v>1079</v>
      </c>
      <c r="E1399" s="1">
        <v>45971</v>
      </c>
      <c r="F1399">
        <v>361.75</v>
      </c>
      <c r="G1399" t="s">
        <v>2099</v>
      </c>
      <c r="H1399">
        <f>_xlfn.XLOOKUP(E1399,K:K,L:L)</f>
        <v>3</v>
      </c>
    </row>
    <row r="1400" spans="1:8" x14ac:dyDescent="0.3">
      <c r="A1400" t="s">
        <v>875</v>
      </c>
      <c r="B1400">
        <v>20509470848</v>
      </c>
      <c r="C1400" t="s">
        <v>1079</v>
      </c>
      <c r="E1400" s="1">
        <v>45971</v>
      </c>
      <c r="F1400">
        <v>356.48</v>
      </c>
      <c r="G1400" t="s">
        <v>2099</v>
      </c>
      <c r="H1400">
        <f>_xlfn.XLOOKUP(E1400,K:K,L:L)</f>
        <v>3</v>
      </c>
    </row>
    <row r="1401" spans="1:8" x14ac:dyDescent="0.3">
      <c r="A1401" t="s">
        <v>875</v>
      </c>
      <c r="B1401">
        <v>20509470848</v>
      </c>
      <c r="C1401" t="s">
        <v>1079</v>
      </c>
      <c r="E1401" s="1">
        <v>45971</v>
      </c>
      <c r="F1401">
        <v>351.4</v>
      </c>
      <c r="G1401" t="s">
        <v>2099</v>
      </c>
      <c r="H1401">
        <f>_xlfn.XLOOKUP(E1401,K:K,L:L)</f>
        <v>3</v>
      </c>
    </row>
    <row r="1402" spans="1:8" x14ac:dyDescent="0.3">
      <c r="A1402" t="s">
        <v>875</v>
      </c>
      <c r="B1402">
        <v>20509470848</v>
      </c>
      <c r="C1402" t="s">
        <v>1079</v>
      </c>
      <c r="E1402" s="1">
        <v>45971</v>
      </c>
      <c r="F1402">
        <v>346.41</v>
      </c>
      <c r="G1402" t="s">
        <v>2099</v>
      </c>
      <c r="H1402">
        <f>_xlfn.XLOOKUP(E1402,K:K,L:L)</f>
        <v>3</v>
      </c>
    </row>
    <row r="1403" spans="1:8" x14ac:dyDescent="0.3">
      <c r="A1403" t="s">
        <v>875</v>
      </c>
      <c r="B1403">
        <v>20509470848</v>
      </c>
      <c r="C1403" t="s">
        <v>1079</v>
      </c>
      <c r="E1403" s="1">
        <v>45971</v>
      </c>
      <c r="F1403">
        <v>341.62</v>
      </c>
      <c r="G1403" t="s">
        <v>2099</v>
      </c>
      <c r="H1403">
        <f>_xlfn.XLOOKUP(E1403,K:K,L:L)</f>
        <v>3</v>
      </c>
    </row>
    <row r="1404" spans="1:8" x14ac:dyDescent="0.3">
      <c r="A1404" t="s">
        <v>875</v>
      </c>
      <c r="B1404">
        <v>20509470848</v>
      </c>
      <c r="C1404" t="s">
        <v>1079</v>
      </c>
      <c r="E1404" s="1">
        <v>45971</v>
      </c>
      <c r="F1404">
        <v>332.11</v>
      </c>
      <c r="G1404" t="s">
        <v>2099</v>
      </c>
      <c r="H1404">
        <f>_xlfn.XLOOKUP(E1404,K:K,L:L)</f>
        <v>3</v>
      </c>
    </row>
    <row r="1405" spans="1:8" x14ac:dyDescent="0.3">
      <c r="A1405" t="s">
        <v>875</v>
      </c>
      <c r="B1405">
        <v>20509470848</v>
      </c>
      <c r="C1405" t="s">
        <v>1079</v>
      </c>
      <c r="E1405" s="1">
        <v>45971</v>
      </c>
      <c r="F1405">
        <v>327.45999999999998</v>
      </c>
      <c r="G1405" t="s">
        <v>2099</v>
      </c>
      <c r="H1405">
        <f>_xlfn.XLOOKUP(E1405,K:K,L:L)</f>
        <v>3</v>
      </c>
    </row>
    <row r="1406" spans="1:8" x14ac:dyDescent="0.3">
      <c r="A1406" t="s">
        <v>875</v>
      </c>
      <c r="B1406">
        <v>20509470848</v>
      </c>
      <c r="C1406" t="s">
        <v>1079</v>
      </c>
      <c r="E1406" s="1">
        <v>45971</v>
      </c>
      <c r="F1406">
        <v>656.55</v>
      </c>
      <c r="G1406" t="s">
        <v>2099</v>
      </c>
      <c r="H1406">
        <f>_xlfn.XLOOKUP(E1406,K:K,L:L)</f>
        <v>3</v>
      </c>
    </row>
    <row r="1407" spans="1:8" x14ac:dyDescent="0.3">
      <c r="A1407" t="s">
        <v>875</v>
      </c>
      <c r="B1407">
        <v>20509470848</v>
      </c>
      <c r="C1407" t="s">
        <v>1079</v>
      </c>
      <c r="E1407" s="1">
        <v>45971</v>
      </c>
      <c r="F1407">
        <v>0</v>
      </c>
      <c r="G1407" t="s">
        <v>2099</v>
      </c>
      <c r="H1407">
        <f>_xlfn.XLOOKUP(E1407,K:K,L:L)</f>
        <v>3</v>
      </c>
    </row>
    <row r="1408" spans="1:8" x14ac:dyDescent="0.3">
      <c r="A1408" t="s">
        <v>875</v>
      </c>
      <c r="B1408">
        <v>20509470848</v>
      </c>
      <c r="C1408" t="s">
        <v>1079</v>
      </c>
      <c r="E1408" s="1">
        <v>45971</v>
      </c>
      <c r="F1408">
        <v>324.68</v>
      </c>
      <c r="G1408" t="s">
        <v>2099</v>
      </c>
      <c r="H1408">
        <f>_xlfn.XLOOKUP(E1408,K:K,L:L)</f>
        <v>3</v>
      </c>
    </row>
    <row r="1409" spans="1:8" x14ac:dyDescent="0.3">
      <c r="A1409" t="s">
        <v>92</v>
      </c>
      <c r="B1409">
        <v>10026192400</v>
      </c>
      <c r="C1409" t="s">
        <v>374</v>
      </c>
      <c r="E1409" s="1">
        <v>45972</v>
      </c>
      <c r="F1409">
        <v>389.22</v>
      </c>
      <c r="G1409" t="s">
        <v>2099</v>
      </c>
      <c r="H1409">
        <f>_xlfn.XLOOKUP(E1409,K:K,L:L)</f>
        <v>4</v>
      </c>
    </row>
    <row r="1410" spans="1:8" x14ac:dyDescent="0.3">
      <c r="A1410" t="s">
        <v>92</v>
      </c>
      <c r="B1410">
        <v>10178375291</v>
      </c>
      <c r="C1410" t="s">
        <v>1657</v>
      </c>
      <c r="E1410" s="1">
        <v>45972</v>
      </c>
      <c r="F1410">
        <v>324.74</v>
      </c>
      <c r="G1410" t="s">
        <v>2099</v>
      </c>
      <c r="H1410">
        <f>_xlfn.XLOOKUP(E1410,K:K,L:L)</f>
        <v>4</v>
      </c>
    </row>
    <row r="1411" spans="1:8" x14ac:dyDescent="0.3">
      <c r="A1411" t="s">
        <v>92</v>
      </c>
      <c r="B1411">
        <v>10321087952</v>
      </c>
      <c r="C1411" t="s">
        <v>1658</v>
      </c>
      <c r="E1411" s="1">
        <v>45972</v>
      </c>
      <c r="F1411">
        <v>108.25</v>
      </c>
      <c r="G1411" t="s">
        <v>2099</v>
      </c>
      <c r="H1411">
        <f>_xlfn.XLOOKUP(E1411,K:K,L:L)</f>
        <v>4</v>
      </c>
    </row>
    <row r="1412" spans="1:8" x14ac:dyDescent="0.3">
      <c r="A1412" t="s">
        <v>92</v>
      </c>
      <c r="B1412">
        <v>10425400725</v>
      </c>
      <c r="C1412" t="s">
        <v>1659</v>
      </c>
      <c r="E1412" s="1">
        <v>45972</v>
      </c>
      <c r="F1412">
        <v>259.79000000000002</v>
      </c>
      <c r="G1412" t="s">
        <v>2099</v>
      </c>
      <c r="H1412">
        <f>_xlfn.XLOOKUP(E1412,K:K,L:L)</f>
        <v>4</v>
      </c>
    </row>
    <row r="1413" spans="1:8" x14ac:dyDescent="0.3">
      <c r="A1413" t="s">
        <v>92</v>
      </c>
      <c r="B1413">
        <v>20100112648</v>
      </c>
      <c r="C1413" t="s">
        <v>1660</v>
      </c>
      <c r="E1413" s="1">
        <v>45972</v>
      </c>
      <c r="F1413">
        <v>472.78999999999996</v>
      </c>
      <c r="G1413" t="s">
        <v>2099</v>
      </c>
      <c r="H1413">
        <f>_xlfn.XLOOKUP(E1413,K:K,L:L)</f>
        <v>4</v>
      </c>
    </row>
    <row r="1414" spans="1:8" x14ac:dyDescent="0.3">
      <c r="A1414" t="s">
        <v>92</v>
      </c>
      <c r="B1414">
        <v>20255097653</v>
      </c>
      <c r="C1414" t="s">
        <v>1661</v>
      </c>
      <c r="E1414" s="1">
        <v>45972</v>
      </c>
      <c r="F1414">
        <v>129.88999999999999</v>
      </c>
      <c r="G1414" t="s">
        <v>2099</v>
      </c>
      <c r="H1414">
        <f>_xlfn.XLOOKUP(E1414,K:K,L:L)</f>
        <v>4</v>
      </c>
    </row>
    <row r="1415" spans="1:8" x14ac:dyDescent="0.3">
      <c r="A1415" t="s">
        <v>92</v>
      </c>
      <c r="B1415">
        <v>20397809171</v>
      </c>
      <c r="C1415" t="s">
        <v>1662</v>
      </c>
      <c r="E1415" s="1">
        <v>45972</v>
      </c>
      <c r="F1415">
        <v>278.07</v>
      </c>
      <c r="G1415" t="s">
        <v>2099</v>
      </c>
      <c r="H1415">
        <f>_xlfn.XLOOKUP(E1415,K:K,L:L)</f>
        <v>4</v>
      </c>
    </row>
    <row r="1416" spans="1:8" x14ac:dyDescent="0.3">
      <c r="A1416" t="s">
        <v>92</v>
      </c>
      <c r="B1416">
        <v>20447895821</v>
      </c>
      <c r="C1416" t="s">
        <v>1663</v>
      </c>
      <c r="E1416" s="1">
        <v>45972</v>
      </c>
      <c r="F1416">
        <v>129.88999999999999</v>
      </c>
      <c r="G1416" t="s">
        <v>2099</v>
      </c>
      <c r="H1416">
        <f>_xlfn.XLOOKUP(E1416,K:K,L:L)</f>
        <v>4</v>
      </c>
    </row>
    <row r="1417" spans="1:8" x14ac:dyDescent="0.3">
      <c r="A1417" t="s">
        <v>92</v>
      </c>
      <c r="B1417">
        <v>20455362629</v>
      </c>
      <c r="C1417" t="s">
        <v>1664</v>
      </c>
      <c r="E1417" s="1">
        <v>45972</v>
      </c>
      <c r="F1417">
        <v>408.53000000000003</v>
      </c>
      <c r="G1417" t="s">
        <v>2099</v>
      </c>
      <c r="H1417">
        <f>_xlfn.XLOOKUP(E1417,K:K,L:L)</f>
        <v>4</v>
      </c>
    </row>
    <row r="1418" spans="1:8" x14ac:dyDescent="0.3">
      <c r="A1418" t="s">
        <v>92</v>
      </c>
      <c r="B1418">
        <v>20477680471</v>
      </c>
      <c r="C1418" t="s">
        <v>1665</v>
      </c>
      <c r="E1418" s="1">
        <v>45972</v>
      </c>
      <c r="F1418">
        <v>172.43</v>
      </c>
      <c r="G1418" t="s">
        <v>2099</v>
      </c>
      <c r="H1418">
        <f>_xlfn.XLOOKUP(E1418,K:K,L:L)</f>
        <v>4</v>
      </c>
    </row>
    <row r="1419" spans="1:8" x14ac:dyDescent="0.3">
      <c r="A1419" t="s">
        <v>92</v>
      </c>
      <c r="B1419">
        <v>20487368319</v>
      </c>
      <c r="C1419" t="s">
        <v>1666</v>
      </c>
      <c r="E1419" s="1">
        <v>45972</v>
      </c>
      <c r="F1419">
        <v>302.32</v>
      </c>
      <c r="G1419" t="s">
        <v>2099</v>
      </c>
      <c r="H1419">
        <f>_xlfn.XLOOKUP(E1419,K:K,L:L)</f>
        <v>4</v>
      </c>
    </row>
    <row r="1420" spans="1:8" x14ac:dyDescent="0.3">
      <c r="A1420" t="s">
        <v>92</v>
      </c>
      <c r="B1420">
        <v>20493382528</v>
      </c>
      <c r="C1420" t="s">
        <v>1667</v>
      </c>
      <c r="E1420" s="1">
        <v>45972</v>
      </c>
      <c r="F1420">
        <v>392.41999999999996</v>
      </c>
      <c r="G1420" t="s">
        <v>2099</v>
      </c>
      <c r="H1420">
        <f>_xlfn.XLOOKUP(E1420,K:K,L:L)</f>
        <v>4</v>
      </c>
    </row>
    <row r="1421" spans="1:8" x14ac:dyDescent="0.3">
      <c r="A1421" t="s">
        <v>92</v>
      </c>
      <c r="B1421">
        <v>20506249601</v>
      </c>
      <c r="C1421" t="s">
        <v>1668</v>
      </c>
      <c r="E1421" s="1">
        <v>45972</v>
      </c>
      <c r="F1421">
        <v>865.22</v>
      </c>
      <c r="G1421" t="s">
        <v>2099</v>
      </c>
      <c r="H1421">
        <f>_xlfn.XLOOKUP(E1421,K:K,L:L)</f>
        <v>4</v>
      </c>
    </row>
    <row r="1422" spans="1:8" x14ac:dyDescent="0.3">
      <c r="A1422" t="s">
        <v>92</v>
      </c>
      <c r="B1422">
        <v>20516697467</v>
      </c>
      <c r="C1422" t="s">
        <v>1669</v>
      </c>
      <c r="E1422" s="1">
        <v>45972</v>
      </c>
      <c r="F1422">
        <v>693.33999999999992</v>
      </c>
      <c r="G1422" t="s">
        <v>2099</v>
      </c>
      <c r="H1422">
        <f>_xlfn.XLOOKUP(E1422,K:K,L:L)</f>
        <v>4</v>
      </c>
    </row>
    <row r="1423" spans="1:8" x14ac:dyDescent="0.3">
      <c r="A1423" t="s">
        <v>92</v>
      </c>
      <c r="B1423">
        <v>20520460501</v>
      </c>
      <c r="C1423" t="s">
        <v>1670</v>
      </c>
      <c r="E1423" s="1">
        <v>45972</v>
      </c>
      <c r="F1423">
        <v>129.88999999999999</v>
      </c>
      <c r="G1423" t="s">
        <v>2099</v>
      </c>
      <c r="H1423">
        <f>_xlfn.XLOOKUP(E1423,K:K,L:L)</f>
        <v>4</v>
      </c>
    </row>
    <row r="1424" spans="1:8" x14ac:dyDescent="0.3">
      <c r="A1424" t="s">
        <v>92</v>
      </c>
      <c r="B1424">
        <v>20532580260</v>
      </c>
      <c r="C1424" t="s">
        <v>1671</v>
      </c>
      <c r="E1424" s="1">
        <v>45972</v>
      </c>
      <c r="F1424">
        <v>413.99</v>
      </c>
      <c r="G1424" t="s">
        <v>2099</v>
      </c>
      <c r="H1424">
        <f>_xlfn.XLOOKUP(E1424,K:K,L:L)</f>
        <v>4</v>
      </c>
    </row>
    <row r="1425" spans="1:8" x14ac:dyDescent="0.3">
      <c r="A1425" t="s">
        <v>92</v>
      </c>
      <c r="B1425">
        <v>20535090883</v>
      </c>
      <c r="C1425" t="s">
        <v>1672</v>
      </c>
      <c r="E1425" s="1">
        <v>45972</v>
      </c>
      <c r="F1425">
        <v>344.85</v>
      </c>
      <c r="G1425" t="s">
        <v>2099</v>
      </c>
      <c r="H1425">
        <f>_xlfn.XLOOKUP(E1425,K:K,L:L)</f>
        <v>4</v>
      </c>
    </row>
    <row r="1426" spans="1:8" x14ac:dyDescent="0.3">
      <c r="A1426" t="s">
        <v>92</v>
      </c>
      <c r="B1426">
        <v>20536873695</v>
      </c>
      <c r="C1426" t="s">
        <v>1652</v>
      </c>
      <c r="E1426" s="1">
        <v>45972</v>
      </c>
      <c r="F1426">
        <v>129.88999999999999</v>
      </c>
      <c r="G1426" t="s">
        <v>2099</v>
      </c>
      <c r="H1426">
        <f>_xlfn.XLOOKUP(E1426,K:K,L:L)</f>
        <v>4</v>
      </c>
    </row>
    <row r="1427" spans="1:8" x14ac:dyDescent="0.3">
      <c r="A1427" t="s">
        <v>92</v>
      </c>
      <c r="B1427">
        <v>20552448554</v>
      </c>
      <c r="C1427" t="s">
        <v>1673</v>
      </c>
      <c r="E1427" s="1">
        <v>45972</v>
      </c>
      <c r="F1427">
        <v>129.88999999999999</v>
      </c>
      <c r="G1427" t="s">
        <v>2099</v>
      </c>
      <c r="H1427">
        <f>_xlfn.XLOOKUP(E1427,K:K,L:L)</f>
        <v>4</v>
      </c>
    </row>
    <row r="1428" spans="1:8" x14ac:dyDescent="0.3">
      <c r="A1428" t="s">
        <v>92</v>
      </c>
      <c r="B1428">
        <v>20553393257</v>
      </c>
      <c r="C1428" t="s">
        <v>1674</v>
      </c>
      <c r="E1428" s="1">
        <v>45972</v>
      </c>
      <c r="F1428">
        <v>754.65000000000009</v>
      </c>
      <c r="G1428" t="s">
        <v>2099</v>
      </c>
      <c r="H1428">
        <f>_xlfn.XLOOKUP(E1428,K:K,L:L)</f>
        <v>4</v>
      </c>
    </row>
    <row r="1429" spans="1:8" x14ac:dyDescent="0.3">
      <c r="A1429" t="s">
        <v>92</v>
      </c>
      <c r="B1429">
        <v>20563657538</v>
      </c>
      <c r="C1429" t="s">
        <v>1675</v>
      </c>
      <c r="E1429" s="1">
        <v>45972</v>
      </c>
      <c r="F1429">
        <v>545.32000000000005</v>
      </c>
      <c r="G1429" t="s">
        <v>2099</v>
      </c>
      <c r="H1429">
        <f>_xlfn.XLOOKUP(E1429,K:K,L:L)</f>
        <v>4</v>
      </c>
    </row>
    <row r="1430" spans="1:8" x14ac:dyDescent="0.3">
      <c r="A1430" t="s">
        <v>92</v>
      </c>
      <c r="B1430">
        <v>20569085790</v>
      </c>
      <c r="C1430" t="s">
        <v>1676</v>
      </c>
      <c r="E1430" s="1">
        <v>45972</v>
      </c>
      <c r="F1430">
        <v>344.85</v>
      </c>
      <c r="G1430" t="s">
        <v>2099</v>
      </c>
      <c r="H1430">
        <f>_xlfn.XLOOKUP(E1430,K:K,L:L)</f>
        <v>4</v>
      </c>
    </row>
    <row r="1431" spans="1:8" x14ac:dyDescent="0.3">
      <c r="A1431" t="s">
        <v>92</v>
      </c>
      <c r="B1431">
        <v>20600447824</v>
      </c>
      <c r="C1431" t="s">
        <v>1677</v>
      </c>
      <c r="E1431" s="1">
        <v>45972</v>
      </c>
      <c r="F1431">
        <v>152.54</v>
      </c>
      <c r="G1431" t="s">
        <v>2099</v>
      </c>
      <c r="H1431">
        <f>_xlfn.XLOOKUP(E1431,K:K,L:L)</f>
        <v>4</v>
      </c>
    </row>
    <row r="1432" spans="1:8" x14ac:dyDescent="0.3">
      <c r="A1432" t="s">
        <v>92</v>
      </c>
      <c r="B1432">
        <v>20600689321</v>
      </c>
      <c r="C1432" t="s">
        <v>1678</v>
      </c>
      <c r="E1432" s="1">
        <v>45972</v>
      </c>
      <c r="F1432">
        <v>259.79000000000002</v>
      </c>
      <c r="G1432" t="s">
        <v>2099</v>
      </c>
      <c r="H1432">
        <f>_xlfn.XLOOKUP(E1432,K:K,L:L)</f>
        <v>4</v>
      </c>
    </row>
    <row r="1433" spans="1:8" x14ac:dyDescent="0.3">
      <c r="A1433" t="s">
        <v>92</v>
      </c>
      <c r="B1433">
        <v>20601050286</v>
      </c>
      <c r="C1433" t="s">
        <v>1679</v>
      </c>
      <c r="E1433" s="1">
        <v>45972</v>
      </c>
      <c r="F1433">
        <v>206.91</v>
      </c>
      <c r="G1433" t="s">
        <v>2099</v>
      </c>
      <c r="H1433">
        <f>_xlfn.XLOOKUP(E1433,K:K,L:L)</f>
        <v>4</v>
      </c>
    </row>
    <row r="1434" spans="1:8" x14ac:dyDescent="0.3">
      <c r="A1434" t="s">
        <v>92</v>
      </c>
      <c r="B1434">
        <v>20601373981</v>
      </c>
      <c r="C1434" t="s">
        <v>1680</v>
      </c>
      <c r="E1434" s="1">
        <v>45972</v>
      </c>
      <c r="F1434">
        <v>285.76</v>
      </c>
      <c r="G1434" t="s">
        <v>2099</v>
      </c>
      <c r="H1434">
        <f>_xlfn.XLOOKUP(E1434,K:K,L:L)</f>
        <v>4</v>
      </c>
    </row>
    <row r="1435" spans="1:8" x14ac:dyDescent="0.3">
      <c r="A1435" t="s">
        <v>92</v>
      </c>
      <c r="B1435">
        <v>20601652600</v>
      </c>
      <c r="C1435" t="s">
        <v>1681</v>
      </c>
      <c r="E1435" s="1">
        <v>45972</v>
      </c>
      <c r="F1435">
        <v>587.74</v>
      </c>
      <c r="G1435" t="s">
        <v>2099</v>
      </c>
      <c r="H1435">
        <f>_xlfn.XLOOKUP(E1435,K:K,L:L)</f>
        <v>4</v>
      </c>
    </row>
    <row r="1436" spans="1:8" x14ac:dyDescent="0.3">
      <c r="A1436" t="s">
        <v>92</v>
      </c>
      <c r="B1436">
        <v>20602972683</v>
      </c>
      <c r="C1436" t="s">
        <v>1682</v>
      </c>
      <c r="E1436" s="1">
        <v>45972</v>
      </c>
      <c r="F1436">
        <v>229.89999999999998</v>
      </c>
      <c r="G1436" t="s">
        <v>2099</v>
      </c>
      <c r="H1436">
        <f>_xlfn.XLOOKUP(E1436,K:K,L:L)</f>
        <v>4</v>
      </c>
    </row>
    <row r="1437" spans="1:8" x14ac:dyDescent="0.3">
      <c r="A1437" t="s">
        <v>92</v>
      </c>
      <c r="B1437">
        <v>20603129742</v>
      </c>
      <c r="C1437" t="s">
        <v>1683</v>
      </c>
      <c r="E1437" s="1">
        <v>45972</v>
      </c>
      <c r="F1437">
        <v>137.94</v>
      </c>
      <c r="G1437" t="s">
        <v>2099</v>
      </c>
      <c r="H1437">
        <f>_xlfn.XLOOKUP(E1437,K:K,L:L)</f>
        <v>4</v>
      </c>
    </row>
    <row r="1438" spans="1:8" x14ac:dyDescent="0.3">
      <c r="A1438" t="s">
        <v>92</v>
      </c>
      <c r="B1438">
        <v>20604630372</v>
      </c>
      <c r="C1438" t="s">
        <v>1684</v>
      </c>
      <c r="E1438" s="1">
        <v>45972</v>
      </c>
      <c r="F1438">
        <v>427.52</v>
      </c>
      <c r="G1438" t="s">
        <v>2099</v>
      </c>
      <c r="H1438">
        <f>_xlfn.XLOOKUP(E1438,K:K,L:L)</f>
        <v>4</v>
      </c>
    </row>
    <row r="1439" spans="1:8" x14ac:dyDescent="0.3">
      <c r="A1439" t="s">
        <v>92</v>
      </c>
      <c r="B1439">
        <v>20605625585</v>
      </c>
      <c r="C1439" t="s">
        <v>1685</v>
      </c>
      <c r="E1439" s="1">
        <v>45972</v>
      </c>
      <c r="F1439">
        <v>278.07</v>
      </c>
      <c r="G1439" t="s">
        <v>2099</v>
      </c>
      <c r="H1439">
        <f>_xlfn.XLOOKUP(E1439,K:K,L:L)</f>
        <v>4</v>
      </c>
    </row>
    <row r="1440" spans="1:8" x14ac:dyDescent="0.3">
      <c r="A1440" t="s">
        <v>92</v>
      </c>
      <c r="B1440">
        <v>20605733027</v>
      </c>
      <c r="C1440" t="s">
        <v>1686</v>
      </c>
      <c r="E1440" s="1">
        <v>45972</v>
      </c>
      <c r="F1440">
        <v>645.22</v>
      </c>
      <c r="G1440" t="s">
        <v>2099</v>
      </c>
      <c r="H1440">
        <f>_xlfn.XLOOKUP(E1440,K:K,L:L)</f>
        <v>4</v>
      </c>
    </row>
    <row r="1441" spans="1:8" x14ac:dyDescent="0.3">
      <c r="A1441" t="s">
        <v>92</v>
      </c>
      <c r="B1441">
        <v>20605954597</v>
      </c>
      <c r="C1441" t="s">
        <v>1687</v>
      </c>
      <c r="E1441" s="1">
        <v>45972</v>
      </c>
      <c r="F1441">
        <v>219.49</v>
      </c>
      <c r="G1441" t="s">
        <v>2099</v>
      </c>
      <c r="H1441">
        <f>_xlfn.XLOOKUP(E1441,K:K,L:L)</f>
        <v>4</v>
      </c>
    </row>
    <row r="1442" spans="1:8" x14ac:dyDescent="0.3">
      <c r="A1442" t="s">
        <v>92</v>
      </c>
      <c r="B1442">
        <v>20606038101</v>
      </c>
      <c r="C1442" t="s">
        <v>1688</v>
      </c>
      <c r="E1442" s="1">
        <v>45972</v>
      </c>
      <c r="F1442">
        <v>287.38</v>
      </c>
      <c r="G1442" t="s">
        <v>2099</v>
      </c>
      <c r="H1442">
        <f>_xlfn.XLOOKUP(E1442,K:K,L:L)</f>
        <v>4</v>
      </c>
    </row>
    <row r="1443" spans="1:8" x14ac:dyDescent="0.3">
      <c r="A1443" t="s">
        <v>92</v>
      </c>
      <c r="B1443">
        <v>20606242906</v>
      </c>
      <c r="C1443" t="s">
        <v>1689</v>
      </c>
      <c r="E1443" s="1">
        <v>45972</v>
      </c>
      <c r="F1443">
        <v>129.88999999999999</v>
      </c>
      <c r="G1443" t="s">
        <v>2099</v>
      </c>
      <c r="H1443">
        <f>_xlfn.XLOOKUP(E1443,K:K,L:L)</f>
        <v>4</v>
      </c>
    </row>
    <row r="1444" spans="1:8" x14ac:dyDescent="0.3">
      <c r="A1444" t="s">
        <v>92</v>
      </c>
      <c r="B1444">
        <v>20606512636</v>
      </c>
      <c r="C1444" t="s">
        <v>1690</v>
      </c>
      <c r="E1444" s="1">
        <v>45972</v>
      </c>
      <c r="F1444">
        <v>290.82</v>
      </c>
      <c r="G1444" t="s">
        <v>2099</v>
      </c>
      <c r="H1444">
        <f>_xlfn.XLOOKUP(E1444,K:K,L:L)</f>
        <v>4</v>
      </c>
    </row>
    <row r="1445" spans="1:8" x14ac:dyDescent="0.3">
      <c r="A1445" t="s">
        <v>92</v>
      </c>
      <c r="B1445">
        <v>20608064240</v>
      </c>
      <c r="C1445" t="s">
        <v>1691</v>
      </c>
      <c r="E1445" s="1">
        <v>45972</v>
      </c>
      <c r="F1445">
        <v>142.88999999999999</v>
      </c>
      <c r="G1445" t="s">
        <v>2099</v>
      </c>
      <c r="H1445">
        <f>_xlfn.XLOOKUP(E1445,K:K,L:L)</f>
        <v>4</v>
      </c>
    </row>
    <row r="1446" spans="1:8" x14ac:dyDescent="0.3">
      <c r="A1446" t="s">
        <v>92</v>
      </c>
      <c r="B1446">
        <v>20608752201</v>
      </c>
      <c r="C1446" t="s">
        <v>1692</v>
      </c>
      <c r="E1446" s="1">
        <v>45972</v>
      </c>
      <c r="F1446">
        <v>436.81</v>
      </c>
      <c r="G1446" t="s">
        <v>2099</v>
      </c>
      <c r="H1446">
        <f>_xlfn.XLOOKUP(E1446,K:K,L:L)</f>
        <v>4</v>
      </c>
    </row>
    <row r="1447" spans="1:8" x14ac:dyDescent="0.3">
      <c r="A1447" t="s">
        <v>92</v>
      </c>
      <c r="B1447">
        <v>20611590564</v>
      </c>
      <c r="C1447" t="s">
        <v>1693</v>
      </c>
      <c r="E1447" s="1">
        <v>45972</v>
      </c>
      <c r="F1447">
        <v>439.69</v>
      </c>
      <c r="G1447" t="s">
        <v>2099</v>
      </c>
      <c r="H1447">
        <f>_xlfn.XLOOKUP(E1447,K:K,L:L)</f>
        <v>4</v>
      </c>
    </row>
    <row r="1448" spans="1:8" x14ac:dyDescent="0.3">
      <c r="A1448" t="s">
        <v>92</v>
      </c>
      <c r="B1448">
        <v>20611606355</v>
      </c>
      <c r="C1448" t="s">
        <v>1694</v>
      </c>
      <c r="E1448" s="1">
        <v>45972</v>
      </c>
      <c r="F1448">
        <v>355.08000000000004</v>
      </c>
      <c r="G1448" t="s">
        <v>2099</v>
      </c>
      <c r="H1448">
        <f>_xlfn.XLOOKUP(E1448,K:K,L:L)</f>
        <v>4</v>
      </c>
    </row>
    <row r="1449" spans="1:8" x14ac:dyDescent="0.3">
      <c r="A1449" t="s">
        <v>92</v>
      </c>
      <c r="B1449">
        <v>20611773201</v>
      </c>
      <c r="C1449" t="s">
        <v>1695</v>
      </c>
      <c r="E1449" s="1">
        <v>45972</v>
      </c>
      <c r="F1449">
        <v>129.88999999999999</v>
      </c>
      <c r="G1449" t="s">
        <v>2099</v>
      </c>
      <c r="H1449">
        <f>_xlfn.XLOOKUP(E1449,K:K,L:L)</f>
        <v>4</v>
      </c>
    </row>
    <row r="1450" spans="1:8" x14ac:dyDescent="0.3">
      <c r="A1450" t="s">
        <v>92</v>
      </c>
      <c r="B1450">
        <v>20613495526</v>
      </c>
      <c r="C1450" t="s">
        <v>1696</v>
      </c>
      <c r="E1450" s="1">
        <v>45972</v>
      </c>
      <c r="F1450">
        <v>129.88999999999999</v>
      </c>
      <c r="G1450" t="s">
        <v>2099</v>
      </c>
      <c r="H1450">
        <f>_xlfn.XLOOKUP(E1450,K:K,L:L)</f>
        <v>4</v>
      </c>
    </row>
    <row r="1451" spans="1:8" x14ac:dyDescent="0.3">
      <c r="A1451" t="s">
        <v>92</v>
      </c>
      <c r="B1451">
        <v>10425400725</v>
      </c>
      <c r="C1451" t="s">
        <v>1659</v>
      </c>
      <c r="E1451" s="1">
        <v>45972</v>
      </c>
      <c r="F1451">
        <v>262.10000000000002</v>
      </c>
      <c r="G1451" t="s">
        <v>2099</v>
      </c>
      <c r="H1451">
        <f>_xlfn.XLOOKUP(E1451,K:K,L:L)</f>
        <v>4</v>
      </c>
    </row>
    <row r="1452" spans="1:8" x14ac:dyDescent="0.3">
      <c r="A1452" t="s">
        <v>92</v>
      </c>
      <c r="B1452">
        <v>20255097653</v>
      </c>
      <c r="C1452" t="s">
        <v>1661</v>
      </c>
      <c r="E1452" s="1">
        <v>45972</v>
      </c>
      <c r="F1452">
        <v>131.05000000000001</v>
      </c>
      <c r="G1452" t="s">
        <v>2099</v>
      </c>
      <c r="H1452">
        <f>_xlfn.XLOOKUP(E1452,K:K,L:L)</f>
        <v>4</v>
      </c>
    </row>
    <row r="1453" spans="1:8" x14ac:dyDescent="0.3">
      <c r="A1453" t="s">
        <v>92</v>
      </c>
      <c r="B1453">
        <v>20447895821</v>
      </c>
      <c r="C1453" t="s">
        <v>1663</v>
      </c>
      <c r="E1453" s="1">
        <v>45972</v>
      </c>
      <c r="F1453">
        <v>131.05000000000001</v>
      </c>
      <c r="G1453" t="s">
        <v>2099</v>
      </c>
      <c r="H1453">
        <f>_xlfn.XLOOKUP(E1453,K:K,L:L)</f>
        <v>4</v>
      </c>
    </row>
    <row r="1454" spans="1:8" x14ac:dyDescent="0.3">
      <c r="A1454" t="s">
        <v>92</v>
      </c>
      <c r="B1454">
        <v>20506249601</v>
      </c>
      <c r="C1454" t="s">
        <v>1668</v>
      </c>
      <c r="E1454" s="1">
        <v>45972</v>
      </c>
      <c r="F1454">
        <v>563.89</v>
      </c>
      <c r="G1454" t="s">
        <v>2099</v>
      </c>
      <c r="H1454">
        <f>_xlfn.XLOOKUP(E1454,K:K,L:L)</f>
        <v>4</v>
      </c>
    </row>
    <row r="1455" spans="1:8" x14ac:dyDescent="0.3">
      <c r="A1455" t="s">
        <v>92</v>
      </c>
      <c r="B1455">
        <v>20516697467</v>
      </c>
      <c r="C1455" t="s">
        <v>1669</v>
      </c>
      <c r="E1455" s="1">
        <v>45972</v>
      </c>
      <c r="F1455">
        <v>899.26</v>
      </c>
      <c r="G1455" t="s">
        <v>2099</v>
      </c>
      <c r="H1455">
        <f>_xlfn.XLOOKUP(E1455,K:K,L:L)</f>
        <v>4</v>
      </c>
    </row>
    <row r="1456" spans="1:8" x14ac:dyDescent="0.3">
      <c r="A1456" t="s">
        <v>92</v>
      </c>
      <c r="B1456">
        <v>20520460501</v>
      </c>
      <c r="C1456" t="s">
        <v>1670</v>
      </c>
      <c r="E1456" s="1">
        <v>45972</v>
      </c>
      <c r="F1456">
        <v>131.05000000000001</v>
      </c>
      <c r="G1456" t="s">
        <v>2099</v>
      </c>
      <c r="H1456">
        <f>_xlfn.XLOOKUP(E1456,K:K,L:L)</f>
        <v>4</v>
      </c>
    </row>
    <row r="1457" spans="1:8" x14ac:dyDescent="0.3">
      <c r="A1457" t="s">
        <v>92</v>
      </c>
      <c r="B1457">
        <v>20535090883</v>
      </c>
      <c r="C1457" t="s">
        <v>1672</v>
      </c>
      <c r="E1457" s="1">
        <v>45972</v>
      </c>
      <c r="F1457">
        <v>347.92</v>
      </c>
      <c r="G1457" t="s">
        <v>2099</v>
      </c>
      <c r="H1457">
        <f>_xlfn.XLOOKUP(E1457,K:K,L:L)</f>
        <v>4</v>
      </c>
    </row>
    <row r="1458" spans="1:8" x14ac:dyDescent="0.3">
      <c r="A1458" t="s">
        <v>92</v>
      </c>
      <c r="B1458">
        <v>20544703553</v>
      </c>
      <c r="C1458" t="s">
        <v>1697</v>
      </c>
      <c r="E1458" s="1">
        <v>45972</v>
      </c>
      <c r="F1458">
        <v>772.29</v>
      </c>
      <c r="G1458" t="s">
        <v>2099</v>
      </c>
      <c r="H1458">
        <f>_xlfn.XLOOKUP(E1458,K:K,L:L)</f>
        <v>4</v>
      </c>
    </row>
    <row r="1459" spans="1:8" x14ac:dyDescent="0.3">
      <c r="A1459" t="s">
        <v>92</v>
      </c>
      <c r="B1459">
        <v>20563657538</v>
      </c>
      <c r="C1459" t="s">
        <v>1675</v>
      </c>
      <c r="E1459" s="1">
        <v>45972</v>
      </c>
      <c r="F1459">
        <v>550.17999999999995</v>
      </c>
      <c r="G1459" t="s">
        <v>2099</v>
      </c>
      <c r="H1459">
        <f>_xlfn.XLOOKUP(E1459,K:K,L:L)</f>
        <v>4</v>
      </c>
    </row>
    <row r="1460" spans="1:8" x14ac:dyDescent="0.3">
      <c r="A1460" t="s">
        <v>92</v>
      </c>
      <c r="B1460">
        <v>20603901429</v>
      </c>
      <c r="C1460" t="s">
        <v>1698</v>
      </c>
      <c r="E1460" s="1">
        <v>45972</v>
      </c>
      <c r="F1460">
        <v>289.94</v>
      </c>
      <c r="G1460" t="s">
        <v>2099</v>
      </c>
      <c r="H1460">
        <f>_xlfn.XLOOKUP(E1460,K:K,L:L)</f>
        <v>4</v>
      </c>
    </row>
    <row r="1461" spans="1:8" x14ac:dyDescent="0.3">
      <c r="A1461" t="s">
        <v>92</v>
      </c>
      <c r="B1461">
        <v>20606242906</v>
      </c>
      <c r="C1461" t="s">
        <v>1689</v>
      </c>
      <c r="E1461" s="1">
        <v>45972</v>
      </c>
      <c r="F1461">
        <v>131.05000000000001</v>
      </c>
      <c r="G1461" t="s">
        <v>2099</v>
      </c>
      <c r="H1461">
        <f>_xlfn.XLOOKUP(E1461,K:K,L:L)</f>
        <v>4</v>
      </c>
    </row>
    <row r="1462" spans="1:8" x14ac:dyDescent="0.3">
      <c r="A1462" t="s">
        <v>92</v>
      </c>
      <c r="B1462">
        <v>20608064240</v>
      </c>
      <c r="C1462" t="s">
        <v>1691</v>
      </c>
      <c r="E1462" s="1">
        <v>45972</v>
      </c>
      <c r="F1462">
        <v>144.16</v>
      </c>
      <c r="G1462" t="s">
        <v>2099</v>
      </c>
      <c r="H1462">
        <f>_xlfn.XLOOKUP(E1462,K:K,L:L)</f>
        <v>4</v>
      </c>
    </row>
    <row r="1463" spans="1:8" x14ac:dyDescent="0.3">
      <c r="A1463" t="s">
        <v>92</v>
      </c>
      <c r="B1463">
        <v>20608577069</v>
      </c>
      <c r="C1463" t="s">
        <v>1699</v>
      </c>
      <c r="E1463" s="1">
        <v>45972</v>
      </c>
      <c r="F1463">
        <v>233.16</v>
      </c>
      <c r="G1463" t="s">
        <v>2099</v>
      </c>
      <c r="H1463">
        <f>_xlfn.XLOOKUP(E1463,K:K,L:L)</f>
        <v>4</v>
      </c>
    </row>
    <row r="1464" spans="1:8" x14ac:dyDescent="0.3">
      <c r="A1464" t="s">
        <v>92</v>
      </c>
      <c r="B1464">
        <v>20613495526</v>
      </c>
      <c r="C1464" t="s">
        <v>1696</v>
      </c>
      <c r="E1464" s="1">
        <v>45972</v>
      </c>
      <c r="F1464">
        <v>131.05000000000001</v>
      </c>
      <c r="G1464" t="s">
        <v>2099</v>
      </c>
      <c r="H1464">
        <f>_xlfn.XLOOKUP(E1464,K:K,L:L)</f>
        <v>4</v>
      </c>
    </row>
    <row r="1465" spans="1:8" x14ac:dyDescent="0.3">
      <c r="A1465" t="s">
        <v>92</v>
      </c>
      <c r="B1465">
        <v>20225058319</v>
      </c>
      <c r="C1465" t="s">
        <v>1700</v>
      </c>
      <c r="E1465" s="1">
        <v>45972</v>
      </c>
      <c r="F1465">
        <v>368.86</v>
      </c>
      <c r="G1465" t="s">
        <v>2099</v>
      </c>
      <c r="H1465">
        <f>_xlfn.XLOOKUP(E1465,K:K,L:L)</f>
        <v>4</v>
      </c>
    </row>
    <row r="1466" spans="1:8" x14ac:dyDescent="0.3">
      <c r="A1466" t="s">
        <v>92</v>
      </c>
      <c r="B1466">
        <v>20392484176</v>
      </c>
      <c r="C1466" t="s">
        <v>1701</v>
      </c>
      <c r="E1466" s="1">
        <v>45972</v>
      </c>
      <c r="F1466">
        <v>584.99</v>
      </c>
      <c r="G1466" t="s">
        <v>2099</v>
      </c>
      <c r="H1466">
        <f>_xlfn.XLOOKUP(E1466,K:K,L:L)</f>
        <v>4</v>
      </c>
    </row>
    <row r="1467" spans="1:8" x14ac:dyDescent="0.3">
      <c r="A1467" t="s">
        <v>92</v>
      </c>
      <c r="B1467">
        <v>20492880346</v>
      </c>
      <c r="C1467" t="s">
        <v>1702</v>
      </c>
      <c r="E1467" s="1">
        <v>45972</v>
      </c>
      <c r="F1467">
        <v>575.75</v>
      </c>
      <c r="G1467" t="s">
        <v>2099</v>
      </c>
      <c r="H1467">
        <f>_xlfn.XLOOKUP(E1467,K:K,L:L)</f>
        <v>4</v>
      </c>
    </row>
    <row r="1468" spans="1:8" x14ac:dyDescent="0.3">
      <c r="A1468" t="s">
        <v>92</v>
      </c>
      <c r="B1468">
        <v>20506249601</v>
      </c>
      <c r="C1468" t="s">
        <v>1668</v>
      </c>
      <c r="E1468" s="1">
        <v>45972</v>
      </c>
      <c r="F1468">
        <v>295.04000000000002</v>
      </c>
      <c r="G1468" t="s">
        <v>2099</v>
      </c>
      <c r="H1468">
        <f>_xlfn.XLOOKUP(E1468,K:K,L:L)</f>
        <v>4</v>
      </c>
    </row>
    <row r="1469" spans="1:8" x14ac:dyDescent="0.3">
      <c r="A1469" t="s">
        <v>92</v>
      </c>
      <c r="B1469">
        <v>20516697467</v>
      </c>
      <c r="C1469" t="s">
        <v>1669</v>
      </c>
      <c r="E1469" s="1">
        <v>45972</v>
      </c>
      <c r="F1469">
        <v>870.99</v>
      </c>
      <c r="G1469" t="s">
        <v>2099</v>
      </c>
      <c r="H1469">
        <f>_xlfn.XLOOKUP(E1469,K:K,L:L)</f>
        <v>4</v>
      </c>
    </row>
    <row r="1470" spans="1:8" x14ac:dyDescent="0.3">
      <c r="A1470" t="s">
        <v>92</v>
      </c>
      <c r="B1470">
        <v>20520460501</v>
      </c>
      <c r="C1470" t="s">
        <v>1670</v>
      </c>
      <c r="E1470" s="1">
        <v>45972</v>
      </c>
      <c r="F1470">
        <v>132.21</v>
      </c>
      <c r="G1470" t="s">
        <v>2099</v>
      </c>
      <c r="H1470">
        <f>_xlfn.XLOOKUP(E1470,K:K,L:L)</f>
        <v>4</v>
      </c>
    </row>
    <row r="1471" spans="1:8" x14ac:dyDescent="0.3">
      <c r="A1471" t="s">
        <v>92</v>
      </c>
      <c r="B1471">
        <v>20603901429</v>
      </c>
      <c r="C1471" t="s">
        <v>1698</v>
      </c>
      <c r="E1471" s="1">
        <v>45972</v>
      </c>
      <c r="F1471">
        <v>292.49</v>
      </c>
      <c r="G1471" t="s">
        <v>2099</v>
      </c>
      <c r="H1471">
        <f>_xlfn.XLOOKUP(E1471,K:K,L:L)</f>
        <v>4</v>
      </c>
    </row>
    <row r="1472" spans="1:8" x14ac:dyDescent="0.3">
      <c r="A1472" t="s">
        <v>92</v>
      </c>
      <c r="B1472">
        <v>20606242906</v>
      </c>
      <c r="C1472" t="s">
        <v>1689</v>
      </c>
      <c r="E1472" s="1">
        <v>45972</v>
      </c>
      <c r="F1472">
        <v>132.21</v>
      </c>
      <c r="G1472" t="s">
        <v>2099</v>
      </c>
      <c r="H1472">
        <f>_xlfn.XLOOKUP(E1472,K:K,L:L)</f>
        <v>4</v>
      </c>
    </row>
    <row r="1473" spans="1:8" x14ac:dyDescent="0.3">
      <c r="A1473" t="s">
        <v>92</v>
      </c>
      <c r="B1473">
        <v>20608064240</v>
      </c>
      <c r="C1473" t="s">
        <v>1691</v>
      </c>
      <c r="E1473" s="1">
        <v>45972</v>
      </c>
      <c r="F1473">
        <v>145.42000000000002</v>
      </c>
      <c r="G1473" t="s">
        <v>2099</v>
      </c>
      <c r="H1473">
        <f>_xlfn.XLOOKUP(E1473,K:K,L:L)</f>
        <v>4</v>
      </c>
    </row>
    <row r="1474" spans="1:8" x14ac:dyDescent="0.3">
      <c r="A1474" t="s">
        <v>92</v>
      </c>
      <c r="B1474">
        <v>20225058319</v>
      </c>
      <c r="C1474" t="s">
        <v>1700</v>
      </c>
      <c r="E1474" s="1">
        <v>45972</v>
      </c>
      <c r="F1474">
        <v>216.63</v>
      </c>
      <c r="G1474" t="s">
        <v>2099</v>
      </c>
      <c r="H1474">
        <f>_xlfn.XLOOKUP(E1474,K:K,L:L)</f>
        <v>4</v>
      </c>
    </row>
    <row r="1475" spans="1:8" x14ac:dyDescent="0.3">
      <c r="A1475" t="s">
        <v>92</v>
      </c>
      <c r="B1475">
        <v>20392484176</v>
      </c>
      <c r="C1475" t="s">
        <v>1701</v>
      </c>
      <c r="E1475" s="1">
        <v>45972</v>
      </c>
      <c r="F1475">
        <v>590.1</v>
      </c>
      <c r="G1475" t="s">
        <v>2099</v>
      </c>
      <c r="H1475">
        <f>_xlfn.XLOOKUP(E1475,K:K,L:L)</f>
        <v>4</v>
      </c>
    </row>
    <row r="1476" spans="1:8" x14ac:dyDescent="0.3">
      <c r="A1476" t="s">
        <v>92</v>
      </c>
      <c r="B1476">
        <v>20492880346</v>
      </c>
      <c r="C1476" t="s">
        <v>1702</v>
      </c>
      <c r="E1476" s="1">
        <v>45972</v>
      </c>
      <c r="F1476">
        <v>586.1</v>
      </c>
      <c r="G1476" t="s">
        <v>2099</v>
      </c>
      <c r="H1476">
        <f>_xlfn.XLOOKUP(E1476,K:K,L:L)</f>
        <v>4</v>
      </c>
    </row>
    <row r="1477" spans="1:8" x14ac:dyDescent="0.3">
      <c r="A1477" t="s">
        <v>92</v>
      </c>
      <c r="B1477">
        <v>20520460501</v>
      </c>
      <c r="C1477" t="s">
        <v>1670</v>
      </c>
      <c r="E1477" s="1">
        <v>45972</v>
      </c>
      <c r="F1477">
        <v>133.36000000000001</v>
      </c>
      <c r="G1477" t="s">
        <v>2099</v>
      </c>
      <c r="H1477">
        <f>_xlfn.XLOOKUP(E1477,K:K,L:L)</f>
        <v>4</v>
      </c>
    </row>
    <row r="1478" spans="1:8" x14ac:dyDescent="0.3">
      <c r="A1478" t="s">
        <v>92</v>
      </c>
      <c r="B1478">
        <v>20603901429</v>
      </c>
      <c r="C1478" t="s">
        <v>1698</v>
      </c>
      <c r="E1478" s="1">
        <v>45972</v>
      </c>
      <c r="F1478">
        <v>295.05</v>
      </c>
      <c r="G1478" t="s">
        <v>2099</v>
      </c>
      <c r="H1478">
        <f>_xlfn.XLOOKUP(E1478,K:K,L:L)</f>
        <v>4</v>
      </c>
    </row>
    <row r="1479" spans="1:8" x14ac:dyDescent="0.3">
      <c r="A1479" t="s">
        <v>92</v>
      </c>
      <c r="B1479">
        <v>20606242906</v>
      </c>
      <c r="C1479" t="s">
        <v>1689</v>
      </c>
      <c r="E1479" s="1">
        <v>45972</v>
      </c>
      <c r="F1479">
        <v>120.97</v>
      </c>
      <c r="G1479" t="s">
        <v>2099</v>
      </c>
      <c r="H1479">
        <f>_xlfn.XLOOKUP(E1479,K:K,L:L)</f>
        <v>4</v>
      </c>
    </row>
    <row r="1480" spans="1:8" x14ac:dyDescent="0.3">
      <c r="A1480" t="s">
        <v>92</v>
      </c>
      <c r="B1480">
        <v>20608064240</v>
      </c>
      <c r="C1480" t="s">
        <v>1691</v>
      </c>
      <c r="E1480" s="1">
        <v>45972</v>
      </c>
      <c r="F1480">
        <v>146.70000000000002</v>
      </c>
      <c r="G1480" t="s">
        <v>2099</v>
      </c>
      <c r="H1480">
        <f>_xlfn.XLOOKUP(E1480,K:K,L:L)</f>
        <v>4</v>
      </c>
    </row>
    <row r="1481" spans="1:8" x14ac:dyDescent="0.3">
      <c r="A1481" t="s">
        <v>92</v>
      </c>
      <c r="B1481">
        <v>20225058319</v>
      </c>
      <c r="C1481" t="s">
        <v>1700</v>
      </c>
      <c r="E1481" s="1">
        <v>45972</v>
      </c>
      <c r="F1481">
        <v>214.96</v>
      </c>
      <c r="G1481" t="s">
        <v>2099</v>
      </c>
      <c r="H1481">
        <f>_xlfn.XLOOKUP(E1481,K:K,L:L)</f>
        <v>4</v>
      </c>
    </row>
    <row r="1482" spans="1:8" x14ac:dyDescent="0.3">
      <c r="A1482" t="s">
        <v>92</v>
      </c>
      <c r="B1482">
        <v>20392484176</v>
      </c>
      <c r="C1482" t="s">
        <v>1701</v>
      </c>
      <c r="E1482" s="1">
        <v>45972</v>
      </c>
      <c r="F1482">
        <v>595.22</v>
      </c>
      <c r="G1482" t="s">
        <v>2099</v>
      </c>
      <c r="H1482">
        <f>_xlfn.XLOOKUP(E1482,K:K,L:L)</f>
        <v>4</v>
      </c>
    </row>
    <row r="1483" spans="1:8" x14ac:dyDescent="0.3">
      <c r="A1483" t="s">
        <v>92</v>
      </c>
      <c r="B1483">
        <v>20492880346</v>
      </c>
      <c r="C1483" t="s">
        <v>1702</v>
      </c>
      <c r="E1483" s="1">
        <v>45972</v>
      </c>
      <c r="F1483">
        <v>370.58</v>
      </c>
      <c r="G1483" t="s">
        <v>2099</v>
      </c>
      <c r="H1483">
        <f>_xlfn.XLOOKUP(E1483,K:K,L:L)</f>
        <v>4</v>
      </c>
    </row>
    <row r="1484" spans="1:8" x14ac:dyDescent="0.3">
      <c r="A1484" t="s">
        <v>92</v>
      </c>
      <c r="B1484">
        <v>20603901429</v>
      </c>
      <c r="C1484" t="s">
        <v>1698</v>
      </c>
      <c r="E1484" s="1">
        <v>45972</v>
      </c>
      <c r="F1484">
        <v>297.61</v>
      </c>
      <c r="G1484" t="s">
        <v>2099</v>
      </c>
      <c r="H1484">
        <f>_xlfn.XLOOKUP(E1484,K:K,L:L)</f>
        <v>4</v>
      </c>
    </row>
    <row r="1485" spans="1:8" x14ac:dyDescent="0.3">
      <c r="A1485" t="s">
        <v>92</v>
      </c>
      <c r="B1485">
        <v>20606242906</v>
      </c>
      <c r="C1485" t="s">
        <v>1689</v>
      </c>
      <c r="E1485" s="1">
        <v>45972</v>
      </c>
      <c r="F1485">
        <v>134.52000000000001</v>
      </c>
      <c r="G1485" t="s">
        <v>2099</v>
      </c>
      <c r="H1485">
        <f>_xlfn.XLOOKUP(E1485,K:K,L:L)</f>
        <v>4</v>
      </c>
    </row>
    <row r="1486" spans="1:8" x14ac:dyDescent="0.3">
      <c r="A1486" t="s">
        <v>92</v>
      </c>
      <c r="B1486">
        <v>20608064240</v>
      </c>
      <c r="C1486" t="s">
        <v>1691</v>
      </c>
      <c r="E1486" s="1">
        <v>45972</v>
      </c>
      <c r="F1486">
        <v>147.96999999999997</v>
      </c>
      <c r="G1486" t="s">
        <v>2099</v>
      </c>
      <c r="H1486">
        <f>_xlfn.XLOOKUP(E1486,K:K,L:L)</f>
        <v>4</v>
      </c>
    </row>
    <row r="1487" spans="1:8" x14ac:dyDescent="0.3">
      <c r="A1487" t="s">
        <v>92</v>
      </c>
      <c r="B1487">
        <v>20225058319</v>
      </c>
      <c r="C1487" t="s">
        <v>1700</v>
      </c>
      <c r="E1487" s="1">
        <v>45972</v>
      </c>
      <c r="F1487">
        <v>209.18</v>
      </c>
      <c r="G1487" t="s">
        <v>2099</v>
      </c>
      <c r="H1487">
        <f>_xlfn.XLOOKUP(E1487,K:K,L:L)</f>
        <v>4</v>
      </c>
    </row>
    <row r="1488" spans="1:8" x14ac:dyDescent="0.3">
      <c r="A1488" t="s">
        <v>92</v>
      </c>
      <c r="B1488">
        <v>20492880346</v>
      </c>
      <c r="C1488" t="s">
        <v>1702</v>
      </c>
      <c r="E1488" s="1">
        <v>45972</v>
      </c>
      <c r="F1488">
        <v>373.77000000000004</v>
      </c>
      <c r="G1488" t="s">
        <v>2099</v>
      </c>
      <c r="H1488">
        <f>_xlfn.XLOOKUP(E1488,K:K,L:L)</f>
        <v>4</v>
      </c>
    </row>
    <row r="1489" spans="1:8" x14ac:dyDescent="0.3">
      <c r="A1489" t="s">
        <v>92</v>
      </c>
      <c r="B1489">
        <v>20603901429</v>
      </c>
      <c r="C1489" t="s">
        <v>1698</v>
      </c>
      <c r="E1489" s="1">
        <v>45972</v>
      </c>
      <c r="F1489">
        <v>300.17</v>
      </c>
      <c r="G1489" t="s">
        <v>2099</v>
      </c>
      <c r="H1489">
        <f>_xlfn.XLOOKUP(E1489,K:K,L:L)</f>
        <v>4</v>
      </c>
    </row>
    <row r="1490" spans="1:8" x14ac:dyDescent="0.3">
      <c r="A1490" t="s">
        <v>92</v>
      </c>
      <c r="B1490">
        <v>20606242906</v>
      </c>
      <c r="C1490" t="s">
        <v>1689</v>
      </c>
      <c r="E1490" s="1">
        <v>45972</v>
      </c>
      <c r="F1490">
        <v>135.68</v>
      </c>
      <c r="G1490" t="s">
        <v>2099</v>
      </c>
      <c r="H1490">
        <f>_xlfn.XLOOKUP(E1490,K:K,L:L)</f>
        <v>4</v>
      </c>
    </row>
    <row r="1491" spans="1:8" x14ac:dyDescent="0.3">
      <c r="A1491" t="s">
        <v>92</v>
      </c>
      <c r="B1491">
        <v>20608064240</v>
      </c>
      <c r="C1491" t="s">
        <v>1691</v>
      </c>
      <c r="E1491" s="1">
        <v>45972</v>
      </c>
      <c r="F1491">
        <v>149.23999999999998</v>
      </c>
      <c r="G1491" t="s">
        <v>2099</v>
      </c>
      <c r="H1491">
        <f>_xlfn.XLOOKUP(E1491,K:K,L:L)</f>
        <v>4</v>
      </c>
    </row>
    <row r="1492" spans="1:8" x14ac:dyDescent="0.3">
      <c r="A1492" t="s">
        <v>92</v>
      </c>
      <c r="B1492">
        <v>20506249601</v>
      </c>
      <c r="C1492" t="s">
        <v>1668</v>
      </c>
      <c r="E1492" s="1">
        <v>45972</v>
      </c>
      <c r="F1492">
        <v>195.39</v>
      </c>
      <c r="G1492" t="s">
        <v>2099</v>
      </c>
      <c r="H1492">
        <f>_xlfn.XLOOKUP(E1492,K:K,L:L)</f>
        <v>4</v>
      </c>
    </row>
    <row r="1493" spans="1:8" x14ac:dyDescent="0.3">
      <c r="A1493" t="s">
        <v>92</v>
      </c>
      <c r="B1493">
        <v>20603901429</v>
      </c>
      <c r="C1493" t="s">
        <v>1698</v>
      </c>
      <c r="E1493" s="1">
        <v>45972</v>
      </c>
      <c r="F1493">
        <v>302.73</v>
      </c>
      <c r="G1493" t="s">
        <v>2099</v>
      </c>
      <c r="H1493">
        <f>_xlfn.XLOOKUP(E1493,K:K,L:L)</f>
        <v>4</v>
      </c>
    </row>
    <row r="1494" spans="1:8" x14ac:dyDescent="0.3">
      <c r="A1494" t="s">
        <v>92</v>
      </c>
      <c r="B1494">
        <v>20608064240</v>
      </c>
      <c r="C1494" t="s">
        <v>1691</v>
      </c>
      <c r="E1494" s="1">
        <v>45972</v>
      </c>
      <c r="F1494">
        <v>150.51999999999998</v>
      </c>
      <c r="G1494" t="s">
        <v>2099</v>
      </c>
      <c r="H1494">
        <f>_xlfn.XLOOKUP(E1494,K:K,L:L)</f>
        <v>4</v>
      </c>
    </row>
    <row r="1495" spans="1:8" x14ac:dyDescent="0.3">
      <c r="A1495" t="s">
        <v>92</v>
      </c>
      <c r="B1495">
        <v>20603901429</v>
      </c>
      <c r="C1495" t="s">
        <v>1698</v>
      </c>
      <c r="E1495" s="1">
        <v>45972</v>
      </c>
      <c r="F1495">
        <v>305.57</v>
      </c>
      <c r="G1495" t="s">
        <v>2099</v>
      </c>
      <c r="H1495">
        <f>_xlfn.XLOOKUP(E1495,K:K,L:L)</f>
        <v>4</v>
      </c>
    </row>
    <row r="1496" spans="1:8" x14ac:dyDescent="0.3">
      <c r="A1496" t="s">
        <v>92</v>
      </c>
      <c r="B1496">
        <v>20608064240</v>
      </c>
      <c r="C1496" t="s">
        <v>1691</v>
      </c>
      <c r="E1496" s="1">
        <v>45972</v>
      </c>
      <c r="F1496">
        <v>151.93</v>
      </c>
      <c r="G1496" t="s">
        <v>2099</v>
      </c>
      <c r="H1496">
        <f>_xlfn.XLOOKUP(E1496,K:K,L:L)</f>
        <v>4</v>
      </c>
    </row>
    <row r="1497" spans="1:8" x14ac:dyDescent="0.3">
      <c r="A1497" t="s">
        <v>92</v>
      </c>
      <c r="B1497">
        <v>20603901429</v>
      </c>
      <c r="C1497" t="s">
        <v>1698</v>
      </c>
      <c r="E1497" s="1">
        <v>45972</v>
      </c>
      <c r="F1497">
        <v>307.84000000000003</v>
      </c>
      <c r="G1497" t="s">
        <v>2099</v>
      </c>
      <c r="H1497">
        <f>_xlfn.XLOOKUP(E1497,K:K,L:L)</f>
        <v>4</v>
      </c>
    </row>
    <row r="1498" spans="1:8" x14ac:dyDescent="0.3">
      <c r="A1498" t="s">
        <v>92</v>
      </c>
      <c r="B1498">
        <v>20608064240</v>
      </c>
      <c r="C1498" t="s">
        <v>1691</v>
      </c>
      <c r="E1498" s="1">
        <v>45972</v>
      </c>
      <c r="F1498">
        <v>153.06</v>
      </c>
      <c r="G1498" t="s">
        <v>2099</v>
      </c>
      <c r="H1498">
        <f>_xlfn.XLOOKUP(E1498,K:K,L:L)</f>
        <v>4</v>
      </c>
    </row>
    <row r="1499" spans="1:8" x14ac:dyDescent="0.3">
      <c r="A1499" t="s">
        <v>92</v>
      </c>
      <c r="B1499">
        <v>20608064240</v>
      </c>
      <c r="C1499" t="s">
        <v>1691</v>
      </c>
      <c r="E1499" s="1">
        <v>45972</v>
      </c>
      <c r="F1499">
        <v>144.05000000000001</v>
      </c>
      <c r="G1499" t="s">
        <v>2099</v>
      </c>
      <c r="H1499">
        <f>_xlfn.XLOOKUP(E1499,K:K,L:L)</f>
        <v>4</v>
      </c>
    </row>
    <row r="1500" spans="1:8" x14ac:dyDescent="0.3">
      <c r="A1500" t="s">
        <v>92</v>
      </c>
      <c r="B1500">
        <v>20608064240</v>
      </c>
      <c r="C1500" t="s">
        <v>1691</v>
      </c>
      <c r="E1500" s="1">
        <v>45972</v>
      </c>
      <c r="F1500">
        <v>145.38</v>
      </c>
      <c r="G1500" t="s">
        <v>2099</v>
      </c>
      <c r="H1500">
        <f>_xlfn.XLOOKUP(E1500,K:K,L:L)</f>
        <v>4</v>
      </c>
    </row>
    <row r="1501" spans="1:8" x14ac:dyDescent="0.3">
      <c r="A1501" t="s">
        <v>92</v>
      </c>
      <c r="B1501">
        <v>20608064240</v>
      </c>
      <c r="C1501" t="s">
        <v>1691</v>
      </c>
      <c r="E1501" s="1">
        <v>45972</v>
      </c>
      <c r="F1501">
        <v>146.43</v>
      </c>
      <c r="G1501" t="s">
        <v>2099</v>
      </c>
      <c r="H1501">
        <f>_xlfn.XLOOKUP(E1501,K:K,L:L)</f>
        <v>4</v>
      </c>
    </row>
    <row r="1502" spans="1:8" x14ac:dyDescent="0.3">
      <c r="A1502" t="s">
        <v>92</v>
      </c>
      <c r="B1502">
        <v>20608064240</v>
      </c>
      <c r="C1502" t="s">
        <v>1691</v>
      </c>
      <c r="E1502" s="1">
        <v>45972</v>
      </c>
      <c r="F1502">
        <v>147.75</v>
      </c>
      <c r="G1502" t="s">
        <v>2099</v>
      </c>
      <c r="H1502">
        <f>_xlfn.XLOOKUP(E1502,K:K,L:L)</f>
        <v>4</v>
      </c>
    </row>
    <row r="1503" spans="1:8" x14ac:dyDescent="0.3">
      <c r="A1503" t="s">
        <v>92</v>
      </c>
      <c r="B1503">
        <v>20608064240</v>
      </c>
      <c r="C1503" t="s">
        <v>1691</v>
      </c>
      <c r="E1503" s="1">
        <v>45972</v>
      </c>
      <c r="F1503">
        <v>164.19</v>
      </c>
      <c r="G1503" t="s">
        <v>2099</v>
      </c>
      <c r="H1503">
        <f>_xlfn.XLOOKUP(E1503,K:K,L:L)</f>
        <v>4</v>
      </c>
    </row>
    <row r="1504" spans="1:8" x14ac:dyDescent="0.3">
      <c r="A1504" t="s">
        <v>92</v>
      </c>
      <c r="B1504">
        <v>20608064240</v>
      </c>
      <c r="C1504" t="s">
        <v>1691</v>
      </c>
      <c r="E1504" s="1">
        <v>45972</v>
      </c>
      <c r="F1504">
        <v>150.13</v>
      </c>
      <c r="G1504" t="s">
        <v>2099</v>
      </c>
      <c r="H1504">
        <f>_xlfn.XLOOKUP(E1504,K:K,L:L)</f>
        <v>4</v>
      </c>
    </row>
    <row r="1505" spans="1:8" x14ac:dyDescent="0.3">
      <c r="A1505" t="s">
        <v>92</v>
      </c>
      <c r="B1505">
        <v>20608064240</v>
      </c>
      <c r="C1505" t="s">
        <v>1691</v>
      </c>
      <c r="E1505" s="1">
        <v>45972</v>
      </c>
      <c r="F1505">
        <v>151.44999999999999</v>
      </c>
      <c r="G1505" t="s">
        <v>2099</v>
      </c>
      <c r="H1505">
        <f>_xlfn.XLOOKUP(E1505,K:K,L:L)</f>
        <v>4</v>
      </c>
    </row>
    <row r="1506" spans="1:8" x14ac:dyDescent="0.3">
      <c r="A1506" t="s">
        <v>92</v>
      </c>
      <c r="B1506">
        <v>20563657538</v>
      </c>
      <c r="C1506" t="s">
        <v>1675</v>
      </c>
      <c r="E1506" s="1">
        <v>45972</v>
      </c>
      <c r="F1506">
        <v>990.43999999999994</v>
      </c>
      <c r="G1506" t="s">
        <v>2099</v>
      </c>
      <c r="H1506">
        <f>_xlfn.XLOOKUP(E1506,K:K,L:L)</f>
        <v>4</v>
      </c>
    </row>
    <row r="1507" spans="1:8" x14ac:dyDescent="0.3">
      <c r="A1507" t="s">
        <v>93</v>
      </c>
      <c r="B1507">
        <v>20601745438</v>
      </c>
      <c r="C1507" t="s">
        <v>2080</v>
      </c>
      <c r="E1507" s="1">
        <v>45972</v>
      </c>
      <c r="F1507">
        <v>196.69</v>
      </c>
      <c r="G1507" t="s">
        <v>2099</v>
      </c>
      <c r="H1507">
        <f>_xlfn.XLOOKUP(E1507,K:K,L:L)</f>
        <v>4</v>
      </c>
    </row>
    <row r="1508" spans="1:8" x14ac:dyDescent="0.3">
      <c r="A1508" t="s">
        <v>93</v>
      </c>
      <c r="B1508">
        <v>20613793357</v>
      </c>
      <c r="C1508" t="s">
        <v>2081</v>
      </c>
      <c r="E1508" s="1">
        <v>45972</v>
      </c>
      <c r="F1508">
        <v>131.05000000000001</v>
      </c>
      <c r="G1508" t="s">
        <v>2099</v>
      </c>
      <c r="H1508">
        <f>_xlfn.XLOOKUP(E1508,K:K,L:L)</f>
        <v>4</v>
      </c>
    </row>
    <row r="1509" spans="1:8" x14ac:dyDescent="0.3">
      <c r="A1509" t="s">
        <v>93</v>
      </c>
      <c r="B1509">
        <v>20605468919</v>
      </c>
      <c r="C1509" t="s">
        <v>2079</v>
      </c>
      <c r="E1509" s="1">
        <v>45972</v>
      </c>
      <c r="F1509">
        <v>363.27</v>
      </c>
      <c r="G1509" t="s">
        <v>2099</v>
      </c>
      <c r="H1509">
        <f>_xlfn.XLOOKUP(E1509,K:K,L:L)</f>
        <v>4</v>
      </c>
    </row>
    <row r="1510" spans="1:8" x14ac:dyDescent="0.3">
      <c r="A1510" t="s">
        <v>92</v>
      </c>
      <c r="B1510">
        <v>10181557520</v>
      </c>
      <c r="C1510" t="s">
        <v>1703</v>
      </c>
      <c r="E1510" s="1">
        <v>45973</v>
      </c>
      <c r="F1510">
        <v>129.88999999999999</v>
      </c>
      <c r="G1510" t="s">
        <v>2099</v>
      </c>
      <c r="H1510">
        <f>_xlfn.XLOOKUP(E1510,K:K,L:L)</f>
        <v>5</v>
      </c>
    </row>
    <row r="1511" spans="1:8" x14ac:dyDescent="0.3">
      <c r="A1511" t="s">
        <v>92</v>
      </c>
      <c r="B1511">
        <v>10416073959</v>
      </c>
      <c r="C1511" t="s">
        <v>1704</v>
      </c>
      <c r="E1511" s="1">
        <v>45973</v>
      </c>
      <c r="F1511">
        <v>604.01</v>
      </c>
      <c r="G1511" t="s">
        <v>2099</v>
      </c>
      <c r="H1511">
        <f>_xlfn.XLOOKUP(E1511,K:K,L:L)</f>
        <v>5</v>
      </c>
    </row>
    <row r="1512" spans="1:8" x14ac:dyDescent="0.3">
      <c r="A1512" t="s">
        <v>92</v>
      </c>
      <c r="B1512">
        <v>20125374761</v>
      </c>
      <c r="C1512" t="s">
        <v>1705</v>
      </c>
      <c r="E1512" s="1">
        <v>45973</v>
      </c>
      <c r="F1512">
        <v>259.79000000000002</v>
      </c>
      <c r="G1512" t="s">
        <v>2099</v>
      </c>
      <c r="H1512">
        <f>_xlfn.XLOOKUP(E1512,K:K,L:L)</f>
        <v>5</v>
      </c>
    </row>
    <row r="1513" spans="1:8" x14ac:dyDescent="0.3">
      <c r="A1513" t="s">
        <v>92</v>
      </c>
      <c r="B1513">
        <v>20393905825</v>
      </c>
      <c r="C1513" t="s">
        <v>1603</v>
      </c>
      <c r="E1513" s="1">
        <v>45973</v>
      </c>
      <c r="F1513">
        <v>129.88999999999999</v>
      </c>
      <c r="G1513" t="s">
        <v>2099</v>
      </c>
      <c r="H1513">
        <f>_xlfn.XLOOKUP(E1513,K:K,L:L)</f>
        <v>5</v>
      </c>
    </row>
    <row r="1514" spans="1:8" x14ac:dyDescent="0.3">
      <c r="A1514" t="s">
        <v>92</v>
      </c>
      <c r="B1514">
        <v>20523226933</v>
      </c>
      <c r="C1514" t="s">
        <v>1706</v>
      </c>
      <c r="E1514" s="1">
        <v>45973</v>
      </c>
      <c r="F1514">
        <v>496.59000000000003</v>
      </c>
      <c r="G1514" t="s">
        <v>2099</v>
      </c>
      <c r="H1514">
        <f>_xlfn.XLOOKUP(E1514,K:K,L:L)</f>
        <v>5</v>
      </c>
    </row>
    <row r="1515" spans="1:8" x14ac:dyDescent="0.3">
      <c r="A1515" t="s">
        <v>92</v>
      </c>
      <c r="B1515">
        <v>20524725712</v>
      </c>
      <c r="C1515" t="s">
        <v>1707</v>
      </c>
      <c r="E1515" s="1">
        <v>45973</v>
      </c>
      <c r="F1515">
        <v>1420.8400000000001</v>
      </c>
      <c r="G1515" t="s">
        <v>2099</v>
      </c>
      <c r="H1515">
        <f>_xlfn.XLOOKUP(E1515,K:K,L:L)</f>
        <v>5</v>
      </c>
    </row>
    <row r="1516" spans="1:8" x14ac:dyDescent="0.3">
      <c r="A1516" t="s">
        <v>92</v>
      </c>
      <c r="B1516">
        <v>20537575299</v>
      </c>
      <c r="C1516" t="s">
        <v>1708</v>
      </c>
      <c r="E1516" s="1">
        <v>45973</v>
      </c>
      <c r="F1516">
        <v>229.89999999999998</v>
      </c>
      <c r="G1516" t="s">
        <v>2099</v>
      </c>
      <c r="H1516">
        <f>_xlfn.XLOOKUP(E1516,K:K,L:L)</f>
        <v>5</v>
      </c>
    </row>
    <row r="1517" spans="1:8" x14ac:dyDescent="0.3">
      <c r="A1517" t="s">
        <v>92</v>
      </c>
      <c r="B1517">
        <v>20546449573</v>
      </c>
      <c r="C1517" t="s">
        <v>1709</v>
      </c>
      <c r="E1517" s="1">
        <v>45973</v>
      </c>
      <c r="F1517">
        <v>632.08999999999992</v>
      </c>
      <c r="G1517" t="s">
        <v>2099</v>
      </c>
      <c r="H1517">
        <f>_xlfn.XLOOKUP(E1517,K:K,L:L)</f>
        <v>5</v>
      </c>
    </row>
    <row r="1518" spans="1:8" x14ac:dyDescent="0.3">
      <c r="A1518" t="s">
        <v>92</v>
      </c>
      <c r="B1518">
        <v>20546492231</v>
      </c>
      <c r="C1518" t="s">
        <v>1710</v>
      </c>
      <c r="E1518" s="1">
        <v>45973</v>
      </c>
      <c r="F1518">
        <v>229.89999999999998</v>
      </c>
      <c r="G1518" t="s">
        <v>2099</v>
      </c>
      <c r="H1518">
        <f>_xlfn.XLOOKUP(E1518,K:K,L:L)</f>
        <v>5</v>
      </c>
    </row>
    <row r="1519" spans="1:8" x14ac:dyDescent="0.3">
      <c r="A1519" t="s">
        <v>92</v>
      </c>
      <c r="B1519">
        <v>20548209332</v>
      </c>
      <c r="C1519" t="s">
        <v>1711</v>
      </c>
      <c r="E1519" s="1">
        <v>45973</v>
      </c>
      <c r="F1519">
        <v>616.90000000000009</v>
      </c>
      <c r="G1519" t="s">
        <v>2099</v>
      </c>
      <c r="H1519">
        <f>_xlfn.XLOOKUP(E1519,K:K,L:L)</f>
        <v>5</v>
      </c>
    </row>
    <row r="1520" spans="1:8" x14ac:dyDescent="0.3">
      <c r="A1520" t="s">
        <v>92</v>
      </c>
      <c r="B1520">
        <v>20552184042</v>
      </c>
      <c r="C1520" t="s">
        <v>1712</v>
      </c>
      <c r="E1520" s="1">
        <v>45973</v>
      </c>
      <c r="F1520">
        <v>129.88999999999999</v>
      </c>
      <c r="G1520" t="s">
        <v>2099</v>
      </c>
      <c r="H1520">
        <f>_xlfn.XLOOKUP(E1520,K:K,L:L)</f>
        <v>5</v>
      </c>
    </row>
    <row r="1521" spans="1:8" x14ac:dyDescent="0.3">
      <c r="A1521" t="s">
        <v>92</v>
      </c>
      <c r="B1521">
        <v>20555652012</v>
      </c>
      <c r="C1521" t="s">
        <v>1713</v>
      </c>
      <c r="E1521" s="1">
        <v>45973</v>
      </c>
      <c r="F1521">
        <v>149.44</v>
      </c>
      <c r="G1521" t="s">
        <v>2099</v>
      </c>
      <c r="H1521">
        <f>_xlfn.XLOOKUP(E1521,K:K,L:L)</f>
        <v>5</v>
      </c>
    </row>
    <row r="1522" spans="1:8" x14ac:dyDescent="0.3">
      <c r="A1522" t="s">
        <v>92</v>
      </c>
      <c r="B1522">
        <v>20565253949</v>
      </c>
      <c r="C1522" t="s">
        <v>1714</v>
      </c>
      <c r="E1522" s="1">
        <v>45973</v>
      </c>
      <c r="F1522">
        <v>302.32</v>
      </c>
      <c r="G1522" t="s">
        <v>2099</v>
      </c>
      <c r="H1522">
        <f>_xlfn.XLOOKUP(E1522,K:K,L:L)</f>
        <v>5</v>
      </c>
    </row>
    <row r="1523" spans="1:8" x14ac:dyDescent="0.3">
      <c r="A1523" t="s">
        <v>92</v>
      </c>
      <c r="B1523">
        <v>20568219610</v>
      </c>
      <c r="C1523" t="s">
        <v>1715</v>
      </c>
      <c r="E1523" s="1">
        <v>45973</v>
      </c>
      <c r="F1523">
        <v>517.28</v>
      </c>
      <c r="G1523" t="s">
        <v>2099</v>
      </c>
      <c r="H1523">
        <f>_xlfn.XLOOKUP(E1523,K:K,L:L)</f>
        <v>5</v>
      </c>
    </row>
    <row r="1524" spans="1:8" x14ac:dyDescent="0.3">
      <c r="A1524" t="s">
        <v>92</v>
      </c>
      <c r="B1524">
        <v>20568907699</v>
      </c>
      <c r="C1524" t="s">
        <v>1716</v>
      </c>
      <c r="E1524" s="1">
        <v>45973</v>
      </c>
      <c r="F1524">
        <v>149.44</v>
      </c>
      <c r="G1524" t="s">
        <v>2099</v>
      </c>
      <c r="H1524">
        <f>_xlfn.XLOOKUP(E1524,K:K,L:L)</f>
        <v>5</v>
      </c>
    </row>
    <row r="1525" spans="1:8" x14ac:dyDescent="0.3">
      <c r="A1525" t="s">
        <v>92</v>
      </c>
      <c r="B1525">
        <v>20600579305</v>
      </c>
      <c r="C1525" t="s">
        <v>1717</v>
      </c>
      <c r="E1525" s="1">
        <v>45973</v>
      </c>
      <c r="F1525">
        <v>1061.23</v>
      </c>
      <c r="G1525" t="s">
        <v>2099</v>
      </c>
      <c r="H1525">
        <f>_xlfn.XLOOKUP(E1525,K:K,L:L)</f>
        <v>5</v>
      </c>
    </row>
    <row r="1526" spans="1:8" x14ac:dyDescent="0.3">
      <c r="A1526" t="s">
        <v>92</v>
      </c>
      <c r="B1526">
        <v>20600884221</v>
      </c>
      <c r="C1526" t="s">
        <v>1718</v>
      </c>
      <c r="E1526" s="1">
        <v>45973</v>
      </c>
      <c r="F1526">
        <v>278.07</v>
      </c>
      <c r="G1526" t="s">
        <v>2099</v>
      </c>
      <c r="H1526">
        <f>_xlfn.XLOOKUP(E1526,K:K,L:L)</f>
        <v>5</v>
      </c>
    </row>
    <row r="1527" spans="1:8" x14ac:dyDescent="0.3">
      <c r="A1527" t="s">
        <v>92</v>
      </c>
      <c r="B1527">
        <v>20601619271</v>
      </c>
      <c r="C1527" t="s">
        <v>1719</v>
      </c>
      <c r="E1527" s="1">
        <v>45973</v>
      </c>
      <c r="F1527">
        <v>919.6099999999999</v>
      </c>
      <c r="G1527" t="s">
        <v>2099</v>
      </c>
      <c r="H1527">
        <f>_xlfn.XLOOKUP(E1527,K:K,L:L)</f>
        <v>5</v>
      </c>
    </row>
    <row r="1528" spans="1:8" x14ac:dyDescent="0.3">
      <c r="A1528" t="s">
        <v>92</v>
      </c>
      <c r="B1528">
        <v>20602042295</v>
      </c>
      <c r="C1528" t="s">
        <v>1720</v>
      </c>
      <c r="E1528" s="1">
        <v>45973</v>
      </c>
      <c r="F1528">
        <v>259.79000000000002</v>
      </c>
      <c r="G1528" t="s">
        <v>2099</v>
      </c>
      <c r="H1528">
        <f>_xlfn.XLOOKUP(E1528,K:K,L:L)</f>
        <v>5</v>
      </c>
    </row>
    <row r="1529" spans="1:8" x14ac:dyDescent="0.3">
      <c r="A1529" t="s">
        <v>92</v>
      </c>
      <c r="B1529">
        <v>20602667813</v>
      </c>
      <c r="C1529" t="s">
        <v>1721</v>
      </c>
      <c r="E1529" s="1">
        <v>45973</v>
      </c>
      <c r="F1529">
        <v>129.88999999999999</v>
      </c>
      <c r="G1529" t="s">
        <v>2099</v>
      </c>
      <c r="H1529">
        <f>_xlfn.XLOOKUP(E1529,K:K,L:L)</f>
        <v>5</v>
      </c>
    </row>
    <row r="1530" spans="1:8" x14ac:dyDescent="0.3">
      <c r="A1530" t="s">
        <v>92</v>
      </c>
      <c r="B1530">
        <v>20602720391</v>
      </c>
      <c r="C1530" t="s">
        <v>1722</v>
      </c>
      <c r="E1530" s="1">
        <v>45973</v>
      </c>
      <c r="F1530">
        <v>278.07</v>
      </c>
      <c r="G1530" t="s">
        <v>2099</v>
      </c>
      <c r="H1530">
        <f>_xlfn.XLOOKUP(E1530,K:K,L:L)</f>
        <v>5</v>
      </c>
    </row>
    <row r="1531" spans="1:8" x14ac:dyDescent="0.3">
      <c r="A1531" t="s">
        <v>92</v>
      </c>
      <c r="B1531">
        <v>20602729584</v>
      </c>
      <c r="C1531" t="s">
        <v>1723</v>
      </c>
      <c r="E1531" s="1">
        <v>45973</v>
      </c>
      <c r="F1531">
        <v>229.89999999999998</v>
      </c>
      <c r="G1531" t="s">
        <v>2099</v>
      </c>
      <c r="H1531">
        <f>_xlfn.XLOOKUP(E1531,K:K,L:L)</f>
        <v>5</v>
      </c>
    </row>
    <row r="1532" spans="1:8" x14ac:dyDescent="0.3">
      <c r="A1532" t="s">
        <v>92</v>
      </c>
      <c r="B1532">
        <v>20602799361</v>
      </c>
      <c r="C1532" t="s">
        <v>1724</v>
      </c>
      <c r="E1532" s="1">
        <v>45973</v>
      </c>
      <c r="F1532">
        <v>406.84</v>
      </c>
      <c r="G1532" t="s">
        <v>2099</v>
      </c>
      <c r="H1532">
        <f>_xlfn.XLOOKUP(E1532,K:K,L:L)</f>
        <v>5</v>
      </c>
    </row>
    <row r="1533" spans="1:8" x14ac:dyDescent="0.3">
      <c r="A1533" t="s">
        <v>92</v>
      </c>
      <c r="B1533">
        <v>20603076533</v>
      </c>
      <c r="C1533" t="s">
        <v>1725</v>
      </c>
      <c r="E1533" s="1">
        <v>45973</v>
      </c>
      <c r="F1533">
        <v>219.14</v>
      </c>
      <c r="G1533" t="s">
        <v>2099</v>
      </c>
      <c r="H1533">
        <f>_xlfn.XLOOKUP(E1533,K:K,L:L)</f>
        <v>5</v>
      </c>
    </row>
    <row r="1534" spans="1:8" x14ac:dyDescent="0.3">
      <c r="A1534" t="s">
        <v>92</v>
      </c>
      <c r="B1534">
        <v>20603083670</v>
      </c>
      <c r="C1534" t="s">
        <v>1726</v>
      </c>
      <c r="E1534" s="1">
        <v>45973</v>
      </c>
      <c r="F1534">
        <v>287.38</v>
      </c>
      <c r="G1534" t="s">
        <v>2099</v>
      </c>
      <c r="H1534">
        <f>_xlfn.XLOOKUP(E1534,K:K,L:L)</f>
        <v>5</v>
      </c>
    </row>
    <row r="1535" spans="1:8" x14ac:dyDescent="0.3">
      <c r="A1535" t="s">
        <v>92</v>
      </c>
      <c r="B1535">
        <v>20603513925</v>
      </c>
      <c r="C1535" t="s">
        <v>1727</v>
      </c>
      <c r="E1535" s="1">
        <v>45973</v>
      </c>
      <c r="F1535">
        <v>465.12</v>
      </c>
      <c r="G1535" t="s">
        <v>2099</v>
      </c>
      <c r="H1535">
        <f>_xlfn.XLOOKUP(E1535,K:K,L:L)</f>
        <v>5</v>
      </c>
    </row>
    <row r="1536" spans="1:8" x14ac:dyDescent="0.3">
      <c r="A1536" t="s">
        <v>92</v>
      </c>
      <c r="B1536">
        <v>20604245738</v>
      </c>
      <c r="C1536" t="s">
        <v>1728</v>
      </c>
      <c r="E1536" s="1">
        <v>45973</v>
      </c>
      <c r="F1536">
        <v>223.37</v>
      </c>
      <c r="G1536" t="s">
        <v>2099</v>
      </c>
      <c r="H1536">
        <f>_xlfn.XLOOKUP(E1536,K:K,L:L)</f>
        <v>5</v>
      </c>
    </row>
    <row r="1537" spans="1:8" x14ac:dyDescent="0.3">
      <c r="A1537" t="s">
        <v>92</v>
      </c>
      <c r="B1537">
        <v>20604502129</v>
      </c>
      <c r="C1537" t="s">
        <v>1729</v>
      </c>
      <c r="E1537" s="1">
        <v>45973</v>
      </c>
      <c r="F1537">
        <v>272.77999999999997</v>
      </c>
      <c r="G1537" t="s">
        <v>2099</v>
      </c>
      <c r="H1537">
        <f>_xlfn.XLOOKUP(E1537,K:K,L:L)</f>
        <v>5</v>
      </c>
    </row>
    <row r="1538" spans="1:8" x14ac:dyDescent="0.3">
      <c r="A1538" t="s">
        <v>92</v>
      </c>
      <c r="B1538">
        <v>20606269031</v>
      </c>
      <c r="C1538" t="s">
        <v>1730</v>
      </c>
      <c r="E1538" s="1">
        <v>45973</v>
      </c>
      <c r="F1538">
        <v>489.69</v>
      </c>
      <c r="G1538" t="s">
        <v>2099</v>
      </c>
      <c r="H1538">
        <f>_xlfn.XLOOKUP(E1538,K:K,L:L)</f>
        <v>5</v>
      </c>
    </row>
    <row r="1539" spans="1:8" x14ac:dyDescent="0.3">
      <c r="A1539" t="s">
        <v>92</v>
      </c>
      <c r="B1539">
        <v>20606994924</v>
      </c>
      <c r="C1539" t="s">
        <v>1731</v>
      </c>
      <c r="E1539" s="1">
        <v>45973</v>
      </c>
      <c r="F1539">
        <v>160.93</v>
      </c>
      <c r="G1539" t="s">
        <v>2099</v>
      </c>
      <c r="H1539">
        <f>_xlfn.XLOOKUP(E1539,K:K,L:L)</f>
        <v>5</v>
      </c>
    </row>
    <row r="1540" spans="1:8" x14ac:dyDescent="0.3">
      <c r="A1540" t="s">
        <v>92</v>
      </c>
      <c r="B1540">
        <v>20607705969</v>
      </c>
      <c r="C1540" t="s">
        <v>1732</v>
      </c>
      <c r="E1540" s="1">
        <v>45973</v>
      </c>
      <c r="F1540">
        <v>227.98</v>
      </c>
      <c r="G1540" t="s">
        <v>2099</v>
      </c>
      <c r="H1540">
        <f>_xlfn.XLOOKUP(E1540,K:K,L:L)</f>
        <v>5</v>
      </c>
    </row>
    <row r="1541" spans="1:8" x14ac:dyDescent="0.3">
      <c r="A1541" t="s">
        <v>92</v>
      </c>
      <c r="B1541">
        <v>20608051016</v>
      </c>
      <c r="C1541" t="s">
        <v>1733</v>
      </c>
      <c r="E1541" s="1">
        <v>45973</v>
      </c>
      <c r="F1541">
        <v>278.07</v>
      </c>
      <c r="G1541" t="s">
        <v>2099</v>
      </c>
      <c r="H1541">
        <f>_xlfn.XLOOKUP(E1541,K:K,L:L)</f>
        <v>5</v>
      </c>
    </row>
    <row r="1542" spans="1:8" x14ac:dyDescent="0.3">
      <c r="A1542" t="s">
        <v>92</v>
      </c>
      <c r="B1542">
        <v>20608197681</v>
      </c>
      <c r="C1542" t="s">
        <v>1734</v>
      </c>
      <c r="E1542" s="1">
        <v>45973</v>
      </c>
      <c r="F1542">
        <v>794.4</v>
      </c>
      <c r="G1542" t="s">
        <v>2099</v>
      </c>
      <c r="H1542">
        <f>_xlfn.XLOOKUP(E1542,K:K,L:L)</f>
        <v>5</v>
      </c>
    </row>
    <row r="1543" spans="1:8" x14ac:dyDescent="0.3">
      <c r="A1543" t="s">
        <v>92</v>
      </c>
      <c r="B1543">
        <v>20609040433</v>
      </c>
      <c r="C1543" t="s">
        <v>1735</v>
      </c>
      <c r="E1543" s="1">
        <v>45973</v>
      </c>
      <c r="F1543">
        <v>389.68</v>
      </c>
      <c r="G1543" t="s">
        <v>2099</v>
      </c>
      <c r="H1543">
        <f>_xlfn.XLOOKUP(E1543,K:K,L:L)</f>
        <v>5</v>
      </c>
    </row>
    <row r="1544" spans="1:8" x14ac:dyDescent="0.3">
      <c r="A1544" t="s">
        <v>92</v>
      </c>
      <c r="B1544">
        <v>20609392208</v>
      </c>
      <c r="C1544" t="s">
        <v>1736</v>
      </c>
      <c r="E1544" s="1">
        <v>45973</v>
      </c>
      <c r="F1544">
        <v>853.77</v>
      </c>
      <c r="G1544" t="s">
        <v>2099</v>
      </c>
      <c r="H1544">
        <f>_xlfn.XLOOKUP(E1544,K:K,L:L)</f>
        <v>5</v>
      </c>
    </row>
    <row r="1545" spans="1:8" x14ac:dyDescent="0.3">
      <c r="A1545" t="s">
        <v>92</v>
      </c>
      <c r="B1545">
        <v>20609730341</v>
      </c>
      <c r="C1545" t="s">
        <v>1737</v>
      </c>
      <c r="E1545" s="1">
        <v>45973</v>
      </c>
      <c r="F1545">
        <v>259.79000000000002</v>
      </c>
      <c r="G1545" t="s">
        <v>2099</v>
      </c>
      <c r="H1545">
        <f>_xlfn.XLOOKUP(E1545,K:K,L:L)</f>
        <v>5</v>
      </c>
    </row>
    <row r="1546" spans="1:8" x14ac:dyDescent="0.3">
      <c r="A1546" t="s">
        <v>92</v>
      </c>
      <c r="B1546">
        <v>20609904110</v>
      </c>
      <c r="C1546" t="s">
        <v>1738</v>
      </c>
      <c r="E1546" s="1">
        <v>45973</v>
      </c>
      <c r="F1546">
        <v>327.99</v>
      </c>
      <c r="G1546" t="s">
        <v>2099</v>
      </c>
      <c r="H1546">
        <f>_xlfn.XLOOKUP(E1546,K:K,L:L)</f>
        <v>5</v>
      </c>
    </row>
    <row r="1547" spans="1:8" x14ac:dyDescent="0.3">
      <c r="A1547" t="s">
        <v>92</v>
      </c>
      <c r="B1547">
        <v>20610786686</v>
      </c>
      <c r="C1547" t="s">
        <v>1739</v>
      </c>
      <c r="E1547" s="1">
        <v>45973</v>
      </c>
      <c r="F1547">
        <v>532.22</v>
      </c>
      <c r="G1547" t="s">
        <v>2099</v>
      </c>
      <c r="H1547">
        <f>_xlfn.XLOOKUP(E1547,K:K,L:L)</f>
        <v>5</v>
      </c>
    </row>
    <row r="1548" spans="1:8" x14ac:dyDescent="0.3">
      <c r="A1548" t="s">
        <v>92</v>
      </c>
      <c r="B1548">
        <v>20611751291</v>
      </c>
      <c r="C1548" t="s">
        <v>1740</v>
      </c>
      <c r="E1548" s="1">
        <v>45973</v>
      </c>
      <c r="F1548">
        <v>415.31</v>
      </c>
      <c r="G1548" t="s">
        <v>2099</v>
      </c>
      <c r="H1548">
        <f>_xlfn.XLOOKUP(E1548,K:K,L:L)</f>
        <v>5</v>
      </c>
    </row>
    <row r="1549" spans="1:8" x14ac:dyDescent="0.3">
      <c r="A1549" t="s">
        <v>92</v>
      </c>
      <c r="B1549">
        <v>20612350915</v>
      </c>
      <c r="C1549" t="s">
        <v>1741</v>
      </c>
      <c r="E1549" s="1">
        <v>45973</v>
      </c>
      <c r="F1549">
        <v>302.32</v>
      </c>
      <c r="G1549" t="s">
        <v>2099</v>
      </c>
      <c r="H1549">
        <f>_xlfn.XLOOKUP(E1549,K:K,L:L)</f>
        <v>5</v>
      </c>
    </row>
    <row r="1550" spans="1:8" x14ac:dyDescent="0.3">
      <c r="A1550" t="s">
        <v>92</v>
      </c>
      <c r="B1550">
        <v>20612609692</v>
      </c>
      <c r="C1550" t="s">
        <v>1742</v>
      </c>
      <c r="E1550" s="1">
        <v>45973</v>
      </c>
      <c r="F1550">
        <v>459.79999999999995</v>
      </c>
      <c r="G1550" t="s">
        <v>2099</v>
      </c>
      <c r="H1550">
        <f>_xlfn.XLOOKUP(E1550,K:K,L:L)</f>
        <v>5</v>
      </c>
    </row>
    <row r="1551" spans="1:8" x14ac:dyDescent="0.3">
      <c r="A1551" t="s">
        <v>92</v>
      </c>
      <c r="B1551">
        <v>20613592602</v>
      </c>
      <c r="C1551" t="s">
        <v>1743</v>
      </c>
      <c r="E1551" s="1">
        <v>45973</v>
      </c>
      <c r="F1551">
        <v>206.91</v>
      </c>
      <c r="G1551" t="s">
        <v>2099</v>
      </c>
      <c r="H1551">
        <f>_xlfn.XLOOKUP(E1551,K:K,L:L)</f>
        <v>5</v>
      </c>
    </row>
    <row r="1552" spans="1:8" x14ac:dyDescent="0.3">
      <c r="A1552" t="s">
        <v>92</v>
      </c>
      <c r="B1552">
        <v>20614520729</v>
      </c>
      <c r="C1552" t="s">
        <v>1744</v>
      </c>
      <c r="E1552" s="1">
        <v>45973</v>
      </c>
      <c r="F1552">
        <v>129.88999999999999</v>
      </c>
      <c r="G1552" t="s">
        <v>2099</v>
      </c>
      <c r="H1552">
        <f>_xlfn.XLOOKUP(E1552,K:K,L:L)</f>
        <v>5</v>
      </c>
    </row>
    <row r="1553" spans="1:8" x14ac:dyDescent="0.3">
      <c r="A1553" t="s">
        <v>92</v>
      </c>
      <c r="B1553">
        <v>10081338774</v>
      </c>
      <c r="C1553" t="s">
        <v>1745</v>
      </c>
      <c r="E1553" s="1">
        <v>45973</v>
      </c>
      <c r="F1553">
        <v>280.54000000000002</v>
      </c>
      <c r="G1553" t="s">
        <v>2099</v>
      </c>
      <c r="H1553">
        <f>_xlfn.XLOOKUP(E1553,K:K,L:L)</f>
        <v>5</v>
      </c>
    </row>
    <row r="1554" spans="1:8" x14ac:dyDescent="0.3">
      <c r="A1554" t="s">
        <v>92</v>
      </c>
      <c r="B1554">
        <v>10181557520</v>
      </c>
      <c r="C1554" t="s">
        <v>1703</v>
      </c>
      <c r="E1554" s="1">
        <v>45973</v>
      </c>
      <c r="F1554">
        <v>131.05000000000001</v>
      </c>
      <c r="G1554" t="s">
        <v>2099</v>
      </c>
      <c r="H1554">
        <f>_xlfn.XLOOKUP(E1554,K:K,L:L)</f>
        <v>5</v>
      </c>
    </row>
    <row r="1555" spans="1:8" x14ac:dyDescent="0.3">
      <c r="A1555" t="s">
        <v>92</v>
      </c>
      <c r="B1555">
        <v>20492880346</v>
      </c>
      <c r="C1555" t="s">
        <v>1702</v>
      </c>
      <c r="E1555" s="1">
        <v>45973</v>
      </c>
      <c r="F1555">
        <v>575.30999999999995</v>
      </c>
      <c r="G1555" t="s">
        <v>2099</v>
      </c>
      <c r="H1555">
        <f>_xlfn.XLOOKUP(E1555,K:K,L:L)</f>
        <v>5</v>
      </c>
    </row>
    <row r="1556" spans="1:8" x14ac:dyDescent="0.3">
      <c r="A1556" t="s">
        <v>92</v>
      </c>
      <c r="B1556">
        <v>20529404434</v>
      </c>
      <c r="C1556" t="s">
        <v>1746</v>
      </c>
      <c r="E1556" s="1">
        <v>45973</v>
      </c>
      <c r="F1556">
        <v>569.83000000000004</v>
      </c>
      <c r="G1556" t="s">
        <v>2099</v>
      </c>
      <c r="H1556">
        <f>_xlfn.XLOOKUP(E1556,K:K,L:L)</f>
        <v>5</v>
      </c>
    </row>
    <row r="1557" spans="1:8" x14ac:dyDescent="0.3">
      <c r="A1557" t="s">
        <v>92</v>
      </c>
      <c r="B1557">
        <v>20552184042</v>
      </c>
      <c r="C1557" t="s">
        <v>1712</v>
      </c>
      <c r="E1557" s="1">
        <v>45973</v>
      </c>
      <c r="F1557">
        <v>131.05000000000001</v>
      </c>
      <c r="G1557" t="s">
        <v>2099</v>
      </c>
      <c r="H1557">
        <f>_xlfn.XLOOKUP(E1557,K:K,L:L)</f>
        <v>5</v>
      </c>
    </row>
    <row r="1558" spans="1:8" x14ac:dyDescent="0.3">
      <c r="A1558" t="s">
        <v>92</v>
      </c>
      <c r="B1558">
        <v>20555652012</v>
      </c>
      <c r="C1558" t="s">
        <v>1713</v>
      </c>
      <c r="E1558" s="1">
        <v>45973</v>
      </c>
      <c r="F1558">
        <v>150.76999999999998</v>
      </c>
      <c r="G1558" t="s">
        <v>2099</v>
      </c>
      <c r="H1558">
        <f>_xlfn.XLOOKUP(E1558,K:K,L:L)</f>
        <v>5</v>
      </c>
    </row>
    <row r="1559" spans="1:8" x14ac:dyDescent="0.3">
      <c r="A1559" t="s">
        <v>92</v>
      </c>
      <c r="B1559">
        <v>20568219610</v>
      </c>
      <c r="C1559" t="s">
        <v>1715</v>
      </c>
      <c r="E1559" s="1">
        <v>45973</v>
      </c>
      <c r="F1559">
        <v>521.88</v>
      </c>
      <c r="G1559" t="s">
        <v>2099</v>
      </c>
      <c r="H1559">
        <f>_xlfn.XLOOKUP(E1559,K:K,L:L)</f>
        <v>5</v>
      </c>
    </row>
    <row r="1560" spans="1:8" x14ac:dyDescent="0.3">
      <c r="A1560" t="s">
        <v>92</v>
      </c>
      <c r="B1560">
        <v>20568907699</v>
      </c>
      <c r="C1560" t="s">
        <v>1716</v>
      </c>
      <c r="E1560" s="1">
        <v>45973</v>
      </c>
      <c r="F1560">
        <v>150.76999999999998</v>
      </c>
      <c r="G1560" t="s">
        <v>2099</v>
      </c>
      <c r="H1560">
        <f>_xlfn.XLOOKUP(E1560,K:K,L:L)</f>
        <v>5</v>
      </c>
    </row>
    <row r="1561" spans="1:8" x14ac:dyDescent="0.3">
      <c r="A1561" t="s">
        <v>92</v>
      </c>
      <c r="B1561">
        <v>20602667813</v>
      </c>
      <c r="C1561" t="s">
        <v>1721</v>
      </c>
      <c r="E1561" s="1">
        <v>45973</v>
      </c>
      <c r="F1561">
        <v>131.05000000000001</v>
      </c>
      <c r="G1561" t="s">
        <v>2099</v>
      </c>
      <c r="H1561">
        <f>_xlfn.XLOOKUP(E1561,K:K,L:L)</f>
        <v>5</v>
      </c>
    </row>
    <row r="1562" spans="1:8" x14ac:dyDescent="0.3">
      <c r="A1562" t="s">
        <v>92</v>
      </c>
      <c r="B1562">
        <v>20607705969</v>
      </c>
      <c r="C1562" t="s">
        <v>1732</v>
      </c>
      <c r="E1562" s="1">
        <v>45973</v>
      </c>
      <c r="F1562">
        <v>162.36000000000001</v>
      </c>
      <c r="G1562" t="s">
        <v>2099</v>
      </c>
      <c r="H1562">
        <f>_xlfn.XLOOKUP(E1562,K:K,L:L)</f>
        <v>5</v>
      </c>
    </row>
    <row r="1563" spans="1:8" x14ac:dyDescent="0.3">
      <c r="A1563" t="s">
        <v>92</v>
      </c>
      <c r="B1563">
        <v>20610786686</v>
      </c>
      <c r="C1563" t="s">
        <v>1739</v>
      </c>
      <c r="E1563" s="1">
        <v>45973</v>
      </c>
      <c r="F1563">
        <v>591.47</v>
      </c>
      <c r="G1563" t="s">
        <v>2099</v>
      </c>
      <c r="H1563">
        <f>_xlfn.XLOOKUP(E1563,K:K,L:L)</f>
        <v>5</v>
      </c>
    </row>
    <row r="1564" spans="1:8" x14ac:dyDescent="0.3">
      <c r="A1564" t="s">
        <v>92</v>
      </c>
      <c r="B1564">
        <v>20611751291</v>
      </c>
      <c r="C1564" t="s">
        <v>1740</v>
      </c>
      <c r="E1564" s="1">
        <v>45973</v>
      </c>
      <c r="F1564">
        <v>419.02</v>
      </c>
      <c r="G1564" t="s">
        <v>2099</v>
      </c>
      <c r="H1564">
        <f>_xlfn.XLOOKUP(E1564,K:K,L:L)</f>
        <v>5</v>
      </c>
    </row>
    <row r="1565" spans="1:8" x14ac:dyDescent="0.3">
      <c r="A1565" t="s">
        <v>92</v>
      </c>
      <c r="B1565">
        <v>20614520729</v>
      </c>
      <c r="C1565" t="s">
        <v>1744</v>
      </c>
      <c r="E1565" s="1">
        <v>45973</v>
      </c>
      <c r="F1565">
        <v>131.05000000000001</v>
      </c>
      <c r="G1565" t="s">
        <v>2099</v>
      </c>
      <c r="H1565">
        <f>_xlfn.XLOOKUP(E1565,K:K,L:L)</f>
        <v>5</v>
      </c>
    </row>
    <row r="1566" spans="1:8" x14ac:dyDescent="0.3">
      <c r="A1566" t="s">
        <v>92</v>
      </c>
      <c r="B1566">
        <v>20568219610</v>
      </c>
      <c r="C1566" t="s">
        <v>1715</v>
      </c>
      <c r="E1566" s="1">
        <v>45973</v>
      </c>
      <c r="F1566">
        <v>132.21</v>
      </c>
      <c r="G1566" t="s">
        <v>2099</v>
      </c>
      <c r="H1566">
        <f>_xlfn.XLOOKUP(E1566,K:K,L:L)</f>
        <v>5</v>
      </c>
    </row>
    <row r="1567" spans="1:8" x14ac:dyDescent="0.3">
      <c r="A1567" t="s">
        <v>92</v>
      </c>
      <c r="B1567">
        <v>20602667813</v>
      </c>
      <c r="C1567" t="s">
        <v>1721</v>
      </c>
      <c r="E1567" s="1">
        <v>45973</v>
      </c>
      <c r="F1567">
        <v>132.21</v>
      </c>
      <c r="G1567" t="s">
        <v>2099</v>
      </c>
      <c r="H1567">
        <f>_xlfn.XLOOKUP(E1567,K:K,L:L)</f>
        <v>5</v>
      </c>
    </row>
    <row r="1568" spans="1:8" x14ac:dyDescent="0.3">
      <c r="A1568" t="s">
        <v>92</v>
      </c>
      <c r="B1568">
        <v>20610786686</v>
      </c>
      <c r="C1568" t="s">
        <v>1739</v>
      </c>
      <c r="E1568" s="1">
        <v>45973</v>
      </c>
      <c r="F1568">
        <v>210.6</v>
      </c>
      <c r="G1568" t="s">
        <v>2099</v>
      </c>
      <c r="H1568">
        <f>_xlfn.XLOOKUP(E1568,K:K,L:L)</f>
        <v>5</v>
      </c>
    </row>
    <row r="1569" spans="1:8" x14ac:dyDescent="0.3">
      <c r="A1569" t="s">
        <v>92</v>
      </c>
      <c r="B1569">
        <v>20610786686</v>
      </c>
      <c r="C1569" t="s">
        <v>1739</v>
      </c>
      <c r="E1569" s="1">
        <v>45973</v>
      </c>
      <c r="F1569">
        <v>187.2</v>
      </c>
      <c r="G1569" t="s">
        <v>2099</v>
      </c>
      <c r="H1569">
        <f>_xlfn.XLOOKUP(E1569,K:K,L:L)</f>
        <v>5</v>
      </c>
    </row>
    <row r="1570" spans="1:8" x14ac:dyDescent="0.3">
      <c r="A1570" t="s">
        <v>92</v>
      </c>
      <c r="B1570">
        <v>20568219610</v>
      </c>
      <c r="C1570" t="s">
        <v>1715</v>
      </c>
      <c r="E1570" s="1">
        <v>45973</v>
      </c>
      <c r="F1570">
        <v>133.36000000000001</v>
      </c>
      <c r="G1570" t="s">
        <v>2099</v>
      </c>
      <c r="H1570">
        <f>_xlfn.XLOOKUP(E1570,K:K,L:L)</f>
        <v>5</v>
      </c>
    </row>
    <row r="1571" spans="1:8" x14ac:dyDescent="0.3">
      <c r="A1571" t="s">
        <v>92</v>
      </c>
      <c r="B1571">
        <v>20602667813</v>
      </c>
      <c r="C1571" t="s">
        <v>1721</v>
      </c>
      <c r="E1571" s="1">
        <v>45973</v>
      </c>
      <c r="F1571">
        <v>133.36000000000001</v>
      </c>
      <c r="G1571" t="s">
        <v>2099</v>
      </c>
      <c r="H1571">
        <f>_xlfn.XLOOKUP(E1571,K:K,L:L)</f>
        <v>5</v>
      </c>
    </row>
    <row r="1572" spans="1:8" x14ac:dyDescent="0.3">
      <c r="A1572" t="s">
        <v>92</v>
      </c>
      <c r="B1572">
        <v>20543817512</v>
      </c>
      <c r="C1572" t="s">
        <v>1625</v>
      </c>
      <c r="E1572" s="1">
        <v>45973</v>
      </c>
      <c r="F1572">
        <v>134.63999999999999</v>
      </c>
      <c r="G1572" t="s">
        <v>2099</v>
      </c>
      <c r="H1572">
        <f>_xlfn.XLOOKUP(E1572,K:K,L:L)</f>
        <v>5</v>
      </c>
    </row>
    <row r="1573" spans="1:8" x14ac:dyDescent="0.3">
      <c r="A1573" t="s">
        <v>92</v>
      </c>
      <c r="B1573">
        <v>20602667813</v>
      </c>
      <c r="C1573" t="s">
        <v>1721</v>
      </c>
      <c r="E1573" s="1">
        <v>45973</v>
      </c>
      <c r="F1573">
        <v>134.63999999999999</v>
      </c>
      <c r="G1573" t="s">
        <v>2099</v>
      </c>
      <c r="H1573">
        <f>_xlfn.XLOOKUP(E1573,K:K,L:L)</f>
        <v>5</v>
      </c>
    </row>
    <row r="1574" spans="1:8" x14ac:dyDescent="0.3">
      <c r="A1574" t="s">
        <v>92</v>
      </c>
      <c r="B1574">
        <v>20602667813</v>
      </c>
      <c r="C1574" t="s">
        <v>1721</v>
      </c>
      <c r="E1574" s="1">
        <v>45973</v>
      </c>
      <c r="F1574">
        <v>135.68</v>
      </c>
      <c r="G1574" t="s">
        <v>2099</v>
      </c>
      <c r="H1574">
        <f>_xlfn.XLOOKUP(E1574,K:K,L:L)</f>
        <v>5</v>
      </c>
    </row>
    <row r="1575" spans="1:8" x14ac:dyDescent="0.3">
      <c r="A1575" t="s">
        <v>93</v>
      </c>
      <c r="B1575">
        <v>20613538365</v>
      </c>
      <c r="C1575" t="s">
        <v>2082</v>
      </c>
      <c r="E1575" s="1">
        <v>45973</v>
      </c>
      <c r="F1575">
        <v>235.79</v>
      </c>
      <c r="G1575" t="s">
        <v>2099</v>
      </c>
      <c r="H1575">
        <f>_xlfn.XLOOKUP(E1575,K:K,L:L)</f>
        <v>5</v>
      </c>
    </row>
    <row r="1576" spans="1:8" x14ac:dyDescent="0.3">
      <c r="A1576" t="s">
        <v>93</v>
      </c>
      <c r="B1576">
        <v>20481079153</v>
      </c>
      <c r="C1576" t="s">
        <v>2083</v>
      </c>
      <c r="E1576" s="1">
        <v>45973</v>
      </c>
      <c r="F1576">
        <v>363</v>
      </c>
      <c r="G1576" t="s">
        <v>2099</v>
      </c>
      <c r="H1576">
        <f>_xlfn.XLOOKUP(E1576,K:K,L:L)</f>
        <v>5</v>
      </c>
    </row>
    <row r="1577" spans="1:8" x14ac:dyDescent="0.3">
      <c r="A1577" t="s">
        <v>875</v>
      </c>
      <c r="B1577">
        <v>20519499780</v>
      </c>
      <c r="C1577" t="s">
        <v>1440</v>
      </c>
      <c r="E1577" s="1">
        <v>45973</v>
      </c>
      <c r="F1577">
        <v>296.89</v>
      </c>
      <c r="G1577" t="s">
        <v>2099</v>
      </c>
      <c r="H1577">
        <f>_xlfn.XLOOKUP(E1577,K:K,L:L)</f>
        <v>5</v>
      </c>
    </row>
    <row r="1578" spans="1:8" x14ac:dyDescent="0.3">
      <c r="A1578" t="s">
        <v>875</v>
      </c>
      <c r="B1578">
        <v>20519499780</v>
      </c>
      <c r="C1578" t="s">
        <v>1440</v>
      </c>
      <c r="E1578" s="1">
        <v>45973</v>
      </c>
      <c r="F1578">
        <v>292.83999999999997</v>
      </c>
      <c r="G1578" t="s">
        <v>2099</v>
      </c>
      <c r="H1578">
        <f>_xlfn.XLOOKUP(E1578,K:K,L:L)</f>
        <v>5</v>
      </c>
    </row>
    <row r="1579" spans="1:8" x14ac:dyDescent="0.3">
      <c r="A1579" t="s">
        <v>875</v>
      </c>
      <c r="B1579">
        <v>20519499780</v>
      </c>
      <c r="C1579" t="s">
        <v>1440</v>
      </c>
      <c r="E1579" s="1">
        <v>45973</v>
      </c>
      <c r="F1579">
        <v>288.52999999999997</v>
      </c>
      <c r="G1579" t="s">
        <v>2099</v>
      </c>
      <c r="H1579">
        <f>_xlfn.XLOOKUP(E1579,K:K,L:L)</f>
        <v>5</v>
      </c>
    </row>
    <row r="1580" spans="1:8" x14ac:dyDescent="0.3">
      <c r="A1580" t="s">
        <v>875</v>
      </c>
      <c r="B1580">
        <v>20519499780</v>
      </c>
      <c r="C1580" t="s">
        <v>1440</v>
      </c>
      <c r="E1580" s="1">
        <v>45973</v>
      </c>
      <c r="F1580">
        <v>280.17</v>
      </c>
      <c r="G1580" t="s">
        <v>2099</v>
      </c>
      <c r="H1580">
        <f>_xlfn.XLOOKUP(E1580,K:K,L:L)</f>
        <v>5</v>
      </c>
    </row>
    <row r="1581" spans="1:8" x14ac:dyDescent="0.3">
      <c r="A1581" t="s">
        <v>875</v>
      </c>
      <c r="B1581">
        <v>20519499780</v>
      </c>
      <c r="C1581" t="s">
        <v>1440</v>
      </c>
      <c r="E1581" s="1">
        <v>45973</v>
      </c>
      <c r="F1581">
        <v>306.93</v>
      </c>
      <c r="G1581" t="s">
        <v>2099</v>
      </c>
      <c r="H1581">
        <f>_xlfn.XLOOKUP(E1581,K:K,L:L)</f>
        <v>5</v>
      </c>
    </row>
    <row r="1582" spans="1:8" x14ac:dyDescent="0.3">
      <c r="A1582" t="s">
        <v>875</v>
      </c>
      <c r="B1582">
        <v>20519499780</v>
      </c>
      <c r="C1582" t="s">
        <v>1440</v>
      </c>
      <c r="E1582" s="1">
        <v>45973</v>
      </c>
      <c r="F1582">
        <v>302.43</v>
      </c>
      <c r="G1582" t="s">
        <v>2099</v>
      </c>
      <c r="H1582">
        <f>_xlfn.XLOOKUP(E1582,K:K,L:L)</f>
        <v>5</v>
      </c>
    </row>
    <row r="1583" spans="1:8" x14ac:dyDescent="0.3">
      <c r="A1583" t="s">
        <v>875</v>
      </c>
      <c r="B1583">
        <v>20519499780</v>
      </c>
      <c r="C1583" t="s">
        <v>1440</v>
      </c>
      <c r="E1583" s="1">
        <v>45973</v>
      </c>
      <c r="F1583">
        <v>297.93</v>
      </c>
      <c r="G1583" t="s">
        <v>2099</v>
      </c>
      <c r="H1583">
        <f>_xlfn.XLOOKUP(E1583,K:K,L:L)</f>
        <v>5</v>
      </c>
    </row>
    <row r="1584" spans="1:8" x14ac:dyDescent="0.3">
      <c r="A1584" t="s">
        <v>875</v>
      </c>
      <c r="B1584">
        <v>20519499780</v>
      </c>
      <c r="C1584" t="s">
        <v>1440</v>
      </c>
      <c r="E1584" s="1">
        <v>45973</v>
      </c>
      <c r="F1584">
        <v>293.63</v>
      </c>
      <c r="G1584" t="s">
        <v>2099</v>
      </c>
      <c r="H1584">
        <f>_xlfn.XLOOKUP(E1584,K:K,L:L)</f>
        <v>5</v>
      </c>
    </row>
    <row r="1585" spans="1:8" x14ac:dyDescent="0.3">
      <c r="A1585" t="s">
        <v>875</v>
      </c>
      <c r="B1585">
        <v>20519499780</v>
      </c>
      <c r="C1585" t="s">
        <v>1440</v>
      </c>
      <c r="E1585" s="1">
        <v>45973</v>
      </c>
      <c r="F1585">
        <v>281.92</v>
      </c>
      <c r="G1585" t="s">
        <v>2099</v>
      </c>
      <c r="H1585">
        <f>_xlfn.XLOOKUP(E1585,K:K,L:L)</f>
        <v>5</v>
      </c>
    </row>
    <row r="1586" spans="1:8" x14ac:dyDescent="0.3">
      <c r="A1586" t="s">
        <v>875</v>
      </c>
      <c r="B1586">
        <v>20519499780</v>
      </c>
      <c r="C1586" t="s">
        <v>1440</v>
      </c>
      <c r="E1586" s="1">
        <v>45973</v>
      </c>
      <c r="F1586">
        <v>277.77</v>
      </c>
      <c r="G1586" t="s">
        <v>2099</v>
      </c>
      <c r="H1586">
        <f>_xlfn.XLOOKUP(E1586,K:K,L:L)</f>
        <v>5</v>
      </c>
    </row>
    <row r="1587" spans="1:8" x14ac:dyDescent="0.3">
      <c r="A1587" t="s">
        <v>92</v>
      </c>
      <c r="B1587">
        <v>10410886150</v>
      </c>
      <c r="C1587" t="s">
        <v>1747</v>
      </c>
      <c r="E1587" s="1">
        <v>45974</v>
      </c>
      <c r="F1587">
        <v>516.91999999999996</v>
      </c>
      <c r="G1587" t="s">
        <v>2099</v>
      </c>
      <c r="H1587">
        <f>_xlfn.XLOOKUP(E1587,K:K,L:L)</f>
        <v>6</v>
      </c>
    </row>
    <row r="1588" spans="1:8" x14ac:dyDescent="0.3">
      <c r="A1588" t="s">
        <v>92</v>
      </c>
      <c r="B1588">
        <v>20321592229</v>
      </c>
      <c r="C1588" t="s">
        <v>1748</v>
      </c>
      <c r="E1588" s="1">
        <v>45974</v>
      </c>
      <c r="F1588">
        <v>521.63</v>
      </c>
      <c r="G1588" t="s">
        <v>2099</v>
      </c>
      <c r="H1588">
        <f>_xlfn.XLOOKUP(E1588,K:K,L:L)</f>
        <v>6</v>
      </c>
    </row>
    <row r="1589" spans="1:8" x14ac:dyDescent="0.3">
      <c r="A1589" t="s">
        <v>92</v>
      </c>
      <c r="B1589">
        <v>20411090257</v>
      </c>
      <c r="C1589" t="s">
        <v>1749</v>
      </c>
      <c r="E1589" s="1">
        <v>45974</v>
      </c>
      <c r="F1589">
        <v>129.88999999999999</v>
      </c>
      <c r="G1589" t="s">
        <v>2099</v>
      </c>
      <c r="H1589">
        <f>_xlfn.XLOOKUP(E1589,K:K,L:L)</f>
        <v>6</v>
      </c>
    </row>
    <row r="1590" spans="1:8" x14ac:dyDescent="0.3">
      <c r="A1590" t="s">
        <v>92</v>
      </c>
      <c r="B1590">
        <v>20453989861</v>
      </c>
      <c r="C1590" t="s">
        <v>1750</v>
      </c>
      <c r="E1590" s="1">
        <v>45974</v>
      </c>
      <c r="F1590">
        <v>172.43</v>
      </c>
      <c r="G1590" t="s">
        <v>2099</v>
      </c>
      <c r="H1590">
        <f>_xlfn.XLOOKUP(E1590,K:K,L:L)</f>
        <v>6</v>
      </c>
    </row>
    <row r="1591" spans="1:8" x14ac:dyDescent="0.3">
      <c r="A1591" t="s">
        <v>92</v>
      </c>
      <c r="B1591">
        <v>20494347742</v>
      </c>
      <c r="C1591" t="s">
        <v>1751</v>
      </c>
      <c r="E1591" s="1">
        <v>45974</v>
      </c>
      <c r="F1591">
        <v>172.43</v>
      </c>
      <c r="G1591" t="s">
        <v>2099</v>
      </c>
      <c r="H1591">
        <f>_xlfn.XLOOKUP(E1591,K:K,L:L)</f>
        <v>6</v>
      </c>
    </row>
    <row r="1592" spans="1:8" x14ac:dyDescent="0.3">
      <c r="A1592" t="s">
        <v>92</v>
      </c>
      <c r="B1592">
        <v>20494854768</v>
      </c>
      <c r="C1592" t="s">
        <v>1752</v>
      </c>
      <c r="E1592" s="1">
        <v>45974</v>
      </c>
      <c r="F1592">
        <v>229.89999999999998</v>
      </c>
      <c r="G1592" t="s">
        <v>2099</v>
      </c>
      <c r="H1592">
        <f>_xlfn.XLOOKUP(E1592,K:K,L:L)</f>
        <v>6</v>
      </c>
    </row>
    <row r="1593" spans="1:8" x14ac:dyDescent="0.3">
      <c r="A1593" t="s">
        <v>92</v>
      </c>
      <c r="B1593">
        <v>20504145159</v>
      </c>
      <c r="C1593" t="s">
        <v>1753</v>
      </c>
      <c r="E1593" s="1">
        <v>45974</v>
      </c>
      <c r="F1593">
        <v>206.91</v>
      </c>
      <c r="G1593" t="s">
        <v>2099</v>
      </c>
      <c r="H1593">
        <f>_xlfn.XLOOKUP(E1593,K:K,L:L)</f>
        <v>6</v>
      </c>
    </row>
    <row r="1594" spans="1:8" x14ac:dyDescent="0.3">
      <c r="A1594" t="s">
        <v>92</v>
      </c>
      <c r="B1594">
        <v>20515204165</v>
      </c>
      <c r="C1594" t="s">
        <v>1754</v>
      </c>
      <c r="E1594" s="1">
        <v>45974</v>
      </c>
      <c r="F1594">
        <v>410.38</v>
      </c>
      <c r="G1594" t="s">
        <v>2099</v>
      </c>
      <c r="H1594">
        <f>_xlfn.XLOOKUP(E1594,K:K,L:L)</f>
        <v>6</v>
      </c>
    </row>
    <row r="1595" spans="1:8" x14ac:dyDescent="0.3">
      <c r="A1595" t="s">
        <v>92</v>
      </c>
      <c r="B1595">
        <v>20525171761</v>
      </c>
      <c r="C1595" t="s">
        <v>1755</v>
      </c>
      <c r="E1595" s="1">
        <v>45974</v>
      </c>
      <c r="F1595">
        <v>417.28</v>
      </c>
      <c r="G1595" t="s">
        <v>2099</v>
      </c>
      <c r="H1595">
        <f>_xlfn.XLOOKUP(E1595,K:K,L:L)</f>
        <v>6</v>
      </c>
    </row>
    <row r="1596" spans="1:8" x14ac:dyDescent="0.3">
      <c r="A1596" t="s">
        <v>92</v>
      </c>
      <c r="B1596">
        <v>20541245627</v>
      </c>
      <c r="C1596" t="s">
        <v>1756</v>
      </c>
      <c r="E1596" s="1">
        <v>45974</v>
      </c>
      <c r="F1596">
        <v>129.88999999999999</v>
      </c>
      <c r="G1596" t="s">
        <v>2099</v>
      </c>
      <c r="H1596">
        <f>_xlfn.XLOOKUP(E1596,K:K,L:L)</f>
        <v>6</v>
      </c>
    </row>
    <row r="1597" spans="1:8" x14ac:dyDescent="0.3">
      <c r="A1597" t="s">
        <v>92</v>
      </c>
      <c r="B1597">
        <v>20547689403</v>
      </c>
      <c r="C1597" t="s">
        <v>1757</v>
      </c>
      <c r="E1597" s="1">
        <v>45974</v>
      </c>
      <c r="F1597">
        <v>459.79999999999995</v>
      </c>
      <c r="G1597" t="s">
        <v>2099</v>
      </c>
      <c r="H1597">
        <f>_xlfn.XLOOKUP(E1597,K:K,L:L)</f>
        <v>6</v>
      </c>
    </row>
    <row r="1598" spans="1:8" x14ac:dyDescent="0.3">
      <c r="A1598" t="s">
        <v>92</v>
      </c>
      <c r="B1598">
        <v>20549017470</v>
      </c>
      <c r="C1598" t="s">
        <v>1758</v>
      </c>
      <c r="E1598" s="1">
        <v>45974</v>
      </c>
      <c r="F1598">
        <v>229.89999999999998</v>
      </c>
      <c r="G1598" t="s">
        <v>2099</v>
      </c>
      <c r="H1598">
        <f>_xlfn.XLOOKUP(E1598,K:K,L:L)</f>
        <v>6</v>
      </c>
    </row>
    <row r="1599" spans="1:8" x14ac:dyDescent="0.3">
      <c r="A1599" t="s">
        <v>92</v>
      </c>
      <c r="B1599">
        <v>20601096430</v>
      </c>
      <c r="C1599" t="s">
        <v>1759</v>
      </c>
      <c r="E1599" s="1">
        <v>45974</v>
      </c>
      <c r="F1599">
        <v>457.78</v>
      </c>
      <c r="G1599" t="s">
        <v>2099</v>
      </c>
      <c r="H1599">
        <f>_xlfn.XLOOKUP(E1599,K:K,L:L)</f>
        <v>6</v>
      </c>
    </row>
    <row r="1600" spans="1:8" x14ac:dyDescent="0.3">
      <c r="A1600" t="s">
        <v>92</v>
      </c>
      <c r="B1600">
        <v>20601363691</v>
      </c>
      <c r="C1600" t="s">
        <v>1760</v>
      </c>
      <c r="E1600" s="1">
        <v>45974</v>
      </c>
      <c r="F1600">
        <v>142.88999999999999</v>
      </c>
      <c r="G1600" t="s">
        <v>2099</v>
      </c>
      <c r="H1600">
        <f>_xlfn.XLOOKUP(E1600,K:K,L:L)</f>
        <v>6</v>
      </c>
    </row>
    <row r="1601" spans="1:8" x14ac:dyDescent="0.3">
      <c r="A1601" t="s">
        <v>92</v>
      </c>
      <c r="B1601">
        <v>20601648661</v>
      </c>
      <c r="C1601" t="s">
        <v>1761</v>
      </c>
      <c r="E1601" s="1">
        <v>45974</v>
      </c>
      <c r="F1601">
        <v>129.88999999999999</v>
      </c>
      <c r="G1601" t="s">
        <v>2099</v>
      </c>
      <c r="H1601">
        <f>_xlfn.XLOOKUP(E1601,K:K,L:L)</f>
        <v>6</v>
      </c>
    </row>
    <row r="1602" spans="1:8" x14ac:dyDescent="0.3">
      <c r="A1602" t="s">
        <v>92</v>
      </c>
      <c r="B1602">
        <v>20601864216</v>
      </c>
      <c r="C1602" t="s">
        <v>1762</v>
      </c>
      <c r="E1602" s="1">
        <v>45974</v>
      </c>
      <c r="F1602">
        <v>259.79000000000002</v>
      </c>
      <c r="G1602" t="s">
        <v>2099</v>
      </c>
      <c r="H1602">
        <f>_xlfn.XLOOKUP(E1602,K:K,L:L)</f>
        <v>6</v>
      </c>
    </row>
    <row r="1603" spans="1:8" x14ac:dyDescent="0.3">
      <c r="A1603" t="s">
        <v>92</v>
      </c>
      <c r="B1603">
        <v>20602022308</v>
      </c>
      <c r="C1603" t="s">
        <v>1763</v>
      </c>
      <c r="E1603" s="1">
        <v>45974</v>
      </c>
      <c r="F1603">
        <v>581.36</v>
      </c>
      <c r="G1603" t="s">
        <v>2099</v>
      </c>
      <c r="H1603">
        <f>_xlfn.XLOOKUP(E1603,K:K,L:L)</f>
        <v>6</v>
      </c>
    </row>
    <row r="1604" spans="1:8" x14ac:dyDescent="0.3">
      <c r="A1604" t="s">
        <v>92</v>
      </c>
      <c r="B1604">
        <v>20602331327</v>
      </c>
      <c r="C1604" t="s">
        <v>1764</v>
      </c>
      <c r="E1604" s="1">
        <v>45974</v>
      </c>
      <c r="F1604">
        <v>229.89999999999998</v>
      </c>
      <c r="G1604" t="s">
        <v>2099</v>
      </c>
      <c r="H1604">
        <f>_xlfn.XLOOKUP(E1604,K:K,L:L)</f>
        <v>6</v>
      </c>
    </row>
    <row r="1605" spans="1:8" x14ac:dyDescent="0.3">
      <c r="A1605" t="s">
        <v>92</v>
      </c>
      <c r="B1605">
        <v>20603061081</v>
      </c>
      <c r="C1605" t="s">
        <v>1765</v>
      </c>
      <c r="E1605" s="1">
        <v>45974</v>
      </c>
      <c r="F1605">
        <v>179.48999999999998</v>
      </c>
      <c r="G1605" t="s">
        <v>2099</v>
      </c>
      <c r="H1605">
        <f>_xlfn.XLOOKUP(E1605,K:K,L:L)</f>
        <v>6</v>
      </c>
    </row>
    <row r="1606" spans="1:8" x14ac:dyDescent="0.3">
      <c r="A1606" t="s">
        <v>92</v>
      </c>
      <c r="B1606">
        <v>20603061081</v>
      </c>
      <c r="C1606" t="s">
        <v>1765</v>
      </c>
      <c r="E1606" s="1">
        <v>45974</v>
      </c>
      <c r="F1606">
        <v>162.36000000000001</v>
      </c>
      <c r="G1606" t="s">
        <v>2099</v>
      </c>
      <c r="H1606">
        <f>_xlfn.XLOOKUP(E1606,K:K,L:L)</f>
        <v>6</v>
      </c>
    </row>
    <row r="1607" spans="1:8" x14ac:dyDescent="0.3">
      <c r="A1607" t="s">
        <v>92</v>
      </c>
      <c r="B1607">
        <v>20603122535</v>
      </c>
      <c r="C1607" t="s">
        <v>1766</v>
      </c>
      <c r="E1607" s="1">
        <v>45974</v>
      </c>
      <c r="F1607">
        <v>129.88999999999999</v>
      </c>
      <c r="G1607" t="s">
        <v>2099</v>
      </c>
      <c r="H1607">
        <f>_xlfn.XLOOKUP(E1607,K:K,L:L)</f>
        <v>6</v>
      </c>
    </row>
    <row r="1608" spans="1:8" x14ac:dyDescent="0.3">
      <c r="A1608" t="s">
        <v>92</v>
      </c>
      <c r="B1608">
        <v>20603841418</v>
      </c>
      <c r="C1608" t="s">
        <v>1767</v>
      </c>
      <c r="E1608" s="1">
        <v>45974</v>
      </c>
      <c r="F1608">
        <v>210.95999999999998</v>
      </c>
      <c r="G1608" t="s">
        <v>2099</v>
      </c>
      <c r="H1608">
        <f>_xlfn.XLOOKUP(E1608,K:K,L:L)</f>
        <v>6</v>
      </c>
    </row>
    <row r="1609" spans="1:8" x14ac:dyDescent="0.3">
      <c r="A1609" t="s">
        <v>92</v>
      </c>
      <c r="B1609">
        <v>20603930283</v>
      </c>
      <c r="C1609" t="s">
        <v>1768</v>
      </c>
      <c r="E1609" s="1">
        <v>45974</v>
      </c>
      <c r="F1609">
        <v>206.91</v>
      </c>
      <c r="G1609" t="s">
        <v>2099</v>
      </c>
      <c r="H1609">
        <f>_xlfn.XLOOKUP(E1609,K:K,L:L)</f>
        <v>6</v>
      </c>
    </row>
    <row r="1610" spans="1:8" x14ac:dyDescent="0.3">
      <c r="A1610" t="s">
        <v>92</v>
      </c>
      <c r="B1610">
        <v>20604726906</v>
      </c>
      <c r="C1610" t="s">
        <v>1769</v>
      </c>
      <c r="E1610" s="1">
        <v>45974</v>
      </c>
      <c r="F1610">
        <v>1162.49</v>
      </c>
      <c r="G1610" t="s">
        <v>2099</v>
      </c>
      <c r="H1610">
        <f>_xlfn.XLOOKUP(E1610,K:K,L:L)</f>
        <v>6</v>
      </c>
    </row>
    <row r="1611" spans="1:8" x14ac:dyDescent="0.3">
      <c r="A1611" t="s">
        <v>92</v>
      </c>
      <c r="B1611">
        <v>20605737502</v>
      </c>
      <c r="C1611" t="s">
        <v>1770</v>
      </c>
      <c r="E1611" s="1">
        <v>45974</v>
      </c>
      <c r="F1611">
        <v>241.27</v>
      </c>
      <c r="G1611" t="s">
        <v>2099</v>
      </c>
      <c r="H1611">
        <f>_xlfn.XLOOKUP(E1611,K:K,L:L)</f>
        <v>6</v>
      </c>
    </row>
    <row r="1612" spans="1:8" x14ac:dyDescent="0.3">
      <c r="A1612" t="s">
        <v>92</v>
      </c>
      <c r="B1612">
        <v>20606173351</v>
      </c>
      <c r="C1612" t="s">
        <v>1771</v>
      </c>
      <c r="E1612" s="1">
        <v>45974</v>
      </c>
      <c r="F1612">
        <v>537.54</v>
      </c>
      <c r="G1612" t="s">
        <v>2099</v>
      </c>
      <c r="H1612">
        <f>_xlfn.XLOOKUP(E1612,K:K,L:L)</f>
        <v>6</v>
      </c>
    </row>
    <row r="1613" spans="1:8" x14ac:dyDescent="0.3">
      <c r="A1613" t="s">
        <v>92</v>
      </c>
      <c r="B1613">
        <v>20607965626</v>
      </c>
      <c r="C1613" t="s">
        <v>1772</v>
      </c>
      <c r="E1613" s="1">
        <v>45974</v>
      </c>
      <c r="F1613">
        <v>278.07</v>
      </c>
      <c r="G1613" t="s">
        <v>2099</v>
      </c>
      <c r="H1613">
        <f>_xlfn.XLOOKUP(E1613,K:K,L:L)</f>
        <v>6</v>
      </c>
    </row>
    <row r="1614" spans="1:8" x14ac:dyDescent="0.3">
      <c r="A1614" t="s">
        <v>92</v>
      </c>
      <c r="B1614">
        <v>20608023373</v>
      </c>
      <c r="C1614" t="s">
        <v>1773</v>
      </c>
      <c r="E1614" s="1">
        <v>45974</v>
      </c>
      <c r="F1614">
        <v>129.88999999999999</v>
      </c>
      <c r="G1614" t="s">
        <v>2099</v>
      </c>
      <c r="H1614">
        <f>_xlfn.XLOOKUP(E1614,K:K,L:L)</f>
        <v>6</v>
      </c>
    </row>
    <row r="1615" spans="1:8" x14ac:dyDescent="0.3">
      <c r="A1615" t="s">
        <v>92</v>
      </c>
      <c r="B1615">
        <v>20610390057</v>
      </c>
      <c r="C1615" t="s">
        <v>1774</v>
      </c>
      <c r="E1615" s="1">
        <v>45974</v>
      </c>
      <c r="F1615">
        <v>367.84</v>
      </c>
      <c r="G1615" t="s">
        <v>2099</v>
      </c>
      <c r="H1615">
        <f>_xlfn.XLOOKUP(E1615,K:K,L:L)</f>
        <v>6</v>
      </c>
    </row>
    <row r="1616" spans="1:8" x14ac:dyDescent="0.3">
      <c r="A1616" t="s">
        <v>92</v>
      </c>
      <c r="B1616">
        <v>20610390057</v>
      </c>
      <c r="C1616" t="s">
        <v>1774</v>
      </c>
      <c r="E1616" s="1">
        <v>45974</v>
      </c>
      <c r="F1616">
        <v>406.03000000000003</v>
      </c>
      <c r="G1616" t="s">
        <v>2099</v>
      </c>
      <c r="H1616">
        <f>_xlfn.XLOOKUP(E1616,K:K,L:L)</f>
        <v>6</v>
      </c>
    </row>
    <row r="1617" spans="1:8" x14ac:dyDescent="0.3">
      <c r="A1617" t="s">
        <v>92</v>
      </c>
      <c r="B1617">
        <v>20610900730</v>
      </c>
      <c r="C1617" t="s">
        <v>1775</v>
      </c>
      <c r="E1617" s="1">
        <v>45974</v>
      </c>
      <c r="F1617">
        <v>185.41</v>
      </c>
      <c r="G1617" t="s">
        <v>2099</v>
      </c>
      <c r="H1617">
        <f>_xlfn.XLOOKUP(E1617,K:K,L:L)</f>
        <v>6</v>
      </c>
    </row>
    <row r="1618" spans="1:8" x14ac:dyDescent="0.3">
      <c r="A1618" t="s">
        <v>92</v>
      </c>
      <c r="B1618">
        <v>20612215376</v>
      </c>
      <c r="C1618" t="s">
        <v>1776</v>
      </c>
      <c r="E1618" s="1">
        <v>45974</v>
      </c>
      <c r="F1618">
        <v>259.79000000000002</v>
      </c>
      <c r="G1618" t="s">
        <v>2099</v>
      </c>
      <c r="H1618">
        <f>_xlfn.XLOOKUP(E1618,K:K,L:L)</f>
        <v>6</v>
      </c>
    </row>
    <row r="1619" spans="1:8" x14ac:dyDescent="0.3">
      <c r="A1619" t="s">
        <v>92</v>
      </c>
      <c r="B1619">
        <v>20614142627</v>
      </c>
      <c r="C1619" t="s">
        <v>1777</v>
      </c>
      <c r="E1619" s="1">
        <v>45974</v>
      </c>
      <c r="F1619">
        <v>402.33000000000004</v>
      </c>
      <c r="G1619" t="s">
        <v>2099</v>
      </c>
      <c r="H1619">
        <f>_xlfn.XLOOKUP(E1619,K:K,L:L)</f>
        <v>6</v>
      </c>
    </row>
    <row r="1620" spans="1:8" x14ac:dyDescent="0.3">
      <c r="A1620" t="s">
        <v>92</v>
      </c>
      <c r="B1620">
        <v>10321087952</v>
      </c>
      <c r="C1620" t="s">
        <v>1658</v>
      </c>
      <c r="E1620" s="1">
        <v>45974</v>
      </c>
      <c r="F1620">
        <v>109.32000000000001</v>
      </c>
      <c r="G1620" t="s">
        <v>2099</v>
      </c>
      <c r="H1620">
        <f>_xlfn.XLOOKUP(E1620,K:K,L:L)</f>
        <v>6</v>
      </c>
    </row>
    <row r="1621" spans="1:8" x14ac:dyDescent="0.3">
      <c r="A1621" t="s">
        <v>92</v>
      </c>
      <c r="B1621">
        <v>20411090257</v>
      </c>
      <c r="C1621" t="s">
        <v>1749</v>
      </c>
      <c r="E1621" s="1">
        <v>45974</v>
      </c>
      <c r="F1621">
        <v>131.18</v>
      </c>
      <c r="G1621" t="s">
        <v>2099</v>
      </c>
      <c r="H1621">
        <f>_xlfn.XLOOKUP(E1621,K:K,L:L)</f>
        <v>6</v>
      </c>
    </row>
    <row r="1622" spans="1:8" x14ac:dyDescent="0.3">
      <c r="A1622" t="s">
        <v>92</v>
      </c>
      <c r="B1622">
        <v>20494347742</v>
      </c>
      <c r="C1622" t="s">
        <v>1751</v>
      </c>
      <c r="E1622" s="1">
        <v>45974</v>
      </c>
      <c r="F1622">
        <v>174.13</v>
      </c>
      <c r="G1622" t="s">
        <v>2099</v>
      </c>
      <c r="H1622">
        <f>_xlfn.XLOOKUP(E1622,K:K,L:L)</f>
        <v>6</v>
      </c>
    </row>
    <row r="1623" spans="1:8" x14ac:dyDescent="0.3">
      <c r="A1623" t="s">
        <v>92</v>
      </c>
      <c r="B1623">
        <v>20502446364</v>
      </c>
      <c r="C1623" t="s">
        <v>1778</v>
      </c>
      <c r="E1623" s="1">
        <v>45974</v>
      </c>
      <c r="F1623">
        <v>267</v>
      </c>
      <c r="G1623" t="s">
        <v>2099</v>
      </c>
      <c r="H1623">
        <f>_xlfn.XLOOKUP(E1623,K:K,L:L)</f>
        <v>6</v>
      </c>
    </row>
    <row r="1624" spans="1:8" x14ac:dyDescent="0.3">
      <c r="A1624" t="s">
        <v>92</v>
      </c>
      <c r="B1624">
        <v>20541245627</v>
      </c>
      <c r="C1624" t="s">
        <v>1756</v>
      </c>
      <c r="E1624" s="1">
        <v>45974</v>
      </c>
      <c r="F1624">
        <v>131.18</v>
      </c>
      <c r="G1624" t="s">
        <v>2099</v>
      </c>
      <c r="H1624">
        <f>_xlfn.XLOOKUP(E1624,K:K,L:L)</f>
        <v>6</v>
      </c>
    </row>
    <row r="1625" spans="1:8" x14ac:dyDescent="0.3">
      <c r="A1625" t="s">
        <v>92</v>
      </c>
      <c r="B1625">
        <v>20549017470</v>
      </c>
      <c r="C1625" t="s">
        <v>1758</v>
      </c>
      <c r="E1625" s="1">
        <v>45974</v>
      </c>
      <c r="F1625">
        <v>232.17999999999998</v>
      </c>
      <c r="G1625" t="s">
        <v>2099</v>
      </c>
      <c r="H1625">
        <f>_xlfn.XLOOKUP(E1625,K:K,L:L)</f>
        <v>6</v>
      </c>
    </row>
    <row r="1626" spans="1:8" x14ac:dyDescent="0.3">
      <c r="A1626" t="s">
        <v>92</v>
      </c>
      <c r="B1626">
        <v>20558622068</v>
      </c>
      <c r="C1626" t="s">
        <v>1779</v>
      </c>
      <c r="E1626" s="1">
        <v>45974</v>
      </c>
      <c r="F1626">
        <v>699.54</v>
      </c>
      <c r="G1626" t="s">
        <v>2099</v>
      </c>
      <c r="H1626">
        <f>_xlfn.XLOOKUP(E1626,K:K,L:L)</f>
        <v>6</v>
      </c>
    </row>
    <row r="1627" spans="1:8" x14ac:dyDescent="0.3">
      <c r="A1627" t="s">
        <v>92</v>
      </c>
      <c r="B1627">
        <v>20601363691</v>
      </c>
      <c r="C1627" t="s">
        <v>1760</v>
      </c>
      <c r="E1627" s="1">
        <v>45974</v>
      </c>
      <c r="F1627">
        <v>144.30000000000001</v>
      </c>
      <c r="G1627" t="s">
        <v>2099</v>
      </c>
      <c r="H1627">
        <f>_xlfn.XLOOKUP(E1627,K:K,L:L)</f>
        <v>6</v>
      </c>
    </row>
    <row r="1628" spans="1:8" x14ac:dyDescent="0.3">
      <c r="A1628" t="s">
        <v>92</v>
      </c>
      <c r="B1628">
        <v>20601648661</v>
      </c>
      <c r="C1628" t="s">
        <v>1761</v>
      </c>
      <c r="E1628" s="1">
        <v>45974</v>
      </c>
      <c r="F1628">
        <v>131.18</v>
      </c>
      <c r="G1628" t="s">
        <v>2099</v>
      </c>
      <c r="H1628">
        <f>_xlfn.XLOOKUP(E1628,K:K,L:L)</f>
        <v>6</v>
      </c>
    </row>
    <row r="1629" spans="1:8" x14ac:dyDescent="0.3">
      <c r="A1629" t="s">
        <v>92</v>
      </c>
      <c r="B1629">
        <v>20602024122</v>
      </c>
      <c r="C1629" t="s">
        <v>1780</v>
      </c>
      <c r="E1629" s="1">
        <v>45974</v>
      </c>
      <c r="F1629">
        <v>173.49</v>
      </c>
      <c r="G1629" t="s">
        <v>2099</v>
      </c>
      <c r="H1629">
        <f>_xlfn.XLOOKUP(E1629,K:K,L:L)</f>
        <v>6</v>
      </c>
    </row>
    <row r="1630" spans="1:8" x14ac:dyDescent="0.3">
      <c r="A1630" t="s">
        <v>92</v>
      </c>
      <c r="B1630">
        <v>20608023373</v>
      </c>
      <c r="C1630" t="s">
        <v>1773</v>
      </c>
      <c r="E1630" s="1">
        <v>45974</v>
      </c>
      <c r="F1630">
        <v>131.18</v>
      </c>
      <c r="G1630" t="s">
        <v>2099</v>
      </c>
      <c r="H1630">
        <f>_xlfn.XLOOKUP(E1630,K:K,L:L)</f>
        <v>6</v>
      </c>
    </row>
    <row r="1631" spans="1:8" x14ac:dyDescent="0.3">
      <c r="A1631" t="s">
        <v>92</v>
      </c>
      <c r="B1631">
        <v>20610157450</v>
      </c>
      <c r="C1631" t="s">
        <v>1781</v>
      </c>
      <c r="E1631" s="1">
        <v>45974</v>
      </c>
      <c r="F1631">
        <v>594.66999999999996</v>
      </c>
      <c r="G1631" t="s">
        <v>2099</v>
      </c>
      <c r="H1631">
        <f>_xlfn.XLOOKUP(E1631,K:K,L:L)</f>
        <v>6</v>
      </c>
    </row>
    <row r="1632" spans="1:8" x14ac:dyDescent="0.3">
      <c r="A1632" t="s">
        <v>92</v>
      </c>
      <c r="B1632">
        <v>20610900730</v>
      </c>
      <c r="C1632" t="s">
        <v>1775</v>
      </c>
      <c r="E1632" s="1">
        <v>45974</v>
      </c>
      <c r="F1632">
        <v>187.25</v>
      </c>
      <c r="G1632" t="s">
        <v>2099</v>
      </c>
      <c r="H1632">
        <f>_xlfn.XLOOKUP(E1632,K:K,L:L)</f>
        <v>6</v>
      </c>
    </row>
    <row r="1633" spans="1:8" x14ac:dyDescent="0.3">
      <c r="A1633" t="s">
        <v>92</v>
      </c>
      <c r="B1633">
        <v>20612601772</v>
      </c>
      <c r="C1633" t="s">
        <v>1782</v>
      </c>
      <c r="E1633" s="1">
        <v>45974</v>
      </c>
      <c r="F1633">
        <v>919.92000000000007</v>
      </c>
      <c r="G1633" t="s">
        <v>2099</v>
      </c>
      <c r="H1633">
        <f>_xlfn.XLOOKUP(E1633,K:K,L:L)</f>
        <v>6</v>
      </c>
    </row>
    <row r="1634" spans="1:8" x14ac:dyDescent="0.3">
      <c r="A1634" t="s">
        <v>92</v>
      </c>
      <c r="B1634">
        <v>20613318802</v>
      </c>
      <c r="C1634" t="s">
        <v>1783</v>
      </c>
      <c r="E1634" s="1">
        <v>45974</v>
      </c>
      <c r="F1634">
        <v>262.36</v>
      </c>
      <c r="G1634" t="s">
        <v>2099</v>
      </c>
      <c r="H1634">
        <f>_xlfn.XLOOKUP(E1634,K:K,L:L)</f>
        <v>6</v>
      </c>
    </row>
    <row r="1635" spans="1:8" x14ac:dyDescent="0.3">
      <c r="A1635" t="s">
        <v>92</v>
      </c>
      <c r="B1635">
        <v>20614142627</v>
      </c>
      <c r="C1635" t="s">
        <v>1777</v>
      </c>
      <c r="E1635" s="1">
        <v>45974</v>
      </c>
      <c r="F1635">
        <v>284.42</v>
      </c>
      <c r="G1635" t="s">
        <v>2099</v>
      </c>
      <c r="H1635">
        <f>_xlfn.XLOOKUP(E1635,K:K,L:L)</f>
        <v>6</v>
      </c>
    </row>
    <row r="1636" spans="1:8" x14ac:dyDescent="0.3">
      <c r="A1636" t="s">
        <v>92</v>
      </c>
      <c r="B1636">
        <v>20411090257</v>
      </c>
      <c r="C1636" t="s">
        <v>1749</v>
      </c>
      <c r="E1636" s="1">
        <v>45974</v>
      </c>
      <c r="F1636">
        <v>132.21</v>
      </c>
      <c r="G1636" t="s">
        <v>2099</v>
      </c>
      <c r="H1636">
        <f>_xlfn.XLOOKUP(E1636,K:K,L:L)</f>
        <v>6</v>
      </c>
    </row>
    <row r="1637" spans="1:8" x14ac:dyDescent="0.3">
      <c r="A1637" t="s">
        <v>92</v>
      </c>
      <c r="B1637">
        <v>20494347742</v>
      </c>
      <c r="C1637" t="s">
        <v>1751</v>
      </c>
      <c r="E1637" s="1">
        <v>45974</v>
      </c>
      <c r="F1637">
        <v>175.5</v>
      </c>
      <c r="G1637" t="s">
        <v>2099</v>
      </c>
      <c r="H1637">
        <f>_xlfn.XLOOKUP(E1637,K:K,L:L)</f>
        <v>6</v>
      </c>
    </row>
    <row r="1638" spans="1:8" x14ac:dyDescent="0.3">
      <c r="A1638" t="s">
        <v>92</v>
      </c>
      <c r="B1638">
        <v>20541245627</v>
      </c>
      <c r="C1638" t="s">
        <v>1756</v>
      </c>
      <c r="E1638" s="1">
        <v>45974</v>
      </c>
      <c r="F1638">
        <v>132.21</v>
      </c>
      <c r="G1638" t="s">
        <v>2099</v>
      </c>
      <c r="H1638">
        <f>_xlfn.XLOOKUP(E1638,K:K,L:L)</f>
        <v>6</v>
      </c>
    </row>
    <row r="1639" spans="1:8" x14ac:dyDescent="0.3">
      <c r="A1639" t="s">
        <v>92</v>
      </c>
      <c r="B1639">
        <v>20558622068</v>
      </c>
      <c r="C1639" t="s">
        <v>1779</v>
      </c>
      <c r="E1639" s="1">
        <v>45974</v>
      </c>
      <c r="F1639">
        <v>646.54</v>
      </c>
      <c r="G1639" t="s">
        <v>2099</v>
      </c>
      <c r="H1639">
        <f>_xlfn.XLOOKUP(E1639,K:K,L:L)</f>
        <v>6</v>
      </c>
    </row>
    <row r="1640" spans="1:8" x14ac:dyDescent="0.3">
      <c r="A1640" t="s">
        <v>92</v>
      </c>
      <c r="B1640">
        <v>20600298080</v>
      </c>
      <c r="C1640" t="s">
        <v>1784</v>
      </c>
      <c r="E1640" s="1">
        <v>45974</v>
      </c>
      <c r="F1640">
        <v>292.49</v>
      </c>
      <c r="G1640" t="s">
        <v>2099</v>
      </c>
      <c r="H1640">
        <f>_xlfn.XLOOKUP(E1640,K:K,L:L)</f>
        <v>6</v>
      </c>
    </row>
    <row r="1641" spans="1:8" x14ac:dyDescent="0.3">
      <c r="A1641" t="s">
        <v>92</v>
      </c>
      <c r="B1641">
        <v>20601363691</v>
      </c>
      <c r="C1641" t="s">
        <v>1760</v>
      </c>
      <c r="E1641" s="1">
        <v>45974</v>
      </c>
      <c r="F1641">
        <v>145.42000000000002</v>
      </c>
      <c r="G1641" t="s">
        <v>2099</v>
      </c>
      <c r="H1641">
        <f>_xlfn.XLOOKUP(E1641,K:K,L:L)</f>
        <v>6</v>
      </c>
    </row>
    <row r="1642" spans="1:8" x14ac:dyDescent="0.3">
      <c r="A1642" t="s">
        <v>92</v>
      </c>
      <c r="B1642">
        <v>20608023373</v>
      </c>
      <c r="C1642" t="s">
        <v>1773</v>
      </c>
      <c r="E1642" s="1">
        <v>45974</v>
      </c>
      <c r="F1642">
        <v>132.21</v>
      </c>
      <c r="G1642" t="s">
        <v>2099</v>
      </c>
      <c r="H1642">
        <f>_xlfn.XLOOKUP(E1642,K:K,L:L)</f>
        <v>6</v>
      </c>
    </row>
    <row r="1643" spans="1:8" x14ac:dyDescent="0.3">
      <c r="A1643" t="s">
        <v>92</v>
      </c>
      <c r="B1643">
        <v>20612601772</v>
      </c>
      <c r="C1643" t="s">
        <v>1782</v>
      </c>
      <c r="E1643" s="1">
        <v>45974</v>
      </c>
      <c r="F1643">
        <v>978.17</v>
      </c>
      <c r="G1643" t="s">
        <v>2099</v>
      </c>
      <c r="H1643">
        <f>_xlfn.XLOOKUP(E1643,K:K,L:L)</f>
        <v>6</v>
      </c>
    </row>
    <row r="1644" spans="1:8" x14ac:dyDescent="0.3">
      <c r="A1644" t="s">
        <v>92</v>
      </c>
      <c r="B1644">
        <v>20613318802</v>
      </c>
      <c r="C1644" t="s">
        <v>1783</v>
      </c>
      <c r="E1644" s="1">
        <v>45974</v>
      </c>
      <c r="F1644">
        <v>264.41000000000003</v>
      </c>
      <c r="G1644" t="s">
        <v>2099</v>
      </c>
      <c r="H1644">
        <f>_xlfn.XLOOKUP(E1644,K:K,L:L)</f>
        <v>6</v>
      </c>
    </row>
    <row r="1645" spans="1:8" x14ac:dyDescent="0.3">
      <c r="A1645" t="s">
        <v>92</v>
      </c>
      <c r="B1645">
        <v>20541245627</v>
      </c>
      <c r="C1645" t="s">
        <v>1756</v>
      </c>
      <c r="E1645" s="1">
        <v>45974</v>
      </c>
      <c r="F1645">
        <v>133.49</v>
      </c>
      <c r="G1645" t="s">
        <v>2099</v>
      </c>
      <c r="H1645">
        <f>_xlfn.XLOOKUP(E1645,K:K,L:L)</f>
        <v>6</v>
      </c>
    </row>
    <row r="1646" spans="1:8" x14ac:dyDescent="0.3">
      <c r="A1646" t="s">
        <v>92</v>
      </c>
      <c r="B1646">
        <v>20558622068</v>
      </c>
      <c r="C1646" t="s">
        <v>1779</v>
      </c>
      <c r="E1646" s="1">
        <v>45974</v>
      </c>
      <c r="F1646">
        <v>700.07</v>
      </c>
      <c r="G1646" t="s">
        <v>2099</v>
      </c>
      <c r="H1646">
        <f>_xlfn.XLOOKUP(E1646,K:K,L:L)</f>
        <v>6</v>
      </c>
    </row>
    <row r="1647" spans="1:8" x14ac:dyDescent="0.3">
      <c r="A1647" t="s">
        <v>92</v>
      </c>
      <c r="B1647">
        <v>20600298080</v>
      </c>
      <c r="C1647" t="s">
        <v>1784</v>
      </c>
      <c r="E1647" s="1">
        <v>45974</v>
      </c>
      <c r="F1647">
        <v>295.34000000000003</v>
      </c>
      <c r="G1647" t="s">
        <v>2099</v>
      </c>
      <c r="H1647">
        <f>_xlfn.XLOOKUP(E1647,K:K,L:L)</f>
        <v>6</v>
      </c>
    </row>
    <row r="1648" spans="1:8" x14ac:dyDescent="0.3">
      <c r="A1648" t="s">
        <v>92</v>
      </c>
      <c r="B1648">
        <v>20601363691</v>
      </c>
      <c r="C1648" t="s">
        <v>1760</v>
      </c>
      <c r="E1648" s="1">
        <v>45974</v>
      </c>
      <c r="F1648">
        <v>48.949999999999996</v>
      </c>
      <c r="G1648" t="s">
        <v>2099</v>
      </c>
      <c r="H1648">
        <f>_xlfn.XLOOKUP(E1648,K:K,L:L)</f>
        <v>6</v>
      </c>
    </row>
    <row r="1649" spans="1:8" x14ac:dyDescent="0.3">
      <c r="A1649" t="s">
        <v>92</v>
      </c>
      <c r="B1649">
        <v>20608023373</v>
      </c>
      <c r="C1649" t="s">
        <v>1773</v>
      </c>
      <c r="E1649" s="1">
        <v>45974</v>
      </c>
      <c r="F1649">
        <v>133.49</v>
      </c>
      <c r="G1649" t="s">
        <v>2099</v>
      </c>
      <c r="H1649">
        <f>_xlfn.XLOOKUP(E1649,K:K,L:L)</f>
        <v>6</v>
      </c>
    </row>
    <row r="1650" spans="1:8" x14ac:dyDescent="0.3">
      <c r="A1650" t="s">
        <v>92</v>
      </c>
      <c r="B1650">
        <v>20612601772</v>
      </c>
      <c r="C1650" t="s">
        <v>1782</v>
      </c>
      <c r="E1650" s="1">
        <v>45974</v>
      </c>
      <c r="F1650">
        <v>936.14</v>
      </c>
      <c r="G1650" t="s">
        <v>2099</v>
      </c>
      <c r="H1650">
        <f>_xlfn.XLOOKUP(E1650,K:K,L:L)</f>
        <v>6</v>
      </c>
    </row>
    <row r="1651" spans="1:8" x14ac:dyDescent="0.3">
      <c r="A1651" t="s">
        <v>92</v>
      </c>
      <c r="B1651">
        <v>20541245627</v>
      </c>
      <c r="C1651" t="s">
        <v>1756</v>
      </c>
      <c r="E1651" s="1">
        <v>45974</v>
      </c>
      <c r="F1651">
        <v>134.63999999999999</v>
      </c>
      <c r="G1651" t="s">
        <v>2099</v>
      </c>
      <c r="H1651">
        <f>_xlfn.XLOOKUP(E1651,K:K,L:L)</f>
        <v>6</v>
      </c>
    </row>
    <row r="1652" spans="1:8" x14ac:dyDescent="0.3">
      <c r="A1652" t="s">
        <v>92</v>
      </c>
      <c r="B1652">
        <v>20558622068</v>
      </c>
      <c r="C1652" t="s">
        <v>1779</v>
      </c>
      <c r="E1652" s="1">
        <v>45974</v>
      </c>
      <c r="F1652">
        <v>658.46</v>
      </c>
      <c r="G1652" t="s">
        <v>2099</v>
      </c>
      <c r="H1652">
        <f>_xlfn.XLOOKUP(E1652,K:K,L:L)</f>
        <v>6</v>
      </c>
    </row>
    <row r="1653" spans="1:8" x14ac:dyDescent="0.3">
      <c r="A1653" t="s">
        <v>92</v>
      </c>
      <c r="B1653">
        <v>20558622068</v>
      </c>
      <c r="C1653" t="s">
        <v>1779</v>
      </c>
      <c r="E1653" s="1">
        <v>45974</v>
      </c>
      <c r="F1653">
        <v>664.13</v>
      </c>
      <c r="G1653" t="s">
        <v>2099</v>
      </c>
      <c r="H1653">
        <f>_xlfn.XLOOKUP(E1653,K:K,L:L)</f>
        <v>6</v>
      </c>
    </row>
    <row r="1654" spans="1:8" x14ac:dyDescent="0.3">
      <c r="A1654" t="s">
        <v>92</v>
      </c>
      <c r="B1654">
        <v>20610900730</v>
      </c>
      <c r="C1654" t="s">
        <v>1775</v>
      </c>
      <c r="E1654" s="1">
        <v>45974</v>
      </c>
      <c r="F1654">
        <v>202.88</v>
      </c>
      <c r="G1654" t="s">
        <v>2099</v>
      </c>
      <c r="H1654">
        <f>_xlfn.XLOOKUP(E1654,K:K,L:L)</f>
        <v>6</v>
      </c>
    </row>
    <row r="1655" spans="1:8" x14ac:dyDescent="0.3">
      <c r="A1655" t="s">
        <v>92</v>
      </c>
      <c r="B1655">
        <v>20610900730</v>
      </c>
      <c r="C1655" t="s">
        <v>1775</v>
      </c>
      <c r="E1655" s="1">
        <v>45974</v>
      </c>
      <c r="F1655">
        <v>204.63</v>
      </c>
      <c r="G1655" t="s">
        <v>2099</v>
      </c>
      <c r="H1655">
        <f>_xlfn.XLOOKUP(E1655,K:K,L:L)</f>
        <v>6</v>
      </c>
    </row>
    <row r="1656" spans="1:8" x14ac:dyDescent="0.3">
      <c r="A1656" t="s">
        <v>92</v>
      </c>
      <c r="B1656">
        <v>20610900730</v>
      </c>
      <c r="C1656" t="s">
        <v>1775</v>
      </c>
      <c r="E1656" s="1">
        <v>45974</v>
      </c>
      <c r="F1656">
        <v>206.39000000000001</v>
      </c>
      <c r="G1656" t="s">
        <v>2099</v>
      </c>
      <c r="H1656">
        <f>_xlfn.XLOOKUP(E1656,K:K,L:L)</f>
        <v>6</v>
      </c>
    </row>
    <row r="1657" spans="1:8" x14ac:dyDescent="0.3">
      <c r="A1657" t="s">
        <v>92</v>
      </c>
      <c r="B1657">
        <v>20453989861</v>
      </c>
      <c r="C1657" t="s">
        <v>1750</v>
      </c>
      <c r="E1657" s="1">
        <v>45974</v>
      </c>
      <c r="F1657">
        <v>173.96</v>
      </c>
      <c r="G1657" t="s">
        <v>2099</v>
      </c>
      <c r="H1657">
        <f>_xlfn.XLOOKUP(E1657,K:K,L:L)</f>
        <v>6</v>
      </c>
    </row>
    <row r="1658" spans="1:8" x14ac:dyDescent="0.3">
      <c r="A1658" t="s">
        <v>93</v>
      </c>
      <c r="B1658">
        <v>20440395164</v>
      </c>
      <c r="C1658" t="s">
        <v>2084</v>
      </c>
      <c r="E1658" s="1">
        <v>45974</v>
      </c>
      <c r="F1658">
        <v>229.89999999999998</v>
      </c>
      <c r="G1658" t="s">
        <v>2099</v>
      </c>
      <c r="H1658">
        <f>_xlfn.XLOOKUP(E1658,K:K,L:L)</f>
        <v>6</v>
      </c>
    </row>
    <row r="1659" spans="1:8" x14ac:dyDescent="0.3">
      <c r="A1659" t="s">
        <v>93</v>
      </c>
      <c r="B1659">
        <v>20614385287</v>
      </c>
      <c r="C1659" t="s">
        <v>2085</v>
      </c>
      <c r="E1659" s="1">
        <v>45974</v>
      </c>
      <c r="F1659">
        <v>129.88999999999999</v>
      </c>
      <c r="G1659" t="s">
        <v>2099</v>
      </c>
      <c r="H1659">
        <f>_xlfn.XLOOKUP(E1659,K:K,L:L)</f>
        <v>6</v>
      </c>
    </row>
    <row r="1660" spans="1:8" x14ac:dyDescent="0.3">
      <c r="A1660" t="s">
        <v>93</v>
      </c>
      <c r="B1660">
        <v>20522272591</v>
      </c>
      <c r="C1660" t="s">
        <v>2086</v>
      </c>
      <c r="E1660" s="1">
        <v>45974</v>
      </c>
      <c r="F1660">
        <v>258.14</v>
      </c>
      <c r="G1660" t="s">
        <v>2099</v>
      </c>
      <c r="H1660">
        <f>_xlfn.XLOOKUP(E1660,K:K,L:L)</f>
        <v>6</v>
      </c>
    </row>
    <row r="1661" spans="1:8" x14ac:dyDescent="0.3">
      <c r="A1661" t="s">
        <v>92</v>
      </c>
      <c r="B1661">
        <v>10427930616</v>
      </c>
      <c r="C1661" t="s">
        <v>1785</v>
      </c>
      <c r="E1661" s="1">
        <v>45975</v>
      </c>
      <c r="F1661">
        <v>129.88999999999999</v>
      </c>
      <c r="G1661" t="s">
        <v>2099</v>
      </c>
      <c r="H1661">
        <f>_xlfn.XLOOKUP(E1661,K:K,L:L)</f>
        <v>7</v>
      </c>
    </row>
    <row r="1662" spans="1:8" x14ac:dyDescent="0.3">
      <c r="A1662" t="s">
        <v>92</v>
      </c>
      <c r="B1662">
        <v>20440312137</v>
      </c>
      <c r="C1662" t="s">
        <v>1786</v>
      </c>
      <c r="E1662" s="1">
        <v>45975</v>
      </c>
      <c r="F1662">
        <v>1468.8100000000002</v>
      </c>
      <c r="G1662" t="s">
        <v>2099</v>
      </c>
      <c r="H1662">
        <f>_xlfn.XLOOKUP(E1662,K:K,L:L)</f>
        <v>7</v>
      </c>
    </row>
    <row r="1663" spans="1:8" x14ac:dyDescent="0.3">
      <c r="A1663" t="s">
        <v>92</v>
      </c>
      <c r="B1663">
        <v>20482489851</v>
      </c>
      <c r="C1663" t="s">
        <v>1787</v>
      </c>
      <c r="E1663" s="1">
        <v>45975</v>
      </c>
      <c r="F1663">
        <v>888.11</v>
      </c>
      <c r="G1663" t="s">
        <v>2099</v>
      </c>
      <c r="H1663">
        <f>_xlfn.XLOOKUP(E1663,K:K,L:L)</f>
        <v>7</v>
      </c>
    </row>
    <row r="1664" spans="1:8" x14ac:dyDescent="0.3">
      <c r="A1664" t="s">
        <v>92</v>
      </c>
      <c r="B1664">
        <v>20487914844</v>
      </c>
      <c r="C1664" t="s">
        <v>1788</v>
      </c>
      <c r="E1664" s="1">
        <v>45975</v>
      </c>
      <c r="F1664">
        <v>202.95000000000002</v>
      </c>
      <c r="G1664" t="s">
        <v>2099</v>
      </c>
      <c r="H1664">
        <f>_xlfn.XLOOKUP(E1664,K:K,L:L)</f>
        <v>7</v>
      </c>
    </row>
    <row r="1665" spans="1:8" x14ac:dyDescent="0.3">
      <c r="A1665" t="s">
        <v>92</v>
      </c>
      <c r="B1665">
        <v>20498082913</v>
      </c>
      <c r="C1665" t="s">
        <v>1789</v>
      </c>
      <c r="E1665" s="1">
        <v>45975</v>
      </c>
      <c r="F1665">
        <v>444.84</v>
      </c>
      <c r="G1665" t="s">
        <v>2099</v>
      </c>
      <c r="H1665">
        <f>_xlfn.XLOOKUP(E1665,K:K,L:L)</f>
        <v>7</v>
      </c>
    </row>
    <row r="1666" spans="1:8" x14ac:dyDescent="0.3">
      <c r="A1666" t="s">
        <v>92</v>
      </c>
      <c r="B1666">
        <v>20510202946</v>
      </c>
      <c r="C1666" t="s">
        <v>1790</v>
      </c>
      <c r="E1666" s="1">
        <v>45975</v>
      </c>
      <c r="F1666">
        <v>1305.3799999999999</v>
      </c>
      <c r="G1666" t="s">
        <v>2099</v>
      </c>
      <c r="H1666">
        <f>_xlfn.XLOOKUP(E1666,K:K,L:L)</f>
        <v>7</v>
      </c>
    </row>
    <row r="1667" spans="1:8" x14ac:dyDescent="0.3">
      <c r="A1667" t="s">
        <v>92</v>
      </c>
      <c r="B1667">
        <v>20513487615</v>
      </c>
      <c r="C1667" t="s">
        <v>1791</v>
      </c>
      <c r="E1667" s="1">
        <v>45975</v>
      </c>
      <c r="F1667">
        <v>195.42000000000002</v>
      </c>
      <c r="G1667" t="s">
        <v>2099</v>
      </c>
      <c r="H1667">
        <f>_xlfn.XLOOKUP(E1667,K:K,L:L)</f>
        <v>7</v>
      </c>
    </row>
    <row r="1668" spans="1:8" x14ac:dyDescent="0.3">
      <c r="A1668" t="s">
        <v>92</v>
      </c>
      <c r="B1668">
        <v>20549119043</v>
      </c>
      <c r="C1668" t="s">
        <v>1792</v>
      </c>
      <c r="E1668" s="1">
        <v>45975</v>
      </c>
      <c r="F1668">
        <v>259.79000000000002</v>
      </c>
      <c r="G1668" t="s">
        <v>2099</v>
      </c>
      <c r="H1668">
        <f>_xlfn.XLOOKUP(E1668,K:K,L:L)</f>
        <v>7</v>
      </c>
    </row>
    <row r="1669" spans="1:8" x14ac:dyDescent="0.3">
      <c r="A1669" t="s">
        <v>92</v>
      </c>
      <c r="B1669">
        <v>20557954016</v>
      </c>
      <c r="C1669" t="s">
        <v>1793</v>
      </c>
      <c r="E1669" s="1">
        <v>45975</v>
      </c>
      <c r="F1669">
        <v>229.89999999999998</v>
      </c>
      <c r="G1669" t="s">
        <v>2099</v>
      </c>
      <c r="H1669">
        <f>_xlfn.XLOOKUP(E1669,K:K,L:L)</f>
        <v>7</v>
      </c>
    </row>
    <row r="1670" spans="1:8" x14ac:dyDescent="0.3">
      <c r="A1670" t="s">
        <v>92</v>
      </c>
      <c r="B1670">
        <v>20602024122</v>
      </c>
      <c r="C1670" t="s">
        <v>1780</v>
      </c>
      <c r="E1670" s="1">
        <v>45975</v>
      </c>
      <c r="F1670">
        <v>53.95</v>
      </c>
      <c r="G1670" t="s">
        <v>2099</v>
      </c>
      <c r="H1670">
        <f>_xlfn.XLOOKUP(E1670,K:K,L:L)</f>
        <v>7</v>
      </c>
    </row>
    <row r="1671" spans="1:8" x14ac:dyDescent="0.3">
      <c r="A1671" t="s">
        <v>92</v>
      </c>
      <c r="B1671">
        <v>20602455514</v>
      </c>
      <c r="C1671" t="s">
        <v>1794</v>
      </c>
      <c r="E1671" s="1">
        <v>45975</v>
      </c>
      <c r="F1671">
        <v>259.79000000000002</v>
      </c>
      <c r="G1671" t="s">
        <v>2099</v>
      </c>
      <c r="H1671">
        <f>_xlfn.XLOOKUP(E1671,K:K,L:L)</f>
        <v>7</v>
      </c>
    </row>
    <row r="1672" spans="1:8" x14ac:dyDescent="0.3">
      <c r="A1672" t="s">
        <v>92</v>
      </c>
      <c r="B1672">
        <v>20603078889</v>
      </c>
      <c r="C1672" t="s">
        <v>1795</v>
      </c>
      <c r="E1672" s="1">
        <v>45975</v>
      </c>
      <c r="F1672">
        <v>129.88999999999999</v>
      </c>
      <c r="G1672" t="s">
        <v>2099</v>
      </c>
      <c r="H1672">
        <f>_xlfn.XLOOKUP(E1672,K:K,L:L)</f>
        <v>7</v>
      </c>
    </row>
    <row r="1673" spans="1:8" x14ac:dyDescent="0.3">
      <c r="A1673" t="s">
        <v>92</v>
      </c>
      <c r="B1673">
        <v>20603587023</v>
      </c>
      <c r="C1673" t="s">
        <v>1796</v>
      </c>
      <c r="E1673" s="1">
        <v>45975</v>
      </c>
      <c r="F1673">
        <v>344.85</v>
      </c>
      <c r="G1673" t="s">
        <v>2099</v>
      </c>
      <c r="H1673">
        <f>_xlfn.XLOOKUP(E1673,K:K,L:L)</f>
        <v>7</v>
      </c>
    </row>
    <row r="1674" spans="1:8" x14ac:dyDescent="0.3">
      <c r="A1674" t="s">
        <v>92</v>
      </c>
      <c r="B1674">
        <v>20605965505</v>
      </c>
      <c r="C1674" t="s">
        <v>1797</v>
      </c>
      <c r="E1674" s="1">
        <v>45975</v>
      </c>
      <c r="F1674">
        <v>129.88999999999999</v>
      </c>
      <c r="G1674" t="s">
        <v>2099</v>
      </c>
      <c r="H1674">
        <f>_xlfn.XLOOKUP(E1674,K:K,L:L)</f>
        <v>7</v>
      </c>
    </row>
    <row r="1675" spans="1:8" x14ac:dyDescent="0.3">
      <c r="A1675" t="s">
        <v>92</v>
      </c>
      <c r="B1675">
        <v>20607592927</v>
      </c>
      <c r="C1675" t="s">
        <v>1798</v>
      </c>
      <c r="E1675" s="1">
        <v>45975</v>
      </c>
      <c r="F1675">
        <v>158.38</v>
      </c>
      <c r="G1675" t="s">
        <v>2099</v>
      </c>
      <c r="H1675">
        <f>_xlfn.XLOOKUP(E1675,K:K,L:L)</f>
        <v>7</v>
      </c>
    </row>
    <row r="1676" spans="1:8" x14ac:dyDescent="0.3">
      <c r="A1676" t="s">
        <v>92</v>
      </c>
      <c r="B1676">
        <v>20607965740</v>
      </c>
      <c r="C1676" t="s">
        <v>1799</v>
      </c>
      <c r="E1676" s="1">
        <v>45975</v>
      </c>
      <c r="F1676">
        <v>1001.34</v>
      </c>
      <c r="G1676" t="s">
        <v>2099</v>
      </c>
      <c r="H1676">
        <f>_xlfn.XLOOKUP(E1676,K:K,L:L)</f>
        <v>7</v>
      </c>
    </row>
    <row r="1677" spans="1:8" x14ac:dyDescent="0.3">
      <c r="A1677" t="s">
        <v>92</v>
      </c>
      <c r="B1677">
        <v>20608310143</v>
      </c>
      <c r="C1677" t="s">
        <v>1800</v>
      </c>
      <c r="E1677" s="1">
        <v>45975</v>
      </c>
      <c r="F1677">
        <v>406.84</v>
      </c>
      <c r="G1677" t="s">
        <v>2099</v>
      </c>
      <c r="H1677">
        <f>_xlfn.XLOOKUP(E1677,K:K,L:L)</f>
        <v>7</v>
      </c>
    </row>
    <row r="1678" spans="1:8" x14ac:dyDescent="0.3">
      <c r="A1678" t="s">
        <v>92</v>
      </c>
      <c r="B1678">
        <v>20608683209</v>
      </c>
      <c r="C1678" t="s">
        <v>1801</v>
      </c>
      <c r="E1678" s="1">
        <v>45975</v>
      </c>
      <c r="F1678">
        <v>229.89999999999998</v>
      </c>
      <c r="G1678" t="s">
        <v>2099</v>
      </c>
      <c r="H1678">
        <f>_xlfn.XLOOKUP(E1678,K:K,L:L)</f>
        <v>7</v>
      </c>
    </row>
    <row r="1679" spans="1:8" x14ac:dyDescent="0.3">
      <c r="A1679" t="s">
        <v>92</v>
      </c>
      <c r="B1679">
        <v>20609032333</v>
      </c>
      <c r="C1679" t="s">
        <v>1802</v>
      </c>
      <c r="E1679" s="1">
        <v>45975</v>
      </c>
      <c r="F1679">
        <v>261.93</v>
      </c>
      <c r="G1679" t="s">
        <v>2099</v>
      </c>
      <c r="H1679">
        <f>_xlfn.XLOOKUP(E1679,K:K,L:L)</f>
        <v>7</v>
      </c>
    </row>
    <row r="1680" spans="1:8" x14ac:dyDescent="0.3">
      <c r="A1680" t="s">
        <v>92</v>
      </c>
      <c r="B1680">
        <v>20611662492</v>
      </c>
      <c r="C1680" t="s">
        <v>1803</v>
      </c>
      <c r="E1680" s="1">
        <v>45975</v>
      </c>
      <c r="F1680">
        <v>278.07</v>
      </c>
      <c r="G1680" t="s">
        <v>2099</v>
      </c>
      <c r="H1680">
        <f>_xlfn.XLOOKUP(E1680,K:K,L:L)</f>
        <v>7</v>
      </c>
    </row>
    <row r="1681" spans="1:8" x14ac:dyDescent="0.3">
      <c r="A1681" t="s">
        <v>92</v>
      </c>
      <c r="B1681">
        <v>20611665076</v>
      </c>
      <c r="C1681" t="s">
        <v>1804</v>
      </c>
      <c r="E1681" s="1">
        <v>45975</v>
      </c>
      <c r="F1681">
        <v>595.78</v>
      </c>
      <c r="G1681" t="s">
        <v>2099</v>
      </c>
      <c r="H1681">
        <f>_xlfn.XLOOKUP(E1681,K:K,L:L)</f>
        <v>7</v>
      </c>
    </row>
    <row r="1682" spans="1:8" x14ac:dyDescent="0.3">
      <c r="A1682" t="s">
        <v>92</v>
      </c>
      <c r="B1682">
        <v>20611694394</v>
      </c>
      <c r="C1682" t="s">
        <v>1805</v>
      </c>
      <c r="E1682" s="1">
        <v>45975</v>
      </c>
      <c r="F1682">
        <v>259.79000000000002</v>
      </c>
      <c r="G1682" t="s">
        <v>2099</v>
      </c>
      <c r="H1682">
        <f>_xlfn.XLOOKUP(E1682,K:K,L:L)</f>
        <v>7</v>
      </c>
    </row>
    <row r="1683" spans="1:8" x14ac:dyDescent="0.3">
      <c r="A1683" t="s">
        <v>92</v>
      </c>
      <c r="B1683">
        <v>20612404454</v>
      </c>
      <c r="C1683" t="s">
        <v>1806</v>
      </c>
      <c r="E1683" s="1">
        <v>45975</v>
      </c>
      <c r="F1683">
        <v>459.79999999999995</v>
      </c>
      <c r="G1683" t="s">
        <v>2099</v>
      </c>
      <c r="H1683">
        <f>_xlfn.XLOOKUP(E1683,K:K,L:L)</f>
        <v>7</v>
      </c>
    </row>
    <row r="1684" spans="1:8" x14ac:dyDescent="0.3">
      <c r="A1684" t="s">
        <v>92</v>
      </c>
      <c r="B1684">
        <v>20613176528</v>
      </c>
      <c r="C1684" t="s">
        <v>1807</v>
      </c>
      <c r="E1684" s="1">
        <v>45975</v>
      </c>
      <c r="F1684">
        <v>516.9</v>
      </c>
      <c r="G1684" t="s">
        <v>2099</v>
      </c>
      <c r="H1684">
        <f>_xlfn.XLOOKUP(E1684,K:K,L:L)</f>
        <v>7</v>
      </c>
    </row>
    <row r="1685" spans="1:8" x14ac:dyDescent="0.3">
      <c r="A1685" t="s">
        <v>92</v>
      </c>
      <c r="B1685">
        <v>10427930616</v>
      </c>
      <c r="C1685" t="s">
        <v>1785</v>
      </c>
      <c r="E1685" s="1">
        <v>45975</v>
      </c>
      <c r="F1685">
        <v>131.18</v>
      </c>
      <c r="G1685" t="s">
        <v>2099</v>
      </c>
      <c r="H1685">
        <f>_xlfn.XLOOKUP(E1685,K:K,L:L)</f>
        <v>7</v>
      </c>
    </row>
    <row r="1686" spans="1:8" x14ac:dyDescent="0.3">
      <c r="A1686" t="s">
        <v>92</v>
      </c>
      <c r="B1686">
        <v>20513487615</v>
      </c>
      <c r="C1686" t="s">
        <v>1791</v>
      </c>
      <c r="E1686" s="1">
        <v>45975</v>
      </c>
      <c r="F1686">
        <v>197.35</v>
      </c>
      <c r="G1686" t="s">
        <v>2099</v>
      </c>
      <c r="H1686">
        <f>_xlfn.XLOOKUP(E1686,K:K,L:L)</f>
        <v>7</v>
      </c>
    </row>
    <row r="1687" spans="1:8" x14ac:dyDescent="0.3">
      <c r="A1687" t="s">
        <v>92</v>
      </c>
      <c r="B1687">
        <v>20519215854</v>
      </c>
      <c r="C1687" t="s">
        <v>1808</v>
      </c>
      <c r="E1687" s="1">
        <v>45975</v>
      </c>
      <c r="F1687">
        <v>139.31</v>
      </c>
      <c r="G1687" t="s">
        <v>2099</v>
      </c>
      <c r="H1687">
        <f>_xlfn.XLOOKUP(E1687,K:K,L:L)</f>
        <v>7</v>
      </c>
    </row>
    <row r="1688" spans="1:8" x14ac:dyDescent="0.3">
      <c r="A1688" t="s">
        <v>92</v>
      </c>
      <c r="B1688">
        <v>20603078889</v>
      </c>
      <c r="C1688" t="s">
        <v>1795</v>
      </c>
      <c r="E1688" s="1">
        <v>45975</v>
      </c>
      <c r="F1688">
        <v>131.18</v>
      </c>
      <c r="G1688" t="s">
        <v>2099</v>
      </c>
      <c r="H1688">
        <f>_xlfn.XLOOKUP(E1688,K:K,L:L)</f>
        <v>7</v>
      </c>
    </row>
    <row r="1689" spans="1:8" x14ac:dyDescent="0.3">
      <c r="A1689" t="s">
        <v>92</v>
      </c>
      <c r="B1689">
        <v>20603122535</v>
      </c>
      <c r="C1689" t="s">
        <v>1766</v>
      </c>
      <c r="E1689" s="1">
        <v>45975</v>
      </c>
      <c r="F1689">
        <v>131.18</v>
      </c>
      <c r="G1689" t="s">
        <v>2099</v>
      </c>
      <c r="H1689">
        <f>_xlfn.XLOOKUP(E1689,K:K,L:L)</f>
        <v>7</v>
      </c>
    </row>
    <row r="1690" spans="1:8" x14ac:dyDescent="0.3">
      <c r="A1690" t="s">
        <v>92</v>
      </c>
      <c r="B1690">
        <v>20603587023</v>
      </c>
      <c r="C1690" t="s">
        <v>1796</v>
      </c>
      <c r="E1690" s="1">
        <v>45975</v>
      </c>
      <c r="F1690">
        <v>348.26</v>
      </c>
      <c r="G1690" t="s">
        <v>2099</v>
      </c>
      <c r="H1690">
        <f>_xlfn.XLOOKUP(E1690,K:K,L:L)</f>
        <v>7</v>
      </c>
    </row>
    <row r="1691" spans="1:8" x14ac:dyDescent="0.3">
      <c r="A1691" t="s">
        <v>92</v>
      </c>
      <c r="B1691">
        <v>20605965505</v>
      </c>
      <c r="C1691" t="s">
        <v>1797</v>
      </c>
      <c r="E1691" s="1">
        <v>45975</v>
      </c>
      <c r="F1691">
        <v>126.78999999999999</v>
      </c>
      <c r="G1691" t="s">
        <v>2099</v>
      </c>
      <c r="H1691">
        <f>_xlfn.XLOOKUP(E1691,K:K,L:L)</f>
        <v>7</v>
      </c>
    </row>
    <row r="1692" spans="1:8" x14ac:dyDescent="0.3">
      <c r="A1692" t="s">
        <v>92</v>
      </c>
      <c r="B1692">
        <v>20607592927</v>
      </c>
      <c r="C1692" t="s">
        <v>1798</v>
      </c>
      <c r="E1692" s="1">
        <v>45975</v>
      </c>
      <c r="F1692">
        <v>160.38</v>
      </c>
      <c r="G1692" t="s">
        <v>2099</v>
      </c>
      <c r="H1692">
        <f>_xlfn.XLOOKUP(E1692,K:K,L:L)</f>
        <v>7</v>
      </c>
    </row>
    <row r="1693" spans="1:8" x14ac:dyDescent="0.3">
      <c r="A1693" t="s">
        <v>92</v>
      </c>
      <c r="B1693">
        <v>20611659131</v>
      </c>
      <c r="C1693" t="s">
        <v>1809</v>
      </c>
      <c r="E1693" s="1">
        <v>45975</v>
      </c>
      <c r="F1693">
        <v>262.36</v>
      </c>
      <c r="G1693" t="s">
        <v>2099</v>
      </c>
      <c r="H1693">
        <f>_xlfn.XLOOKUP(E1693,K:K,L:L)</f>
        <v>7</v>
      </c>
    </row>
    <row r="1694" spans="1:8" x14ac:dyDescent="0.3">
      <c r="A1694" t="s">
        <v>92</v>
      </c>
      <c r="B1694">
        <v>20611694394</v>
      </c>
      <c r="C1694" t="s">
        <v>1805</v>
      </c>
      <c r="E1694" s="1">
        <v>45975</v>
      </c>
      <c r="F1694">
        <v>262.36</v>
      </c>
      <c r="G1694" t="s">
        <v>2099</v>
      </c>
      <c r="H1694">
        <f>_xlfn.XLOOKUP(E1694,K:K,L:L)</f>
        <v>7</v>
      </c>
    </row>
    <row r="1695" spans="1:8" x14ac:dyDescent="0.3">
      <c r="A1695" t="s">
        <v>92</v>
      </c>
      <c r="B1695">
        <v>20612873497</v>
      </c>
      <c r="C1695" t="s">
        <v>1810</v>
      </c>
      <c r="E1695" s="1">
        <v>45975</v>
      </c>
      <c r="F1695">
        <v>262.36</v>
      </c>
      <c r="G1695" t="s">
        <v>2099</v>
      </c>
      <c r="H1695">
        <f>_xlfn.XLOOKUP(E1695,K:K,L:L)</f>
        <v>7</v>
      </c>
    </row>
    <row r="1696" spans="1:8" x14ac:dyDescent="0.3">
      <c r="A1696" t="s">
        <v>92</v>
      </c>
      <c r="B1696">
        <v>20482489851</v>
      </c>
      <c r="C1696" t="s">
        <v>1787</v>
      </c>
      <c r="E1696" s="1">
        <v>45975</v>
      </c>
      <c r="F1696">
        <v>656.71</v>
      </c>
      <c r="G1696" t="s">
        <v>2099</v>
      </c>
      <c r="H1696">
        <f>_xlfn.XLOOKUP(E1696,K:K,L:L)</f>
        <v>7</v>
      </c>
    </row>
    <row r="1697" spans="1:8" x14ac:dyDescent="0.3">
      <c r="A1697" t="s">
        <v>92</v>
      </c>
      <c r="B1697">
        <v>20513487615</v>
      </c>
      <c r="C1697" t="s">
        <v>1791</v>
      </c>
      <c r="E1697" s="1">
        <v>45975</v>
      </c>
      <c r="F1697">
        <v>198.9</v>
      </c>
      <c r="G1697" t="s">
        <v>2099</v>
      </c>
      <c r="H1697">
        <f>_xlfn.XLOOKUP(E1697,K:K,L:L)</f>
        <v>7</v>
      </c>
    </row>
    <row r="1698" spans="1:8" x14ac:dyDescent="0.3">
      <c r="A1698" t="s">
        <v>92</v>
      </c>
      <c r="B1698">
        <v>20603078889</v>
      </c>
      <c r="C1698" t="s">
        <v>1795</v>
      </c>
      <c r="E1698" s="1">
        <v>45975</v>
      </c>
      <c r="F1698">
        <v>132.21</v>
      </c>
      <c r="G1698" t="s">
        <v>2099</v>
      </c>
      <c r="H1698">
        <f>_xlfn.XLOOKUP(E1698,K:K,L:L)</f>
        <v>7</v>
      </c>
    </row>
    <row r="1699" spans="1:8" x14ac:dyDescent="0.3">
      <c r="A1699" t="s">
        <v>92</v>
      </c>
      <c r="B1699">
        <v>20603122535</v>
      </c>
      <c r="C1699" t="s">
        <v>1766</v>
      </c>
      <c r="E1699" s="1">
        <v>45975</v>
      </c>
      <c r="F1699">
        <v>132.21</v>
      </c>
      <c r="G1699" t="s">
        <v>2099</v>
      </c>
      <c r="H1699">
        <f>_xlfn.XLOOKUP(E1699,K:K,L:L)</f>
        <v>7</v>
      </c>
    </row>
    <row r="1700" spans="1:8" x14ac:dyDescent="0.3">
      <c r="A1700" t="s">
        <v>92</v>
      </c>
      <c r="B1700">
        <v>20604136548</v>
      </c>
      <c r="C1700" t="s">
        <v>1811</v>
      </c>
      <c r="E1700" s="1">
        <v>45975</v>
      </c>
      <c r="F1700">
        <v>163.80000000000001</v>
      </c>
      <c r="G1700" t="s">
        <v>2099</v>
      </c>
      <c r="H1700">
        <f>_xlfn.XLOOKUP(E1700,K:K,L:L)</f>
        <v>7</v>
      </c>
    </row>
    <row r="1701" spans="1:8" x14ac:dyDescent="0.3">
      <c r="A1701" t="s">
        <v>92</v>
      </c>
      <c r="B1701">
        <v>20607592927</v>
      </c>
      <c r="C1701" t="s">
        <v>1798</v>
      </c>
      <c r="E1701" s="1">
        <v>45975</v>
      </c>
      <c r="F1701">
        <v>163.80000000000001</v>
      </c>
      <c r="G1701" t="s">
        <v>2099</v>
      </c>
      <c r="H1701">
        <f>_xlfn.XLOOKUP(E1701,K:K,L:L)</f>
        <v>7</v>
      </c>
    </row>
    <row r="1702" spans="1:8" x14ac:dyDescent="0.3">
      <c r="A1702" t="s">
        <v>92</v>
      </c>
      <c r="B1702">
        <v>20611694394</v>
      </c>
      <c r="C1702" t="s">
        <v>1805</v>
      </c>
      <c r="E1702" s="1">
        <v>45975</v>
      </c>
      <c r="F1702">
        <v>264.41000000000003</v>
      </c>
      <c r="G1702" t="s">
        <v>2099</v>
      </c>
      <c r="H1702">
        <f>_xlfn.XLOOKUP(E1702,K:K,L:L)</f>
        <v>7</v>
      </c>
    </row>
    <row r="1703" spans="1:8" x14ac:dyDescent="0.3">
      <c r="A1703" t="s">
        <v>92</v>
      </c>
      <c r="B1703">
        <v>20603078889</v>
      </c>
      <c r="C1703" t="s">
        <v>1795</v>
      </c>
      <c r="E1703" s="1">
        <v>45975</v>
      </c>
      <c r="F1703">
        <v>133.49</v>
      </c>
      <c r="G1703" t="s">
        <v>2099</v>
      </c>
      <c r="H1703">
        <f>_xlfn.XLOOKUP(E1703,K:K,L:L)</f>
        <v>7</v>
      </c>
    </row>
    <row r="1704" spans="1:8" x14ac:dyDescent="0.3">
      <c r="A1704" t="s">
        <v>92</v>
      </c>
      <c r="B1704">
        <v>20603122535</v>
      </c>
      <c r="C1704" t="s">
        <v>1766</v>
      </c>
      <c r="E1704" s="1">
        <v>45975</v>
      </c>
      <c r="F1704">
        <v>133.49</v>
      </c>
      <c r="G1704" t="s">
        <v>2099</v>
      </c>
      <c r="H1704">
        <f>_xlfn.XLOOKUP(E1704,K:K,L:L)</f>
        <v>7</v>
      </c>
    </row>
    <row r="1705" spans="1:8" x14ac:dyDescent="0.3">
      <c r="A1705" t="s">
        <v>92</v>
      </c>
      <c r="B1705">
        <v>20603587023</v>
      </c>
      <c r="C1705" t="s">
        <v>1796</v>
      </c>
      <c r="E1705" s="1">
        <v>45975</v>
      </c>
      <c r="F1705">
        <v>354.4</v>
      </c>
      <c r="G1705" t="s">
        <v>2099</v>
      </c>
      <c r="H1705">
        <f>_xlfn.XLOOKUP(E1705,K:K,L:L)</f>
        <v>7</v>
      </c>
    </row>
    <row r="1706" spans="1:8" x14ac:dyDescent="0.3">
      <c r="A1706" t="s">
        <v>92</v>
      </c>
      <c r="B1706">
        <v>20604136548</v>
      </c>
      <c r="C1706" t="s">
        <v>1811</v>
      </c>
      <c r="E1706" s="1">
        <v>45975</v>
      </c>
      <c r="F1706">
        <v>165.39000000000001</v>
      </c>
      <c r="G1706" t="s">
        <v>2099</v>
      </c>
      <c r="H1706">
        <f>_xlfn.XLOOKUP(E1706,K:K,L:L)</f>
        <v>7</v>
      </c>
    </row>
    <row r="1707" spans="1:8" x14ac:dyDescent="0.3">
      <c r="A1707" t="s">
        <v>92</v>
      </c>
      <c r="B1707">
        <v>20607592927</v>
      </c>
      <c r="C1707" t="s">
        <v>1798</v>
      </c>
      <c r="E1707" s="1">
        <v>45975</v>
      </c>
      <c r="F1707">
        <v>165.39000000000001</v>
      </c>
      <c r="G1707" t="s">
        <v>2099</v>
      </c>
      <c r="H1707">
        <f>_xlfn.XLOOKUP(E1707,K:K,L:L)</f>
        <v>7</v>
      </c>
    </row>
    <row r="1708" spans="1:8" x14ac:dyDescent="0.3">
      <c r="A1708" t="s">
        <v>92</v>
      </c>
      <c r="B1708">
        <v>20609498880</v>
      </c>
      <c r="C1708" t="s">
        <v>1812</v>
      </c>
      <c r="E1708" s="1">
        <v>45975</v>
      </c>
      <c r="F1708">
        <v>266.98</v>
      </c>
      <c r="G1708" t="s">
        <v>2099</v>
      </c>
      <c r="H1708">
        <f>_xlfn.XLOOKUP(E1708,K:K,L:L)</f>
        <v>7</v>
      </c>
    </row>
    <row r="1709" spans="1:8" x14ac:dyDescent="0.3">
      <c r="A1709" t="s">
        <v>92</v>
      </c>
      <c r="B1709">
        <v>20610769773</v>
      </c>
      <c r="C1709" t="s">
        <v>1813</v>
      </c>
      <c r="E1709" s="1">
        <v>45975</v>
      </c>
      <c r="F1709">
        <v>133.49</v>
      </c>
      <c r="G1709" t="s">
        <v>2099</v>
      </c>
      <c r="H1709">
        <f>_xlfn.XLOOKUP(E1709,K:K,L:L)</f>
        <v>7</v>
      </c>
    </row>
    <row r="1710" spans="1:8" x14ac:dyDescent="0.3">
      <c r="A1710" t="s">
        <v>92</v>
      </c>
      <c r="B1710">
        <v>20611694394</v>
      </c>
      <c r="C1710" t="s">
        <v>1805</v>
      </c>
      <c r="E1710" s="1">
        <v>45975</v>
      </c>
      <c r="F1710">
        <v>266.98</v>
      </c>
      <c r="G1710" t="s">
        <v>2099</v>
      </c>
      <c r="H1710">
        <f>_xlfn.XLOOKUP(E1710,K:K,L:L)</f>
        <v>7</v>
      </c>
    </row>
    <row r="1711" spans="1:8" x14ac:dyDescent="0.3">
      <c r="A1711" t="s">
        <v>92</v>
      </c>
      <c r="B1711">
        <v>20603078889</v>
      </c>
      <c r="C1711" t="s">
        <v>1795</v>
      </c>
      <c r="E1711" s="1">
        <v>45975</v>
      </c>
      <c r="F1711">
        <v>134.63999999999999</v>
      </c>
      <c r="G1711" t="s">
        <v>2099</v>
      </c>
      <c r="H1711">
        <f>_xlfn.XLOOKUP(E1711,K:K,L:L)</f>
        <v>7</v>
      </c>
    </row>
    <row r="1712" spans="1:8" x14ac:dyDescent="0.3">
      <c r="A1712" t="s">
        <v>92</v>
      </c>
      <c r="B1712">
        <v>20603122535</v>
      </c>
      <c r="C1712" t="s">
        <v>1766</v>
      </c>
      <c r="E1712" s="1">
        <v>45975</v>
      </c>
      <c r="F1712">
        <v>134.63999999999999</v>
      </c>
      <c r="G1712" t="s">
        <v>2099</v>
      </c>
      <c r="H1712">
        <f>_xlfn.XLOOKUP(E1712,K:K,L:L)</f>
        <v>7</v>
      </c>
    </row>
    <row r="1713" spans="1:8" x14ac:dyDescent="0.3">
      <c r="A1713" t="s">
        <v>92</v>
      </c>
      <c r="B1713">
        <v>20607592927</v>
      </c>
      <c r="C1713" t="s">
        <v>1798</v>
      </c>
      <c r="E1713" s="1">
        <v>45975</v>
      </c>
      <c r="F1713">
        <v>256.83</v>
      </c>
      <c r="G1713" t="s">
        <v>2099</v>
      </c>
      <c r="H1713">
        <f>_xlfn.XLOOKUP(E1713,K:K,L:L)</f>
        <v>7</v>
      </c>
    </row>
    <row r="1714" spans="1:8" x14ac:dyDescent="0.3">
      <c r="A1714" t="s">
        <v>92</v>
      </c>
      <c r="B1714">
        <v>20609498880</v>
      </c>
      <c r="C1714" t="s">
        <v>1812</v>
      </c>
      <c r="E1714" s="1">
        <v>45975</v>
      </c>
      <c r="F1714">
        <v>370.86</v>
      </c>
      <c r="G1714" t="s">
        <v>2099</v>
      </c>
      <c r="H1714">
        <f>_xlfn.XLOOKUP(E1714,K:K,L:L)</f>
        <v>7</v>
      </c>
    </row>
    <row r="1715" spans="1:8" x14ac:dyDescent="0.3">
      <c r="A1715" t="s">
        <v>92</v>
      </c>
      <c r="B1715">
        <v>20610769773</v>
      </c>
      <c r="C1715" t="s">
        <v>1813</v>
      </c>
      <c r="E1715" s="1">
        <v>45975</v>
      </c>
      <c r="F1715">
        <v>134.63999999999999</v>
      </c>
      <c r="G1715" t="s">
        <v>2099</v>
      </c>
      <c r="H1715">
        <f>_xlfn.XLOOKUP(E1715,K:K,L:L)</f>
        <v>7</v>
      </c>
    </row>
    <row r="1716" spans="1:8" x14ac:dyDescent="0.3">
      <c r="A1716" t="s">
        <v>92</v>
      </c>
      <c r="B1716">
        <v>20611694394</v>
      </c>
      <c r="C1716" t="s">
        <v>1805</v>
      </c>
      <c r="E1716" s="1">
        <v>45975</v>
      </c>
      <c r="F1716">
        <v>269.3</v>
      </c>
      <c r="G1716" t="s">
        <v>2099</v>
      </c>
      <c r="H1716">
        <f>_xlfn.XLOOKUP(E1716,K:K,L:L)</f>
        <v>7</v>
      </c>
    </row>
    <row r="1717" spans="1:8" x14ac:dyDescent="0.3">
      <c r="A1717" t="s">
        <v>92</v>
      </c>
      <c r="B1717">
        <v>10736183191</v>
      </c>
      <c r="C1717" t="s">
        <v>1814</v>
      </c>
      <c r="E1717" s="1">
        <v>45975</v>
      </c>
      <c r="F1717">
        <v>135.80000000000001</v>
      </c>
      <c r="G1717" t="s">
        <v>2099</v>
      </c>
      <c r="H1717">
        <f>_xlfn.XLOOKUP(E1717,K:K,L:L)</f>
        <v>7</v>
      </c>
    </row>
    <row r="1718" spans="1:8" x14ac:dyDescent="0.3">
      <c r="A1718" t="s">
        <v>92</v>
      </c>
      <c r="B1718">
        <v>20603078889</v>
      </c>
      <c r="C1718" t="s">
        <v>1795</v>
      </c>
      <c r="E1718" s="1">
        <v>45975</v>
      </c>
      <c r="F1718">
        <v>135.80000000000001</v>
      </c>
      <c r="G1718" t="s">
        <v>2099</v>
      </c>
      <c r="H1718">
        <f>_xlfn.XLOOKUP(E1718,K:K,L:L)</f>
        <v>7</v>
      </c>
    </row>
    <row r="1719" spans="1:8" x14ac:dyDescent="0.3">
      <c r="A1719" t="s">
        <v>92</v>
      </c>
      <c r="B1719">
        <v>20603122535</v>
      </c>
      <c r="C1719" t="s">
        <v>1766</v>
      </c>
      <c r="E1719" s="1">
        <v>45975</v>
      </c>
      <c r="F1719">
        <v>135.80000000000001</v>
      </c>
      <c r="G1719" t="s">
        <v>2099</v>
      </c>
      <c r="H1719">
        <f>_xlfn.XLOOKUP(E1719,K:K,L:L)</f>
        <v>7</v>
      </c>
    </row>
    <row r="1720" spans="1:8" x14ac:dyDescent="0.3">
      <c r="A1720" t="s">
        <v>92</v>
      </c>
      <c r="B1720">
        <v>20604136548</v>
      </c>
      <c r="C1720" t="s">
        <v>1811</v>
      </c>
      <c r="E1720" s="1">
        <v>45975</v>
      </c>
      <c r="F1720">
        <v>168.25</v>
      </c>
      <c r="G1720" t="s">
        <v>2099</v>
      </c>
      <c r="H1720">
        <f>_xlfn.XLOOKUP(E1720,K:K,L:L)</f>
        <v>7</v>
      </c>
    </row>
    <row r="1721" spans="1:8" x14ac:dyDescent="0.3">
      <c r="A1721" t="s">
        <v>92</v>
      </c>
      <c r="B1721">
        <v>20607592927</v>
      </c>
      <c r="C1721" t="s">
        <v>1798</v>
      </c>
      <c r="E1721" s="1">
        <v>45975</v>
      </c>
      <c r="F1721">
        <v>164.68</v>
      </c>
      <c r="G1721" t="s">
        <v>2099</v>
      </c>
      <c r="H1721">
        <f>_xlfn.XLOOKUP(E1721,K:K,L:L)</f>
        <v>7</v>
      </c>
    </row>
    <row r="1722" spans="1:8" x14ac:dyDescent="0.3">
      <c r="A1722" t="s">
        <v>92</v>
      </c>
      <c r="B1722">
        <v>20609498880</v>
      </c>
      <c r="C1722" t="s">
        <v>1812</v>
      </c>
      <c r="E1722" s="1">
        <v>45975</v>
      </c>
      <c r="F1722">
        <v>407.40999999999997</v>
      </c>
      <c r="G1722" t="s">
        <v>2099</v>
      </c>
      <c r="H1722">
        <f>_xlfn.XLOOKUP(E1722,K:K,L:L)</f>
        <v>7</v>
      </c>
    </row>
    <row r="1723" spans="1:8" x14ac:dyDescent="0.3">
      <c r="A1723" t="s">
        <v>92</v>
      </c>
      <c r="B1723">
        <v>20610769773</v>
      </c>
      <c r="C1723" t="s">
        <v>1813</v>
      </c>
      <c r="E1723" s="1">
        <v>45975</v>
      </c>
      <c r="F1723">
        <v>135.80000000000001</v>
      </c>
      <c r="G1723" t="s">
        <v>2099</v>
      </c>
      <c r="H1723">
        <f>_xlfn.XLOOKUP(E1723,K:K,L:L)</f>
        <v>7</v>
      </c>
    </row>
    <row r="1724" spans="1:8" x14ac:dyDescent="0.3">
      <c r="A1724" t="s">
        <v>92</v>
      </c>
      <c r="B1724">
        <v>10736183191</v>
      </c>
      <c r="C1724" t="s">
        <v>1814</v>
      </c>
      <c r="E1724" s="1">
        <v>45975</v>
      </c>
      <c r="F1724">
        <v>136.95999999999998</v>
      </c>
      <c r="G1724" t="s">
        <v>2099</v>
      </c>
      <c r="H1724">
        <f>_xlfn.XLOOKUP(E1724,K:K,L:L)</f>
        <v>7</v>
      </c>
    </row>
    <row r="1725" spans="1:8" x14ac:dyDescent="0.3">
      <c r="A1725" t="s">
        <v>92</v>
      </c>
      <c r="B1725">
        <v>20607592927</v>
      </c>
      <c r="C1725" t="s">
        <v>1798</v>
      </c>
      <c r="E1725" s="1">
        <v>45975</v>
      </c>
      <c r="F1725">
        <v>242.17000000000002</v>
      </c>
      <c r="G1725" t="s">
        <v>2099</v>
      </c>
      <c r="H1725">
        <f>_xlfn.XLOOKUP(E1725,K:K,L:L)</f>
        <v>7</v>
      </c>
    </row>
    <row r="1726" spans="1:8" x14ac:dyDescent="0.3">
      <c r="A1726" t="s">
        <v>92</v>
      </c>
      <c r="B1726">
        <v>20609498880</v>
      </c>
      <c r="C1726" t="s">
        <v>1812</v>
      </c>
      <c r="E1726" s="1">
        <v>45975</v>
      </c>
      <c r="F1726">
        <v>410.88</v>
      </c>
      <c r="G1726" t="s">
        <v>2099</v>
      </c>
      <c r="H1726">
        <f>_xlfn.XLOOKUP(E1726,K:K,L:L)</f>
        <v>7</v>
      </c>
    </row>
    <row r="1727" spans="1:8" x14ac:dyDescent="0.3">
      <c r="A1727" t="s">
        <v>92</v>
      </c>
      <c r="B1727">
        <v>20610769773</v>
      </c>
      <c r="C1727" t="s">
        <v>1813</v>
      </c>
      <c r="E1727" s="1">
        <v>45975</v>
      </c>
      <c r="F1727">
        <v>136.95999999999998</v>
      </c>
      <c r="G1727" t="s">
        <v>2099</v>
      </c>
      <c r="H1727">
        <f>_xlfn.XLOOKUP(E1727,K:K,L:L)</f>
        <v>7</v>
      </c>
    </row>
    <row r="1728" spans="1:8" x14ac:dyDescent="0.3">
      <c r="A1728" t="s">
        <v>92</v>
      </c>
      <c r="B1728">
        <v>20610769773</v>
      </c>
      <c r="C1728" t="s">
        <v>1813</v>
      </c>
      <c r="E1728" s="1">
        <v>45975</v>
      </c>
      <c r="F1728">
        <v>138.25</v>
      </c>
      <c r="G1728" t="s">
        <v>2099</v>
      </c>
      <c r="H1728">
        <f>_xlfn.XLOOKUP(E1728,K:K,L:L)</f>
        <v>7</v>
      </c>
    </row>
    <row r="1729" spans="1:8" x14ac:dyDescent="0.3">
      <c r="A1729" t="s">
        <v>92</v>
      </c>
      <c r="B1729">
        <v>20610769773</v>
      </c>
      <c r="C1729" t="s">
        <v>1813</v>
      </c>
      <c r="E1729" s="1">
        <v>45975</v>
      </c>
      <c r="F1729">
        <v>139.26999999999998</v>
      </c>
      <c r="G1729" t="s">
        <v>2099</v>
      </c>
      <c r="H1729">
        <f>_xlfn.XLOOKUP(E1729,K:K,L:L)</f>
        <v>7</v>
      </c>
    </row>
    <row r="1730" spans="1:8" x14ac:dyDescent="0.3">
      <c r="A1730" t="s">
        <v>6</v>
      </c>
      <c r="B1730">
        <v>20548085005</v>
      </c>
      <c r="C1730" t="s">
        <v>2055</v>
      </c>
      <c r="E1730" s="1">
        <v>45975</v>
      </c>
      <c r="F1730">
        <v>327.82</v>
      </c>
      <c r="G1730" t="s">
        <v>2099</v>
      </c>
      <c r="H1730">
        <f>_xlfn.XLOOKUP(E1730,K:K,L:L)</f>
        <v>7</v>
      </c>
    </row>
    <row r="1731" spans="1:8" x14ac:dyDescent="0.3">
      <c r="A1731" t="s">
        <v>6</v>
      </c>
      <c r="B1731">
        <v>20613847449</v>
      </c>
      <c r="C1731" t="s">
        <v>2056</v>
      </c>
      <c r="E1731" s="1">
        <v>45975</v>
      </c>
      <c r="F1731">
        <v>150.81</v>
      </c>
      <c r="G1731" t="s">
        <v>2099</v>
      </c>
      <c r="H1731">
        <f>_xlfn.XLOOKUP(E1731,K:K,L:L)</f>
        <v>7</v>
      </c>
    </row>
    <row r="1732" spans="1:8" x14ac:dyDescent="0.3">
      <c r="A1732" t="s">
        <v>93</v>
      </c>
      <c r="B1732">
        <v>20532440255</v>
      </c>
      <c r="C1732" t="s">
        <v>2087</v>
      </c>
      <c r="E1732" s="1">
        <v>45975</v>
      </c>
      <c r="F1732">
        <v>208.29999999999998</v>
      </c>
      <c r="G1732" t="s">
        <v>2099</v>
      </c>
      <c r="H1732">
        <f>_xlfn.XLOOKUP(E1732,K:K,L:L)</f>
        <v>7</v>
      </c>
    </row>
    <row r="1733" spans="1:8" x14ac:dyDescent="0.3">
      <c r="A1733" t="s">
        <v>93</v>
      </c>
      <c r="B1733">
        <v>20530803831</v>
      </c>
      <c r="C1733" t="s">
        <v>2088</v>
      </c>
      <c r="E1733" s="1">
        <v>45975</v>
      </c>
      <c r="F1733">
        <v>135.53</v>
      </c>
      <c r="G1733" t="s">
        <v>2099</v>
      </c>
      <c r="H1733">
        <f>_xlfn.XLOOKUP(E1733,K:K,L:L)</f>
        <v>7</v>
      </c>
    </row>
    <row r="1734" spans="1:8" x14ac:dyDescent="0.3">
      <c r="A1734" t="s">
        <v>93</v>
      </c>
      <c r="B1734">
        <v>20530803831</v>
      </c>
      <c r="C1734" t="s">
        <v>2088</v>
      </c>
      <c r="E1734" s="1">
        <v>45975</v>
      </c>
      <c r="F1734">
        <v>136.6</v>
      </c>
      <c r="G1734" t="s">
        <v>2099</v>
      </c>
      <c r="H1734">
        <f>_xlfn.XLOOKUP(E1734,K:K,L:L)</f>
        <v>7</v>
      </c>
    </row>
    <row r="1735" spans="1:8" x14ac:dyDescent="0.3">
      <c r="A1735" t="s">
        <v>93</v>
      </c>
      <c r="B1735">
        <v>20530803831</v>
      </c>
      <c r="C1735" t="s">
        <v>2088</v>
      </c>
      <c r="E1735" s="1">
        <v>45975</v>
      </c>
      <c r="F1735">
        <v>137.80000000000001</v>
      </c>
      <c r="G1735" t="s">
        <v>2099</v>
      </c>
      <c r="H1735">
        <f>_xlfn.XLOOKUP(E1735,K:K,L:L)</f>
        <v>7</v>
      </c>
    </row>
    <row r="1736" spans="1:8" x14ac:dyDescent="0.3">
      <c r="A1736" t="s">
        <v>93</v>
      </c>
      <c r="B1736">
        <v>20530803831</v>
      </c>
      <c r="C1736" t="s">
        <v>2088</v>
      </c>
      <c r="E1736" s="1">
        <v>45975</v>
      </c>
      <c r="F1736">
        <v>138.76</v>
      </c>
      <c r="G1736" t="s">
        <v>2099</v>
      </c>
      <c r="H1736">
        <f>_xlfn.XLOOKUP(E1736,K:K,L:L)</f>
        <v>7</v>
      </c>
    </row>
    <row r="1737" spans="1:8" x14ac:dyDescent="0.3">
      <c r="A1737" t="s">
        <v>93</v>
      </c>
      <c r="B1737">
        <v>20203252324</v>
      </c>
      <c r="C1737" t="s">
        <v>2089</v>
      </c>
      <c r="E1737" s="1">
        <v>45975</v>
      </c>
      <c r="F1737">
        <v>158.56</v>
      </c>
      <c r="G1737" t="s">
        <v>2099</v>
      </c>
      <c r="H1737">
        <f>_xlfn.XLOOKUP(E1737,K:K,L:L)</f>
        <v>7</v>
      </c>
    </row>
    <row r="1738" spans="1:8" x14ac:dyDescent="0.3">
      <c r="A1738" t="s">
        <v>93</v>
      </c>
      <c r="B1738">
        <v>20203252324</v>
      </c>
      <c r="C1738" t="s">
        <v>2089</v>
      </c>
      <c r="E1738" s="1">
        <v>45975</v>
      </c>
      <c r="F1738">
        <v>213.99</v>
      </c>
      <c r="G1738" t="s">
        <v>2099</v>
      </c>
      <c r="H1738">
        <f>_xlfn.XLOOKUP(E1738,K:K,L:L)</f>
        <v>7</v>
      </c>
    </row>
    <row r="1739" spans="1:8" x14ac:dyDescent="0.3">
      <c r="A1739" t="s">
        <v>93</v>
      </c>
      <c r="B1739">
        <v>20203252324</v>
      </c>
      <c r="C1739" t="s">
        <v>2089</v>
      </c>
      <c r="E1739" s="1">
        <v>45975</v>
      </c>
      <c r="F1739">
        <v>509.37</v>
      </c>
      <c r="G1739" t="s">
        <v>2099</v>
      </c>
      <c r="H1739">
        <f>_xlfn.XLOOKUP(E1739,K:K,L:L)</f>
        <v>7</v>
      </c>
    </row>
    <row r="1740" spans="1:8" x14ac:dyDescent="0.3">
      <c r="A1740" t="s">
        <v>93</v>
      </c>
      <c r="B1740">
        <v>10070065571</v>
      </c>
      <c r="C1740" t="s">
        <v>2090</v>
      </c>
      <c r="E1740" s="1">
        <v>45975</v>
      </c>
      <c r="F1740">
        <v>63720.08</v>
      </c>
      <c r="G1740" t="s">
        <v>2099</v>
      </c>
      <c r="H1740">
        <f>_xlfn.XLOOKUP(E1740,K:K,L:L)</f>
        <v>7</v>
      </c>
    </row>
    <row r="1741" spans="1:8" x14ac:dyDescent="0.3">
      <c r="A1741" t="s">
        <v>875</v>
      </c>
      <c r="B1741">
        <v>20477349243</v>
      </c>
      <c r="C1741" t="s">
        <v>1449</v>
      </c>
      <c r="E1741" s="1">
        <v>45975</v>
      </c>
      <c r="F1741">
        <v>337.42</v>
      </c>
      <c r="G1741" t="s">
        <v>2099</v>
      </c>
      <c r="H1741">
        <f>_xlfn.XLOOKUP(E1741,K:K,L:L)</f>
        <v>7</v>
      </c>
    </row>
    <row r="1742" spans="1:8" x14ac:dyDescent="0.3">
      <c r="A1742" t="s">
        <v>875</v>
      </c>
      <c r="B1742">
        <v>20477349243</v>
      </c>
      <c r="C1742" t="s">
        <v>1449</v>
      </c>
      <c r="E1742" s="1">
        <v>45975</v>
      </c>
      <c r="F1742">
        <v>332.80500000000001</v>
      </c>
      <c r="G1742" t="s">
        <v>2099</v>
      </c>
      <c r="H1742">
        <f>_xlfn.XLOOKUP(E1742,K:K,L:L)</f>
        <v>7</v>
      </c>
    </row>
    <row r="1743" spans="1:8" x14ac:dyDescent="0.3">
      <c r="A1743" t="s">
        <v>875</v>
      </c>
      <c r="B1743">
        <v>20477349243</v>
      </c>
      <c r="C1743" t="s">
        <v>1449</v>
      </c>
      <c r="E1743" s="1">
        <v>45975</v>
      </c>
      <c r="F1743">
        <v>332.80500000000001</v>
      </c>
      <c r="G1743" t="s">
        <v>2099</v>
      </c>
      <c r="H1743">
        <f>_xlfn.XLOOKUP(E1743,K:K,L:L)</f>
        <v>7</v>
      </c>
    </row>
    <row r="1744" spans="1:8" x14ac:dyDescent="0.3">
      <c r="A1744" t="s">
        <v>875</v>
      </c>
      <c r="B1744">
        <v>20477349243</v>
      </c>
      <c r="C1744" t="s">
        <v>1449</v>
      </c>
      <c r="E1744" s="1">
        <v>45975</v>
      </c>
      <c r="F1744">
        <v>331.26499999999999</v>
      </c>
      <c r="G1744" t="s">
        <v>2099</v>
      </c>
      <c r="H1744">
        <f>_xlfn.XLOOKUP(E1744,K:K,L:L)</f>
        <v>7</v>
      </c>
    </row>
    <row r="1745" spans="1:8" x14ac:dyDescent="0.3">
      <c r="A1745" t="s">
        <v>875</v>
      </c>
      <c r="B1745">
        <v>20477349243</v>
      </c>
      <c r="C1745" t="s">
        <v>1449</v>
      </c>
      <c r="E1745" s="1">
        <v>45975</v>
      </c>
      <c r="F1745">
        <v>331.26499999999999</v>
      </c>
      <c r="G1745" t="s">
        <v>2099</v>
      </c>
      <c r="H1745">
        <f>_xlfn.XLOOKUP(E1745,K:K,L:L)</f>
        <v>7</v>
      </c>
    </row>
    <row r="1746" spans="1:8" x14ac:dyDescent="0.3">
      <c r="A1746" t="s">
        <v>875</v>
      </c>
      <c r="B1746">
        <v>20477349243</v>
      </c>
      <c r="C1746" t="s">
        <v>1449</v>
      </c>
      <c r="E1746" s="1">
        <v>45975</v>
      </c>
      <c r="F1746">
        <v>329.73</v>
      </c>
      <c r="G1746" t="s">
        <v>2099</v>
      </c>
      <c r="H1746">
        <f>_xlfn.XLOOKUP(E1746,K:K,L:L)</f>
        <v>7</v>
      </c>
    </row>
    <row r="1747" spans="1:8" x14ac:dyDescent="0.3">
      <c r="A1747" t="s">
        <v>875</v>
      </c>
      <c r="B1747">
        <v>20477349243</v>
      </c>
      <c r="C1747" t="s">
        <v>1449</v>
      </c>
      <c r="E1747" s="1">
        <v>45975</v>
      </c>
      <c r="F1747">
        <v>329.73</v>
      </c>
      <c r="G1747" t="s">
        <v>2099</v>
      </c>
      <c r="H1747">
        <f>_xlfn.XLOOKUP(E1747,K:K,L:L)</f>
        <v>7</v>
      </c>
    </row>
    <row r="1748" spans="1:8" x14ac:dyDescent="0.3">
      <c r="A1748" t="s">
        <v>875</v>
      </c>
      <c r="B1748">
        <v>20477349243</v>
      </c>
      <c r="C1748" t="s">
        <v>1449</v>
      </c>
      <c r="E1748" s="1">
        <v>45975</v>
      </c>
      <c r="F1748">
        <v>326.27</v>
      </c>
      <c r="G1748" t="s">
        <v>2099</v>
      </c>
      <c r="H1748">
        <f>_xlfn.XLOOKUP(E1748,K:K,L:L)</f>
        <v>7</v>
      </c>
    </row>
    <row r="1749" spans="1:8" x14ac:dyDescent="0.3">
      <c r="A1749" t="s">
        <v>875</v>
      </c>
      <c r="B1749">
        <v>20477349243</v>
      </c>
      <c r="C1749" t="s">
        <v>1449</v>
      </c>
      <c r="E1749" s="1">
        <v>45975</v>
      </c>
      <c r="F1749">
        <v>326.27</v>
      </c>
      <c r="G1749" t="s">
        <v>2099</v>
      </c>
      <c r="H1749">
        <f>_xlfn.XLOOKUP(E1749,K:K,L:L)</f>
        <v>7</v>
      </c>
    </row>
    <row r="1750" spans="1:8" x14ac:dyDescent="0.3">
      <c r="A1750" t="s">
        <v>875</v>
      </c>
      <c r="B1750">
        <v>20477349243</v>
      </c>
      <c r="C1750" t="s">
        <v>1449</v>
      </c>
      <c r="E1750" s="1">
        <v>45975</v>
      </c>
      <c r="F1750">
        <v>323.20999999999998</v>
      </c>
      <c r="G1750" t="s">
        <v>2099</v>
      </c>
      <c r="H1750">
        <f>_xlfn.XLOOKUP(E1750,K:K,L:L)</f>
        <v>7</v>
      </c>
    </row>
    <row r="1751" spans="1:8" x14ac:dyDescent="0.3">
      <c r="A1751" t="s">
        <v>875</v>
      </c>
      <c r="B1751">
        <v>20477349243</v>
      </c>
      <c r="C1751" t="s">
        <v>1449</v>
      </c>
      <c r="E1751" s="1">
        <v>45975</v>
      </c>
      <c r="F1751">
        <v>321.685</v>
      </c>
      <c r="G1751" t="s">
        <v>2099</v>
      </c>
      <c r="H1751">
        <f>_xlfn.XLOOKUP(E1751,K:K,L:L)</f>
        <v>7</v>
      </c>
    </row>
    <row r="1752" spans="1:8" x14ac:dyDescent="0.3">
      <c r="A1752" t="s">
        <v>875</v>
      </c>
      <c r="B1752">
        <v>20477349243</v>
      </c>
      <c r="C1752" t="s">
        <v>1449</v>
      </c>
      <c r="E1752" s="1">
        <v>45975</v>
      </c>
      <c r="F1752">
        <v>321.685</v>
      </c>
      <c r="G1752" t="s">
        <v>2099</v>
      </c>
      <c r="H1752">
        <f>_xlfn.XLOOKUP(E1752,K:K,L:L)</f>
        <v>7</v>
      </c>
    </row>
    <row r="1753" spans="1:8" x14ac:dyDescent="0.3">
      <c r="A1753" t="s">
        <v>875</v>
      </c>
      <c r="B1753">
        <v>20477349243</v>
      </c>
      <c r="C1753" t="s">
        <v>1449</v>
      </c>
      <c r="E1753" s="1">
        <v>45975</v>
      </c>
      <c r="F1753">
        <v>320.28500000000003</v>
      </c>
      <c r="G1753" t="s">
        <v>2099</v>
      </c>
      <c r="H1753">
        <f>_xlfn.XLOOKUP(E1753,K:K,L:L)</f>
        <v>7</v>
      </c>
    </row>
    <row r="1754" spans="1:8" x14ac:dyDescent="0.3">
      <c r="A1754" t="s">
        <v>875</v>
      </c>
      <c r="B1754">
        <v>20477349243</v>
      </c>
      <c r="C1754" t="s">
        <v>1449</v>
      </c>
      <c r="E1754" s="1">
        <v>45975</v>
      </c>
      <c r="F1754">
        <v>320.28500000000003</v>
      </c>
      <c r="G1754" t="s">
        <v>2099</v>
      </c>
      <c r="H1754">
        <f>_xlfn.XLOOKUP(E1754,K:K,L:L)</f>
        <v>7</v>
      </c>
    </row>
    <row r="1755" spans="1:8" x14ac:dyDescent="0.3">
      <c r="A1755" t="s">
        <v>875</v>
      </c>
      <c r="B1755">
        <v>20477349243</v>
      </c>
      <c r="C1755" t="s">
        <v>1449</v>
      </c>
      <c r="E1755" s="1">
        <v>45975</v>
      </c>
      <c r="F1755">
        <v>318.625</v>
      </c>
      <c r="G1755" t="s">
        <v>2099</v>
      </c>
      <c r="H1755">
        <f>_xlfn.XLOOKUP(E1755,K:K,L:L)</f>
        <v>7</v>
      </c>
    </row>
    <row r="1756" spans="1:8" x14ac:dyDescent="0.3">
      <c r="A1756" t="s">
        <v>875</v>
      </c>
      <c r="B1756">
        <v>20477349243</v>
      </c>
      <c r="C1756" t="s">
        <v>1449</v>
      </c>
      <c r="E1756" s="1">
        <v>45975</v>
      </c>
      <c r="F1756">
        <v>318.625</v>
      </c>
      <c r="G1756" t="s">
        <v>2099</v>
      </c>
      <c r="H1756">
        <f>_xlfn.XLOOKUP(E1756,K:K,L:L)</f>
        <v>7</v>
      </c>
    </row>
    <row r="1757" spans="1:8" x14ac:dyDescent="0.3">
      <c r="A1757" t="s">
        <v>875</v>
      </c>
      <c r="B1757">
        <v>20477349243</v>
      </c>
      <c r="C1757" t="s">
        <v>1449</v>
      </c>
      <c r="E1757" s="1">
        <v>45975</v>
      </c>
      <c r="F1757">
        <v>317.10000000000002</v>
      </c>
      <c r="G1757" t="s">
        <v>2099</v>
      </c>
      <c r="H1757">
        <f>_xlfn.XLOOKUP(E1757,K:K,L:L)</f>
        <v>7</v>
      </c>
    </row>
    <row r="1758" spans="1:8" x14ac:dyDescent="0.3">
      <c r="A1758" t="s">
        <v>875</v>
      </c>
      <c r="B1758">
        <v>20477349243</v>
      </c>
      <c r="C1758" t="s">
        <v>1449</v>
      </c>
      <c r="E1758" s="1">
        <v>45975</v>
      </c>
      <c r="F1758">
        <v>317.10000000000002</v>
      </c>
      <c r="G1758" t="s">
        <v>2099</v>
      </c>
      <c r="H1758">
        <f>_xlfn.XLOOKUP(E1758,K:K,L:L)</f>
        <v>7</v>
      </c>
    </row>
    <row r="1759" spans="1:8" x14ac:dyDescent="0.3">
      <c r="A1759" t="s">
        <v>875</v>
      </c>
      <c r="B1759">
        <v>20477349243</v>
      </c>
      <c r="C1759" t="s">
        <v>1449</v>
      </c>
      <c r="E1759" s="1">
        <v>45975</v>
      </c>
      <c r="F1759">
        <v>314.04000000000002</v>
      </c>
      <c r="G1759" t="s">
        <v>2099</v>
      </c>
      <c r="H1759">
        <f>_xlfn.XLOOKUP(E1759,K:K,L:L)</f>
        <v>7</v>
      </c>
    </row>
    <row r="1760" spans="1:8" x14ac:dyDescent="0.3">
      <c r="A1760" t="s">
        <v>875</v>
      </c>
      <c r="B1760">
        <v>20477349243</v>
      </c>
      <c r="C1760" t="s">
        <v>1449</v>
      </c>
      <c r="E1760" s="1">
        <v>45975</v>
      </c>
      <c r="F1760">
        <v>312.38499999999999</v>
      </c>
      <c r="G1760" t="s">
        <v>2099</v>
      </c>
      <c r="H1760">
        <f>_xlfn.XLOOKUP(E1760,K:K,L:L)</f>
        <v>7</v>
      </c>
    </row>
    <row r="1761" spans="1:8" x14ac:dyDescent="0.3">
      <c r="A1761" t="s">
        <v>875</v>
      </c>
      <c r="B1761">
        <v>20477349243</v>
      </c>
      <c r="C1761" t="s">
        <v>1449</v>
      </c>
      <c r="E1761" s="1">
        <v>45975</v>
      </c>
      <c r="F1761">
        <v>312.38499999999999</v>
      </c>
      <c r="G1761" t="s">
        <v>2099</v>
      </c>
      <c r="H1761">
        <f>_xlfn.XLOOKUP(E1761,K:K,L:L)</f>
        <v>7</v>
      </c>
    </row>
    <row r="1762" spans="1:8" x14ac:dyDescent="0.3">
      <c r="A1762" t="s">
        <v>875</v>
      </c>
      <c r="B1762">
        <v>20477349243</v>
      </c>
      <c r="C1762" t="s">
        <v>1449</v>
      </c>
      <c r="E1762" s="1">
        <v>45975</v>
      </c>
      <c r="F1762">
        <v>310.98500000000001</v>
      </c>
      <c r="G1762" t="s">
        <v>2099</v>
      </c>
      <c r="H1762">
        <f>_xlfn.XLOOKUP(E1762,K:K,L:L)</f>
        <v>7</v>
      </c>
    </row>
    <row r="1763" spans="1:8" x14ac:dyDescent="0.3">
      <c r="A1763" t="s">
        <v>875</v>
      </c>
      <c r="B1763">
        <v>20477349243</v>
      </c>
      <c r="C1763" t="s">
        <v>1449</v>
      </c>
      <c r="E1763" s="1">
        <v>45975</v>
      </c>
      <c r="F1763">
        <v>310.98500000000001</v>
      </c>
      <c r="G1763" t="s">
        <v>2099</v>
      </c>
      <c r="H1763">
        <f>_xlfn.XLOOKUP(E1763,K:K,L:L)</f>
        <v>7</v>
      </c>
    </row>
    <row r="1764" spans="1:8" x14ac:dyDescent="0.3">
      <c r="A1764" t="s">
        <v>875</v>
      </c>
      <c r="B1764">
        <v>20477349243</v>
      </c>
      <c r="C1764" t="s">
        <v>1449</v>
      </c>
      <c r="E1764" s="1">
        <v>45975</v>
      </c>
      <c r="F1764">
        <v>309.32499999999999</v>
      </c>
      <c r="G1764" t="s">
        <v>2099</v>
      </c>
      <c r="H1764">
        <f>_xlfn.XLOOKUP(E1764,K:K,L:L)</f>
        <v>7</v>
      </c>
    </row>
    <row r="1765" spans="1:8" x14ac:dyDescent="0.3">
      <c r="A1765" t="s">
        <v>875</v>
      </c>
      <c r="B1765">
        <v>20477349243</v>
      </c>
      <c r="C1765" t="s">
        <v>1449</v>
      </c>
      <c r="E1765" s="1">
        <v>45975</v>
      </c>
      <c r="F1765">
        <v>309.32499999999999</v>
      </c>
      <c r="G1765" t="s">
        <v>2099</v>
      </c>
      <c r="H1765">
        <f>_xlfn.XLOOKUP(E1765,K:K,L:L)</f>
        <v>7</v>
      </c>
    </row>
    <row r="1766" spans="1:8" x14ac:dyDescent="0.3">
      <c r="A1766" t="s">
        <v>875</v>
      </c>
      <c r="B1766">
        <v>20477349243</v>
      </c>
      <c r="C1766" t="s">
        <v>1449</v>
      </c>
      <c r="E1766" s="1">
        <v>45975</v>
      </c>
      <c r="F1766">
        <v>307.8</v>
      </c>
      <c r="G1766" t="s">
        <v>2099</v>
      </c>
      <c r="H1766">
        <f>_xlfn.XLOOKUP(E1766,K:K,L:L)</f>
        <v>7</v>
      </c>
    </row>
    <row r="1767" spans="1:8" x14ac:dyDescent="0.3">
      <c r="A1767" t="s">
        <v>875</v>
      </c>
      <c r="B1767">
        <v>20477349243</v>
      </c>
      <c r="C1767" t="s">
        <v>1449</v>
      </c>
      <c r="E1767" s="1">
        <v>45975</v>
      </c>
      <c r="F1767">
        <v>307.8</v>
      </c>
      <c r="G1767" t="s">
        <v>2099</v>
      </c>
      <c r="H1767">
        <f>_xlfn.XLOOKUP(E1767,K:K,L:L)</f>
        <v>7</v>
      </c>
    </row>
    <row r="1768" spans="1:8" x14ac:dyDescent="0.3">
      <c r="A1768" t="s">
        <v>875</v>
      </c>
      <c r="B1768">
        <v>20508114843</v>
      </c>
      <c r="C1768" t="s">
        <v>1467</v>
      </c>
      <c r="E1768" s="1">
        <v>45975</v>
      </c>
      <c r="F1768">
        <v>297.64</v>
      </c>
      <c r="G1768" t="s">
        <v>2099</v>
      </c>
      <c r="H1768">
        <f>_xlfn.XLOOKUP(E1768,K:K,L:L)</f>
        <v>7</v>
      </c>
    </row>
    <row r="1769" spans="1:8" x14ac:dyDescent="0.3">
      <c r="A1769" t="s">
        <v>875</v>
      </c>
      <c r="B1769">
        <v>20508114843</v>
      </c>
      <c r="C1769" t="s">
        <v>1467</v>
      </c>
      <c r="E1769" s="1">
        <v>45975</v>
      </c>
      <c r="F1769">
        <v>293.43</v>
      </c>
      <c r="G1769" t="s">
        <v>2099</v>
      </c>
      <c r="H1769">
        <f>_xlfn.XLOOKUP(E1769,K:K,L:L)</f>
        <v>7</v>
      </c>
    </row>
    <row r="1770" spans="1:8" x14ac:dyDescent="0.3">
      <c r="A1770" t="s">
        <v>875</v>
      </c>
      <c r="B1770">
        <v>20508114843</v>
      </c>
      <c r="C1770" t="s">
        <v>1467</v>
      </c>
      <c r="E1770" s="1">
        <v>45975</v>
      </c>
      <c r="F1770">
        <v>285.98</v>
      </c>
      <c r="G1770" t="s">
        <v>2099</v>
      </c>
      <c r="H1770">
        <f>_xlfn.XLOOKUP(E1770,K:K,L:L)</f>
        <v>7</v>
      </c>
    </row>
    <row r="1771" spans="1:8" x14ac:dyDescent="0.3">
      <c r="A1771" t="s">
        <v>875</v>
      </c>
      <c r="B1771">
        <v>20508114843</v>
      </c>
      <c r="C1771" t="s">
        <v>1467</v>
      </c>
      <c r="E1771" s="1">
        <v>45975</v>
      </c>
      <c r="F1771">
        <v>281.92</v>
      </c>
      <c r="G1771" t="s">
        <v>2099</v>
      </c>
      <c r="H1771">
        <f>_xlfn.XLOOKUP(E1771,K:K,L:L)</f>
        <v>7</v>
      </c>
    </row>
    <row r="1772" spans="1:8" x14ac:dyDescent="0.3">
      <c r="A1772" t="s">
        <v>92</v>
      </c>
      <c r="B1772">
        <v>20548414424</v>
      </c>
      <c r="C1772" t="s">
        <v>1815</v>
      </c>
      <c r="E1772" s="1">
        <v>45976</v>
      </c>
      <c r="F1772">
        <v>631.24</v>
      </c>
      <c r="G1772" t="s">
        <v>2099</v>
      </c>
      <c r="H1772">
        <f>_xlfn.XLOOKUP(E1772,K:K,L:L)</f>
        <v>7</v>
      </c>
    </row>
    <row r="1773" spans="1:8" x14ac:dyDescent="0.3">
      <c r="A1773" t="s">
        <v>92</v>
      </c>
      <c r="B1773">
        <v>20607244686</v>
      </c>
      <c r="C1773" t="s">
        <v>1816</v>
      </c>
      <c r="E1773" s="1">
        <v>45976</v>
      </c>
      <c r="F1773">
        <v>148.32</v>
      </c>
      <c r="G1773" t="s">
        <v>2099</v>
      </c>
      <c r="H1773">
        <f>_xlfn.XLOOKUP(E1773,K:K,L:L)</f>
        <v>7</v>
      </c>
    </row>
    <row r="1774" spans="1:8" x14ac:dyDescent="0.3">
      <c r="A1774" t="s">
        <v>92</v>
      </c>
      <c r="B1774">
        <v>20609655870</v>
      </c>
      <c r="C1774" t="s">
        <v>1817</v>
      </c>
      <c r="E1774" s="1">
        <v>45976</v>
      </c>
      <c r="F1774">
        <v>273.05</v>
      </c>
      <c r="G1774" t="s">
        <v>2099</v>
      </c>
      <c r="H1774">
        <f>_xlfn.XLOOKUP(E1774,K:K,L:L)</f>
        <v>7</v>
      </c>
    </row>
    <row r="1775" spans="1:8" x14ac:dyDescent="0.3">
      <c r="A1775" t="s">
        <v>92</v>
      </c>
      <c r="B1775">
        <v>20610011609</v>
      </c>
      <c r="C1775" t="s">
        <v>1818</v>
      </c>
      <c r="E1775" s="1">
        <v>45976</v>
      </c>
      <c r="F1775">
        <v>233.32000000000002</v>
      </c>
      <c r="G1775" t="s">
        <v>2099</v>
      </c>
      <c r="H1775">
        <f>_xlfn.XLOOKUP(E1775,K:K,L:L)</f>
        <v>7</v>
      </c>
    </row>
    <row r="1776" spans="1:8" x14ac:dyDescent="0.3">
      <c r="A1776" t="s">
        <v>92</v>
      </c>
      <c r="B1776">
        <v>20610920129</v>
      </c>
      <c r="C1776" t="s">
        <v>1819</v>
      </c>
      <c r="E1776" s="1">
        <v>45976</v>
      </c>
      <c r="F1776">
        <v>283.92</v>
      </c>
      <c r="G1776" t="s">
        <v>2099</v>
      </c>
      <c r="H1776">
        <f>_xlfn.XLOOKUP(E1776,K:K,L:L)</f>
        <v>7</v>
      </c>
    </row>
    <row r="1777" spans="1:8" x14ac:dyDescent="0.3">
      <c r="A1777" t="s">
        <v>92</v>
      </c>
      <c r="B1777">
        <v>20612873497</v>
      </c>
      <c r="C1777" t="s">
        <v>1810</v>
      </c>
      <c r="E1777" s="1">
        <v>45976</v>
      </c>
      <c r="F1777">
        <v>260.04000000000002</v>
      </c>
      <c r="G1777" t="s">
        <v>2099</v>
      </c>
      <c r="H1777">
        <f>_xlfn.XLOOKUP(E1777,K:K,L:L)</f>
        <v>7</v>
      </c>
    </row>
    <row r="1778" spans="1:8" x14ac:dyDescent="0.3">
      <c r="A1778" t="s">
        <v>92</v>
      </c>
      <c r="B1778">
        <v>20607244686</v>
      </c>
      <c r="C1778" t="s">
        <v>1816</v>
      </c>
      <c r="E1778" s="1">
        <v>45976</v>
      </c>
      <c r="F1778">
        <v>149.79</v>
      </c>
      <c r="G1778" t="s">
        <v>2099</v>
      </c>
      <c r="H1778">
        <f>_xlfn.XLOOKUP(E1778,K:K,L:L)</f>
        <v>7</v>
      </c>
    </row>
    <row r="1779" spans="1:8" x14ac:dyDescent="0.3">
      <c r="A1779" t="s">
        <v>6</v>
      </c>
      <c r="B1779">
        <v>20600767152</v>
      </c>
      <c r="C1779" t="s">
        <v>2057</v>
      </c>
      <c r="E1779" s="1">
        <v>45976</v>
      </c>
      <c r="F1779">
        <v>130.03</v>
      </c>
      <c r="G1779" t="s">
        <v>2099</v>
      </c>
      <c r="H1779">
        <f>_xlfn.XLOOKUP(E1779,K:K,L:L)</f>
        <v>7</v>
      </c>
    </row>
    <row r="1780" spans="1:8" x14ac:dyDescent="0.3">
      <c r="A1780" t="s">
        <v>92</v>
      </c>
      <c r="B1780">
        <v>20601355214</v>
      </c>
      <c r="C1780" t="s">
        <v>1820</v>
      </c>
      <c r="E1780" s="1">
        <v>45977</v>
      </c>
      <c r="F1780">
        <v>314.13</v>
      </c>
      <c r="G1780" t="s">
        <v>2099</v>
      </c>
      <c r="H1780">
        <f>_xlfn.XLOOKUP(E1780,K:K,L:L)</f>
        <v>7</v>
      </c>
    </row>
    <row r="1781" spans="1:8" x14ac:dyDescent="0.3">
      <c r="A1781" t="s">
        <v>92</v>
      </c>
      <c r="B1781">
        <v>20605990194</v>
      </c>
      <c r="C1781" t="s">
        <v>1821</v>
      </c>
      <c r="E1781" s="1">
        <v>45977</v>
      </c>
      <c r="F1781">
        <v>221.88</v>
      </c>
      <c r="G1781" t="s">
        <v>2099</v>
      </c>
      <c r="H1781">
        <f>_xlfn.XLOOKUP(E1781,K:K,L:L)</f>
        <v>7</v>
      </c>
    </row>
    <row r="1782" spans="1:8" x14ac:dyDescent="0.3">
      <c r="A1782" t="s">
        <v>92</v>
      </c>
      <c r="B1782">
        <v>10023887156</v>
      </c>
      <c r="C1782" t="s">
        <v>1822</v>
      </c>
      <c r="E1782" s="1">
        <v>45978</v>
      </c>
      <c r="F1782">
        <v>345.19000000000005</v>
      </c>
      <c r="G1782" t="s">
        <v>2099</v>
      </c>
      <c r="H1782">
        <f>_xlfn.XLOOKUP(E1782,K:K,L:L)</f>
        <v>8</v>
      </c>
    </row>
    <row r="1783" spans="1:8" x14ac:dyDescent="0.3">
      <c r="A1783" t="s">
        <v>92</v>
      </c>
      <c r="B1783">
        <v>10733543511</v>
      </c>
      <c r="C1783" t="s">
        <v>1823</v>
      </c>
      <c r="E1783" s="1">
        <v>45978</v>
      </c>
      <c r="F1783">
        <v>130.03</v>
      </c>
      <c r="G1783" t="s">
        <v>2099</v>
      </c>
      <c r="H1783">
        <f>_xlfn.XLOOKUP(E1783,K:K,L:L)</f>
        <v>8</v>
      </c>
    </row>
    <row r="1784" spans="1:8" x14ac:dyDescent="0.3">
      <c r="A1784" t="s">
        <v>92</v>
      </c>
      <c r="B1784">
        <v>20101302475</v>
      </c>
      <c r="C1784" t="s">
        <v>1824</v>
      </c>
      <c r="E1784" s="1">
        <v>45978</v>
      </c>
      <c r="F1784">
        <v>130.03</v>
      </c>
      <c r="G1784" t="s">
        <v>2099</v>
      </c>
      <c r="H1784">
        <f>_xlfn.XLOOKUP(E1784,K:K,L:L)</f>
        <v>8</v>
      </c>
    </row>
    <row r="1785" spans="1:8" x14ac:dyDescent="0.3">
      <c r="A1785" t="s">
        <v>92</v>
      </c>
      <c r="B1785">
        <v>20376827055</v>
      </c>
      <c r="C1785" t="s">
        <v>1825</v>
      </c>
      <c r="E1785" s="1">
        <v>45978</v>
      </c>
      <c r="F1785">
        <v>897.95999999999992</v>
      </c>
      <c r="G1785" t="s">
        <v>2099</v>
      </c>
      <c r="H1785">
        <f>_xlfn.XLOOKUP(E1785,K:K,L:L)</f>
        <v>8</v>
      </c>
    </row>
    <row r="1786" spans="1:8" x14ac:dyDescent="0.3">
      <c r="A1786" t="s">
        <v>92</v>
      </c>
      <c r="B1786">
        <v>20511804451</v>
      </c>
      <c r="C1786" t="s">
        <v>1826</v>
      </c>
      <c r="E1786" s="1">
        <v>45978</v>
      </c>
      <c r="F1786">
        <v>612.59</v>
      </c>
      <c r="G1786" t="s">
        <v>2099</v>
      </c>
      <c r="H1786">
        <f>_xlfn.XLOOKUP(E1786,K:K,L:L)</f>
        <v>8</v>
      </c>
    </row>
    <row r="1787" spans="1:8" x14ac:dyDescent="0.3">
      <c r="A1787" t="s">
        <v>92</v>
      </c>
      <c r="B1787">
        <v>20515104454</v>
      </c>
      <c r="C1787" t="s">
        <v>1827</v>
      </c>
      <c r="E1787" s="1">
        <v>45978</v>
      </c>
      <c r="F1787">
        <v>230.13</v>
      </c>
      <c r="G1787" t="s">
        <v>2099</v>
      </c>
      <c r="H1787">
        <f>_xlfn.XLOOKUP(E1787,K:K,L:L)</f>
        <v>8</v>
      </c>
    </row>
    <row r="1788" spans="1:8" x14ac:dyDescent="0.3">
      <c r="A1788" t="s">
        <v>92</v>
      </c>
      <c r="B1788">
        <v>20517265617</v>
      </c>
      <c r="C1788" t="s">
        <v>1828</v>
      </c>
      <c r="E1788" s="1">
        <v>45978</v>
      </c>
      <c r="F1788">
        <v>251.38</v>
      </c>
      <c r="G1788" t="s">
        <v>2099</v>
      </c>
      <c r="H1788">
        <f>_xlfn.XLOOKUP(E1788,K:K,L:L)</f>
        <v>8</v>
      </c>
    </row>
    <row r="1789" spans="1:8" x14ac:dyDescent="0.3">
      <c r="A1789" t="s">
        <v>92</v>
      </c>
      <c r="B1789">
        <v>20531638230</v>
      </c>
      <c r="C1789" t="s">
        <v>1829</v>
      </c>
      <c r="E1789" s="1">
        <v>45978</v>
      </c>
      <c r="F1789">
        <v>130.03</v>
      </c>
      <c r="G1789" t="s">
        <v>2099</v>
      </c>
      <c r="H1789">
        <f>_xlfn.XLOOKUP(E1789,K:K,L:L)</f>
        <v>8</v>
      </c>
    </row>
    <row r="1790" spans="1:8" x14ac:dyDescent="0.3">
      <c r="A1790" t="s">
        <v>92</v>
      </c>
      <c r="B1790">
        <v>20538512312</v>
      </c>
      <c r="C1790" t="s">
        <v>1830</v>
      </c>
      <c r="E1790" s="1">
        <v>45978</v>
      </c>
      <c r="F1790">
        <v>130.03</v>
      </c>
      <c r="G1790" t="s">
        <v>2099</v>
      </c>
      <c r="H1790">
        <f>_xlfn.XLOOKUP(E1790,K:K,L:L)</f>
        <v>8</v>
      </c>
    </row>
    <row r="1791" spans="1:8" x14ac:dyDescent="0.3">
      <c r="A1791" t="s">
        <v>92</v>
      </c>
      <c r="B1791">
        <v>20549066250</v>
      </c>
      <c r="C1791" t="s">
        <v>1831</v>
      </c>
      <c r="E1791" s="1">
        <v>45978</v>
      </c>
      <c r="F1791">
        <v>130.03</v>
      </c>
      <c r="G1791" t="s">
        <v>2099</v>
      </c>
      <c r="H1791">
        <f>_xlfn.XLOOKUP(E1791,K:K,L:L)</f>
        <v>8</v>
      </c>
    </row>
    <row r="1792" spans="1:8" x14ac:dyDescent="0.3">
      <c r="A1792" t="s">
        <v>92</v>
      </c>
      <c r="B1792">
        <v>20600621131</v>
      </c>
      <c r="C1792" t="s">
        <v>1832</v>
      </c>
      <c r="E1792" s="1">
        <v>45978</v>
      </c>
      <c r="F1792">
        <v>230.13</v>
      </c>
      <c r="G1792" t="s">
        <v>2099</v>
      </c>
      <c r="H1792">
        <f>_xlfn.XLOOKUP(E1792,K:K,L:L)</f>
        <v>8</v>
      </c>
    </row>
    <row r="1793" spans="1:8" x14ac:dyDescent="0.3">
      <c r="A1793" t="s">
        <v>92</v>
      </c>
      <c r="B1793">
        <v>20601068088</v>
      </c>
      <c r="C1793" t="s">
        <v>1833</v>
      </c>
      <c r="E1793" s="1">
        <v>45978</v>
      </c>
      <c r="F1793">
        <v>326.02000000000004</v>
      </c>
      <c r="G1793" t="s">
        <v>2099</v>
      </c>
      <c r="H1793">
        <f>_xlfn.XLOOKUP(E1793,K:K,L:L)</f>
        <v>8</v>
      </c>
    </row>
    <row r="1794" spans="1:8" x14ac:dyDescent="0.3">
      <c r="A1794" t="s">
        <v>92</v>
      </c>
      <c r="B1794">
        <v>20601068088</v>
      </c>
      <c r="C1794" t="s">
        <v>1833</v>
      </c>
      <c r="E1794" s="1">
        <v>45978</v>
      </c>
      <c r="F1794">
        <v>602.62</v>
      </c>
      <c r="G1794" t="s">
        <v>2099</v>
      </c>
      <c r="H1794">
        <f>_xlfn.XLOOKUP(E1794,K:K,L:L)</f>
        <v>8</v>
      </c>
    </row>
    <row r="1795" spans="1:8" x14ac:dyDescent="0.3">
      <c r="A1795" t="s">
        <v>92</v>
      </c>
      <c r="B1795">
        <v>20601158800</v>
      </c>
      <c r="C1795" t="s">
        <v>1834</v>
      </c>
      <c r="E1795" s="1">
        <v>45978</v>
      </c>
      <c r="F1795">
        <v>759.92000000000007</v>
      </c>
      <c r="G1795" t="s">
        <v>2099</v>
      </c>
      <c r="H1795">
        <f>_xlfn.XLOOKUP(E1795,K:K,L:L)</f>
        <v>8</v>
      </c>
    </row>
    <row r="1796" spans="1:8" x14ac:dyDescent="0.3">
      <c r="A1796" t="s">
        <v>92</v>
      </c>
      <c r="B1796">
        <v>20602550151</v>
      </c>
      <c r="C1796" t="s">
        <v>1835</v>
      </c>
      <c r="E1796" s="1">
        <v>45978</v>
      </c>
      <c r="F1796">
        <v>130.03</v>
      </c>
      <c r="G1796" t="s">
        <v>2099</v>
      </c>
      <c r="H1796">
        <f>_xlfn.XLOOKUP(E1796,K:K,L:L)</f>
        <v>8</v>
      </c>
    </row>
    <row r="1797" spans="1:8" x14ac:dyDescent="0.3">
      <c r="A1797" t="s">
        <v>92</v>
      </c>
      <c r="B1797">
        <v>20602937055</v>
      </c>
      <c r="C1797" t="s">
        <v>1836</v>
      </c>
      <c r="E1797" s="1">
        <v>45978</v>
      </c>
      <c r="F1797">
        <v>515.09</v>
      </c>
      <c r="G1797" t="s">
        <v>2099</v>
      </c>
      <c r="H1797">
        <f>_xlfn.XLOOKUP(E1797,K:K,L:L)</f>
        <v>8</v>
      </c>
    </row>
    <row r="1798" spans="1:8" x14ac:dyDescent="0.3">
      <c r="A1798" t="s">
        <v>92</v>
      </c>
      <c r="B1798">
        <v>20602937055</v>
      </c>
      <c r="C1798" t="s">
        <v>1836</v>
      </c>
      <c r="E1798" s="1">
        <v>45978</v>
      </c>
      <c r="F1798">
        <v>850.44</v>
      </c>
      <c r="G1798" t="s">
        <v>2099</v>
      </c>
      <c r="H1798">
        <f>_xlfn.XLOOKUP(E1798,K:K,L:L)</f>
        <v>8</v>
      </c>
    </row>
    <row r="1799" spans="1:8" x14ac:dyDescent="0.3">
      <c r="A1799" t="s">
        <v>92</v>
      </c>
      <c r="B1799">
        <v>20602937055</v>
      </c>
      <c r="C1799" t="s">
        <v>1836</v>
      </c>
      <c r="E1799" s="1">
        <v>45978</v>
      </c>
      <c r="F1799">
        <v>148.32</v>
      </c>
      <c r="G1799" t="s">
        <v>2099</v>
      </c>
      <c r="H1799">
        <f>_xlfn.XLOOKUP(E1799,K:K,L:L)</f>
        <v>8</v>
      </c>
    </row>
    <row r="1800" spans="1:8" x14ac:dyDescent="0.3">
      <c r="A1800" t="s">
        <v>92</v>
      </c>
      <c r="B1800">
        <v>20607702714</v>
      </c>
      <c r="C1800" t="s">
        <v>1837</v>
      </c>
      <c r="E1800" s="1">
        <v>45978</v>
      </c>
      <c r="F1800">
        <v>470.16999999999996</v>
      </c>
      <c r="G1800" t="s">
        <v>2099</v>
      </c>
      <c r="H1800">
        <f>_xlfn.XLOOKUP(E1800,K:K,L:L)</f>
        <v>8</v>
      </c>
    </row>
    <row r="1801" spans="1:8" x14ac:dyDescent="0.3">
      <c r="A1801" t="s">
        <v>92</v>
      </c>
      <c r="B1801">
        <v>20609059223</v>
      </c>
      <c r="C1801" t="s">
        <v>1838</v>
      </c>
      <c r="E1801" s="1">
        <v>45978</v>
      </c>
      <c r="F1801">
        <v>143.02000000000001</v>
      </c>
      <c r="G1801" t="s">
        <v>2099</v>
      </c>
      <c r="H1801">
        <f>_xlfn.XLOOKUP(E1801,K:K,L:L)</f>
        <v>8</v>
      </c>
    </row>
    <row r="1802" spans="1:8" x14ac:dyDescent="0.3">
      <c r="A1802" t="s">
        <v>92</v>
      </c>
      <c r="B1802">
        <v>20609957302</v>
      </c>
      <c r="C1802" t="s">
        <v>1839</v>
      </c>
      <c r="E1802" s="1">
        <v>45978</v>
      </c>
      <c r="F1802">
        <v>230.13</v>
      </c>
      <c r="G1802" t="s">
        <v>2099</v>
      </c>
      <c r="H1802">
        <f>_xlfn.XLOOKUP(E1802,K:K,L:L)</f>
        <v>8</v>
      </c>
    </row>
    <row r="1803" spans="1:8" x14ac:dyDescent="0.3">
      <c r="A1803" t="s">
        <v>92</v>
      </c>
      <c r="B1803">
        <v>20610065041</v>
      </c>
      <c r="C1803" t="s">
        <v>1840</v>
      </c>
      <c r="E1803" s="1">
        <v>45978</v>
      </c>
      <c r="F1803">
        <v>293.18</v>
      </c>
      <c r="G1803" t="s">
        <v>2099</v>
      </c>
      <c r="H1803">
        <f>_xlfn.XLOOKUP(E1803,K:K,L:L)</f>
        <v>8</v>
      </c>
    </row>
    <row r="1804" spans="1:8" x14ac:dyDescent="0.3">
      <c r="A1804" t="s">
        <v>92</v>
      </c>
      <c r="B1804">
        <v>20614047446</v>
      </c>
      <c r="C1804" t="s">
        <v>1841</v>
      </c>
      <c r="E1804" s="1">
        <v>45978</v>
      </c>
      <c r="F1804">
        <v>218.97</v>
      </c>
      <c r="G1804" t="s">
        <v>2099</v>
      </c>
      <c r="H1804">
        <f>_xlfn.XLOOKUP(E1804,K:K,L:L)</f>
        <v>8</v>
      </c>
    </row>
    <row r="1805" spans="1:8" x14ac:dyDescent="0.3">
      <c r="A1805" t="s">
        <v>92</v>
      </c>
      <c r="B1805">
        <v>10214871284</v>
      </c>
      <c r="C1805" t="s">
        <v>1842</v>
      </c>
      <c r="E1805" s="1">
        <v>45978</v>
      </c>
      <c r="F1805">
        <v>131.31</v>
      </c>
      <c r="G1805" t="s">
        <v>2099</v>
      </c>
      <c r="H1805">
        <f>_xlfn.XLOOKUP(E1805,K:K,L:L)</f>
        <v>8</v>
      </c>
    </row>
    <row r="1806" spans="1:8" x14ac:dyDescent="0.3">
      <c r="A1806" t="s">
        <v>92</v>
      </c>
      <c r="B1806">
        <v>10733543511</v>
      </c>
      <c r="C1806" t="s">
        <v>1823</v>
      </c>
      <c r="E1806" s="1">
        <v>45978</v>
      </c>
      <c r="F1806">
        <v>131.31</v>
      </c>
      <c r="G1806" t="s">
        <v>2099</v>
      </c>
      <c r="H1806">
        <f>_xlfn.XLOOKUP(E1806,K:K,L:L)</f>
        <v>8</v>
      </c>
    </row>
    <row r="1807" spans="1:8" x14ac:dyDescent="0.3">
      <c r="A1807" t="s">
        <v>92</v>
      </c>
      <c r="B1807">
        <v>20101302475</v>
      </c>
      <c r="C1807" t="s">
        <v>1824</v>
      </c>
      <c r="E1807" s="1">
        <v>45978</v>
      </c>
      <c r="F1807">
        <v>131.31</v>
      </c>
      <c r="G1807" t="s">
        <v>2099</v>
      </c>
      <c r="H1807">
        <f>_xlfn.XLOOKUP(E1807,K:K,L:L)</f>
        <v>8</v>
      </c>
    </row>
    <row r="1808" spans="1:8" x14ac:dyDescent="0.3">
      <c r="A1808" t="s">
        <v>92</v>
      </c>
      <c r="B1808">
        <v>20376827055</v>
      </c>
      <c r="C1808" t="s">
        <v>1825</v>
      </c>
      <c r="E1808" s="1">
        <v>45978</v>
      </c>
      <c r="F1808">
        <v>327.11</v>
      </c>
      <c r="G1808" t="s">
        <v>2099</v>
      </c>
      <c r="H1808">
        <f>_xlfn.XLOOKUP(E1808,K:K,L:L)</f>
        <v>8</v>
      </c>
    </row>
    <row r="1809" spans="1:8" x14ac:dyDescent="0.3">
      <c r="A1809" t="s">
        <v>92</v>
      </c>
      <c r="B1809">
        <v>20515104454</v>
      </c>
      <c r="C1809" t="s">
        <v>1827</v>
      </c>
      <c r="E1809" s="1">
        <v>45978</v>
      </c>
      <c r="F1809">
        <v>232.4</v>
      </c>
      <c r="G1809" t="s">
        <v>2099</v>
      </c>
      <c r="H1809">
        <f>_xlfn.XLOOKUP(E1809,K:K,L:L)</f>
        <v>8</v>
      </c>
    </row>
    <row r="1810" spans="1:8" x14ac:dyDescent="0.3">
      <c r="A1810" t="s">
        <v>92</v>
      </c>
      <c r="B1810">
        <v>20516464799</v>
      </c>
      <c r="C1810" t="s">
        <v>1843</v>
      </c>
      <c r="E1810" s="1">
        <v>45978</v>
      </c>
      <c r="F1810">
        <v>223.09</v>
      </c>
      <c r="G1810" t="s">
        <v>2099</v>
      </c>
      <c r="H1810">
        <f>_xlfn.XLOOKUP(E1810,K:K,L:L)</f>
        <v>8</v>
      </c>
    </row>
    <row r="1811" spans="1:8" x14ac:dyDescent="0.3">
      <c r="A1811" t="s">
        <v>92</v>
      </c>
      <c r="B1811">
        <v>20531638230</v>
      </c>
      <c r="C1811" t="s">
        <v>1829</v>
      </c>
      <c r="E1811" s="1">
        <v>45978</v>
      </c>
      <c r="F1811">
        <v>131.31</v>
      </c>
      <c r="G1811" t="s">
        <v>2099</v>
      </c>
      <c r="H1811">
        <f>_xlfn.XLOOKUP(E1811,K:K,L:L)</f>
        <v>8</v>
      </c>
    </row>
    <row r="1812" spans="1:8" x14ac:dyDescent="0.3">
      <c r="A1812" t="s">
        <v>92</v>
      </c>
      <c r="B1812">
        <v>20538512312</v>
      </c>
      <c r="C1812" t="s">
        <v>1830</v>
      </c>
      <c r="E1812" s="1">
        <v>45978</v>
      </c>
      <c r="F1812">
        <v>131.31</v>
      </c>
      <c r="G1812" t="s">
        <v>2099</v>
      </c>
      <c r="H1812">
        <f>_xlfn.XLOOKUP(E1812,K:K,L:L)</f>
        <v>8</v>
      </c>
    </row>
    <row r="1813" spans="1:8" x14ac:dyDescent="0.3">
      <c r="A1813" t="s">
        <v>92</v>
      </c>
      <c r="B1813">
        <v>20549066250</v>
      </c>
      <c r="C1813" t="s">
        <v>1831</v>
      </c>
      <c r="E1813" s="1">
        <v>45978</v>
      </c>
      <c r="F1813">
        <v>131.31</v>
      </c>
      <c r="G1813" t="s">
        <v>2099</v>
      </c>
      <c r="H1813">
        <f>_xlfn.XLOOKUP(E1813,K:K,L:L)</f>
        <v>8</v>
      </c>
    </row>
    <row r="1814" spans="1:8" x14ac:dyDescent="0.3">
      <c r="A1814" t="s">
        <v>92</v>
      </c>
      <c r="B1814">
        <v>20600510330</v>
      </c>
      <c r="C1814" t="s">
        <v>1844</v>
      </c>
      <c r="E1814" s="1">
        <v>45978</v>
      </c>
      <c r="F1814">
        <v>131.31</v>
      </c>
      <c r="G1814" t="s">
        <v>2099</v>
      </c>
      <c r="H1814">
        <f>_xlfn.XLOOKUP(E1814,K:K,L:L)</f>
        <v>8</v>
      </c>
    </row>
    <row r="1815" spans="1:8" x14ac:dyDescent="0.3">
      <c r="A1815" t="s">
        <v>92</v>
      </c>
      <c r="B1815">
        <v>20602550151</v>
      </c>
      <c r="C1815" t="s">
        <v>1835</v>
      </c>
      <c r="E1815" s="1">
        <v>45978</v>
      </c>
      <c r="F1815">
        <v>131.31</v>
      </c>
      <c r="G1815" t="s">
        <v>2099</v>
      </c>
      <c r="H1815">
        <f>_xlfn.XLOOKUP(E1815,K:K,L:L)</f>
        <v>8</v>
      </c>
    </row>
    <row r="1816" spans="1:8" x14ac:dyDescent="0.3">
      <c r="A1816" t="s">
        <v>92</v>
      </c>
      <c r="B1816">
        <v>20602937055</v>
      </c>
      <c r="C1816" t="s">
        <v>1836</v>
      </c>
      <c r="E1816" s="1">
        <v>45978</v>
      </c>
      <c r="F1816">
        <v>149.79</v>
      </c>
      <c r="G1816" t="s">
        <v>2099</v>
      </c>
      <c r="H1816">
        <f>_xlfn.XLOOKUP(E1816,K:K,L:L)</f>
        <v>8</v>
      </c>
    </row>
    <row r="1817" spans="1:8" x14ac:dyDescent="0.3">
      <c r="A1817" t="s">
        <v>92</v>
      </c>
      <c r="B1817">
        <v>20609059223</v>
      </c>
      <c r="C1817" t="s">
        <v>1838</v>
      </c>
      <c r="E1817" s="1">
        <v>45978</v>
      </c>
      <c r="F1817">
        <v>144.43</v>
      </c>
      <c r="G1817" t="s">
        <v>2099</v>
      </c>
      <c r="H1817">
        <f>_xlfn.XLOOKUP(E1817,K:K,L:L)</f>
        <v>8</v>
      </c>
    </row>
    <row r="1818" spans="1:8" x14ac:dyDescent="0.3">
      <c r="A1818" t="s">
        <v>92</v>
      </c>
      <c r="B1818">
        <v>20609957302</v>
      </c>
      <c r="C1818" t="s">
        <v>1839</v>
      </c>
      <c r="E1818" s="1">
        <v>45978</v>
      </c>
      <c r="F1818">
        <v>232.4</v>
      </c>
      <c r="G1818" t="s">
        <v>2099</v>
      </c>
      <c r="H1818">
        <f>_xlfn.XLOOKUP(E1818,K:K,L:L)</f>
        <v>8</v>
      </c>
    </row>
    <row r="1819" spans="1:8" x14ac:dyDescent="0.3">
      <c r="A1819" t="s">
        <v>92</v>
      </c>
      <c r="B1819">
        <v>20614047446</v>
      </c>
      <c r="C1819" t="s">
        <v>1841</v>
      </c>
      <c r="E1819" s="1">
        <v>45978</v>
      </c>
      <c r="F1819">
        <v>197.54000000000002</v>
      </c>
      <c r="G1819" t="s">
        <v>2099</v>
      </c>
      <c r="H1819">
        <f>_xlfn.XLOOKUP(E1819,K:K,L:L)</f>
        <v>8</v>
      </c>
    </row>
    <row r="1820" spans="1:8" x14ac:dyDescent="0.3">
      <c r="A1820" t="s">
        <v>92</v>
      </c>
      <c r="B1820">
        <v>20101302475</v>
      </c>
      <c r="C1820" t="s">
        <v>1824</v>
      </c>
      <c r="E1820" s="1">
        <v>45978</v>
      </c>
      <c r="F1820">
        <v>132.33000000000001</v>
      </c>
      <c r="G1820" t="s">
        <v>2099</v>
      </c>
      <c r="H1820">
        <f>_xlfn.XLOOKUP(E1820,K:K,L:L)</f>
        <v>8</v>
      </c>
    </row>
    <row r="1821" spans="1:8" x14ac:dyDescent="0.3">
      <c r="A1821" t="s">
        <v>92</v>
      </c>
      <c r="B1821">
        <v>20549066250</v>
      </c>
      <c r="C1821" t="s">
        <v>1831</v>
      </c>
      <c r="E1821" s="1">
        <v>45978</v>
      </c>
      <c r="F1821">
        <v>132.33000000000001</v>
      </c>
      <c r="G1821" t="s">
        <v>2099</v>
      </c>
      <c r="H1821">
        <f>_xlfn.XLOOKUP(E1821,K:K,L:L)</f>
        <v>8</v>
      </c>
    </row>
    <row r="1822" spans="1:8" x14ac:dyDescent="0.3">
      <c r="A1822" t="s">
        <v>92</v>
      </c>
      <c r="B1822">
        <v>20602550151</v>
      </c>
      <c r="C1822" t="s">
        <v>1835</v>
      </c>
      <c r="E1822" s="1">
        <v>45978</v>
      </c>
      <c r="F1822">
        <v>132.33000000000001</v>
      </c>
      <c r="G1822" t="s">
        <v>2099</v>
      </c>
      <c r="H1822">
        <f>_xlfn.XLOOKUP(E1822,K:K,L:L)</f>
        <v>8</v>
      </c>
    </row>
    <row r="1823" spans="1:8" x14ac:dyDescent="0.3">
      <c r="A1823" t="s">
        <v>92</v>
      </c>
      <c r="B1823">
        <v>20602550151</v>
      </c>
      <c r="C1823" t="s">
        <v>1835</v>
      </c>
      <c r="E1823" s="1">
        <v>45978</v>
      </c>
      <c r="F1823">
        <v>133.62</v>
      </c>
      <c r="G1823" t="s">
        <v>2099</v>
      </c>
      <c r="H1823">
        <f>_xlfn.XLOOKUP(E1823,K:K,L:L)</f>
        <v>8</v>
      </c>
    </row>
    <row r="1824" spans="1:8" x14ac:dyDescent="0.3">
      <c r="A1824" t="s">
        <v>92</v>
      </c>
      <c r="B1824">
        <v>20512679669</v>
      </c>
      <c r="C1824" t="s">
        <v>1845</v>
      </c>
      <c r="E1824" s="1">
        <v>45978</v>
      </c>
      <c r="F1824">
        <v>274.57</v>
      </c>
      <c r="G1824" t="s">
        <v>2099</v>
      </c>
      <c r="H1824">
        <f>_xlfn.XLOOKUP(E1824,K:K,L:L)</f>
        <v>8</v>
      </c>
    </row>
    <row r="1825" spans="1:8" x14ac:dyDescent="0.3">
      <c r="A1825" t="s">
        <v>92</v>
      </c>
      <c r="B1825">
        <v>20602550151</v>
      </c>
      <c r="C1825" t="s">
        <v>1835</v>
      </c>
      <c r="E1825" s="1">
        <v>45978</v>
      </c>
      <c r="F1825">
        <v>134.78</v>
      </c>
      <c r="G1825" t="s">
        <v>2099</v>
      </c>
      <c r="H1825">
        <f>_xlfn.XLOOKUP(E1825,K:K,L:L)</f>
        <v>8</v>
      </c>
    </row>
    <row r="1826" spans="1:8" x14ac:dyDescent="0.3">
      <c r="A1826" t="s">
        <v>92</v>
      </c>
      <c r="B1826">
        <v>20493707508</v>
      </c>
      <c r="C1826" t="s">
        <v>1846</v>
      </c>
      <c r="E1826" s="1">
        <v>45978</v>
      </c>
      <c r="F1826">
        <v>149.53</v>
      </c>
      <c r="G1826" t="s">
        <v>2099</v>
      </c>
      <c r="H1826">
        <f>_xlfn.XLOOKUP(E1826,K:K,L:L)</f>
        <v>8</v>
      </c>
    </row>
    <row r="1827" spans="1:8" x14ac:dyDescent="0.3">
      <c r="A1827" t="s">
        <v>92</v>
      </c>
      <c r="B1827">
        <v>20512679669</v>
      </c>
      <c r="C1827" t="s">
        <v>1845</v>
      </c>
      <c r="E1827" s="1">
        <v>45978</v>
      </c>
      <c r="F1827">
        <v>278.93</v>
      </c>
      <c r="G1827" t="s">
        <v>2099</v>
      </c>
      <c r="H1827">
        <f>_xlfn.XLOOKUP(E1827,K:K,L:L)</f>
        <v>8</v>
      </c>
    </row>
    <row r="1828" spans="1:8" x14ac:dyDescent="0.3">
      <c r="A1828" t="s">
        <v>92</v>
      </c>
      <c r="B1828">
        <v>20493707508</v>
      </c>
      <c r="C1828" t="s">
        <v>1846</v>
      </c>
      <c r="E1828" s="1">
        <v>45978</v>
      </c>
      <c r="F1828">
        <v>150.80000000000001</v>
      </c>
      <c r="G1828" t="s">
        <v>2099</v>
      </c>
      <c r="H1828">
        <f>_xlfn.XLOOKUP(E1828,K:K,L:L)</f>
        <v>8</v>
      </c>
    </row>
    <row r="1829" spans="1:8" x14ac:dyDescent="0.3">
      <c r="A1829" t="s">
        <v>92</v>
      </c>
      <c r="B1829">
        <v>20512679669</v>
      </c>
      <c r="C1829" t="s">
        <v>1845</v>
      </c>
      <c r="E1829" s="1">
        <v>45978</v>
      </c>
      <c r="F1829">
        <v>309.20999999999998</v>
      </c>
      <c r="G1829" t="s">
        <v>2099</v>
      </c>
      <c r="H1829">
        <f>_xlfn.XLOOKUP(E1829,K:K,L:L)</f>
        <v>8</v>
      </c>
    </row>
    <row r="1830" spans="1:8" x14ac:dyDescent="0.3">
      <c r="A1830" t="s">
        <v>92</v>
      </c>
      <c r="B1830">
        <v>20536211552</v>
      </c>
      <c r="C1830" t="s">
        <v>1847</v>
      </c>
      <c r="E1830" s="1">
        <v>45978</v>
      </c>
      <c r="F1830">
        <v>270.54000000000002</v>
      </c>
      <c r="G1830" t="s">
        <v>2099</v>
      </c>
      <c r="H1830">
        <f>_xlfn.XLOOKUP(E1830,K:K,L:L)</f>
        <v>8</v>
      </c>
    </row>
    <row r="1831" spans="1:8" x14ac:dyDescent="0.3">
      <c r="A1831" t="s">
        <v>92</v>
      </c>
      <c r="B1831">
        <v>20512679669</v>
      </c>
      <c r="C1831" t="s">
        <v>1845</v>
      </c>
      <c r="E1831" s="1">
        <v>45978</v>
      </c>
      <c r="F1831">
        <v>257.08000000000004</v>
      </c>
      <c r="G1831" t="s">
        <v>2099</v>
      </c>
      <c r="H1831">
        <f>_xlfn.XLOOKUP(E1831,K:K,L:L)</f>
        <v>8</v>
      </c>
    </row>
    <row r="1832" spans="1:8" x14ac:dyDescent="0.3">
      <c r="A1832" t="s">
        <v>6</v>
      </c>
      <c r="B1832">
        <v>20505174896</v>
      </c>
      <c r="C1832" t="s">
        <v>2058</v>
      </c>
      <c r="E1832" s="1">
        <v>45978</v>
      </c>
      <c r="F1832">
        <v>15355.29</v>
      </c>
      <c r="G1832" t="s">
        <v>2099</v>
      </c>
      <c r="H1832">
        <f>_xlfn.XLOOKUP(E1832,K:K,L:L)</f>
        <v>8</v>
      </c>
    </row>
    <row r="1833" spans="1:8" x14ac:dyDescent="0.3">
      <c r="A1833" t="s">
        <v>6</v>
      </c>
      <c r="B1833">
        <v>20613405322</v>
      </c>
      <c r="C1833" t="s">
        <v>2059</v>
      </c>
      <c r="E1833" s="1">
        <v>45978</v>
      </c>
      <c r="F1833">
        <v>130.03</v>
      </c>
      <c r="G1833" t="s">
        <v>2099</v>
      </c>
      <c r="H1833">
        <f>_xlfn.XLOOKUP(E1833,K:K,L:L)</f>
        <v>8</v>
      </c>
    </row>
    <row r="1834" spans="1:8" x14ac:dyDescent="0.3">
      <c r="A1834" t="s">
        <v>93</v>
      </c>
      <c r="B1834">
        <v>20601613256</v>
      </c>
      <c r="C1834" t="s">
        <v>2091</v>
      </c>
      <c r="E1834" s="1">
        <v>45978</v>
      </c>
      <c r="F1834">
        <v>148.32</v>
      </c>
      <c r="G1834" t="s">
        <v>2099</v>
      </c>
      <c r="H1834">
        <f>_xlfn.XLOOKUP(E1834,K:K,L:L)</f>
        <v>8</v>
      </c>
    </row>
    <row r="1835" spans="1:8" x14ac:dyDescent="0.3">
      <c r="A1835" t="s">
        <v>92</v>
      </c>
      <c r="B1835">
        <v>10404047103</v>
      </c>
      <c r="C1835" t="s">
        <v>1848</v>
      </c>
      <c r="E1835" s="1">
        <v>45979</v>
      </c>
      <c r="F1835">
        <v>230.35999999999999</v>
      </c>
      <c r="G1835" t="s">
        <v>2099</v>
      </c>
      <c r="H1835">
        <f>_xlfn.XLOOKUP(E1835,K:K,L:L)</f>
        <v>9</v>
      </c>
    </row>
    <row r="1836" spans="1:8" x14ac:dyDescent="0.3">
      <c r="A1836" t="s">
        <v>92</v>
      </c>
      <c r="B1836">
        <v>10416339339</v>
      </c>
      <c r="C1836" t="s">
        <v>1849</v>
      </c>
      <c r="E1836" s="1">
        <v>45979</v>
      </c>
      <c r="F1836">
        <v>130.15</v>
      </c>
      <c r="G1836" t="s">
        <v>2099</v>
      </c>
      <c r="H1836">
        <f>_xlfn.XLOOKUP(E1836,K:K,L:L)</f>
        <v>9</v>
      </c>
    </row>
    <row r="1837" spans="1:8" x14ac:dyDescent="0.3">
      <c r="A1837" t="s">
        <v>92</v>
      </c>
      <c r="B1837">
        <v>10416339339</v>
      </c>
      <c r="C1837" t="s">
        <v>1849</v>
      </c>
      <c r="E1837" s="1">
        <v>45979</v>
      </c>
      <c r="F1837">
        <v>130.15</v>
      </c>
      <c r="G1837" t="s">
        <v>2099</v>
      </c>
      <c r="H1837">
        <f>_xlfn.XLOOKUP(E1837,K:K,L:L)</f>
        <v>9</v>
      </c>
    </row>
    <row r="1838" spans="1:8" x14ac:dyDescent="0.3">
      <c r="A1838" t="s">
        <v>92</v>
      </c>
      <c r="B1838">
        <v>20134994038</v>
      </c>
      <c r="C1838" t="s">
        <v>1850</v>
      </c>
      <c r="E1838" s="1">
        <v>45979</v>
      </c>
      <c r="F1838">
        <v>506.78000000000003</v>
      </c>
      <c r="G1838" t="s">
        <v>2099</v>
      </c>
      <c r="H1838">
        <f>_xlfn.XLOOKUP(E1838,K:K,L:L)</f>
        <v>9</v>
      </c>
    </row>
    <row r="1839" spans="1:8" x14ac:dyDescent="0.3">
      <c r="A1839" t="s">
        <v>92</v>
      </c>
      <c r="B1839">
        <v>20176943247</v>
      </c>
      <c r="C1839" t="s">
        <v>1851</v>
      </c>
      <c r="E1839" s="1">
        <v>45979</v>
      </c>
      <c r="F1839">
        <v>733.68999999999994</v>
      </c>
      <c r="G1839" t="s">
        <v>2099</v>
      </c>
      <c r="H1839">
        <f>_xlfn.XLOOKUP(E1839,K:K,L:L)</f>
        <v>9</v>
      </c>
    </row>
    <row r="1840" spans="1:8" x14ac:dyDescent="0.3">
      <c r="A1840" t="s">
        <v>92</v>
      </c>
      <c r="B1840">
        <v>20527420726</v>
      </c>
      <c r="C1840" t="s">
        <v>1852</v>
      </c>
      <c r="E1840" s="1">
        <v>45979</v>
      </c>
      <c r="F1840">
        <v>273.31</v>
      </c>
      <c r="G1840" t="s">
        <v>2099</v>
      </c>
      <c r="H1840">
        <f>_xlfn.XLOOKUP(E1840,K:K,L:L)</f>
        <v>9</v>
      </c>
    </row>
    <row r="1841" spans="1:8" x14ac:dyDescent="0.3">
      <c r="A1841" t="s">
        <v>92</v>
      </c>
      <c r="B1841">
        <v>20539511123</v>
      </c>
      <c r="C1841" t="s">
        <v>1853</v>
      </c>
      <c r="E1841" s="1">
        <v>45979</v>
      </c>
      <c r="F1841">
        <v>130.15</v>
      </c>
      <c r="G1841" t="s">
        <v>2099</v>
      </c>
      <c r="H1841">
        <f>_xlfn.XLOOKUP(E1841,K:K,L:L)</f>
        <v>9</v>
      </c>
    </row>
    <row r="1842" spans="1:8" x14ac:dyDescent="0.3">
      <c r="A1842" t="s">
        <v>92</v>
      </c>
      <c r="B1842">
        <v>20551506054</v>
      </c>
      <c r="C1842" t="s">
        <v>1854</v>
      </c>
      <c r="E1842" s="1">
        <v>45979</v>
      </c>
      <c r="F1842">
        <v>448.47</v>
      </c>
      <c r="G1842" t="s">
        <v>2099</v>
      </c>
      <c r="H1842">
        <f>_xlfn.XLOOKUP(E1842,K:K,L:L)</f>
        <v>9</v>
      </c>
    </row>
    <row r="1843" spans="1:8" x14ac:dyDescent="0.3">
      <c r="A1843" t="s">
        <v>92</v>
      </c>
      <c r="B1843">
        <v>20553474257</v>
      </c>
      <c r="C1843" t="s">
        <v>1855</v>
      </c>
      <c r="E1843" s="1">
        <v>45979</v>
      </c>
      <c r="F1843">
        <v>340.37</v>
      </c>
      <c r="G1843" t="s">
        <v>2099</v>
      </c>
      <c r="H1843">
        <f>_xlfn.XLOOKUP(E1843,K:K,L:L)</f>
        <v>9</v>
      </c>
    </row>
    <row r="1844" spans="1:8" x14ac:dyDescent="0.3">
      <c r="A1844" t="s">
        <v>92</v>
      </c>
      <c r="B1844">
        <v>20557419994</v>
      </c>
      <c r="C1844" t="s">
        <v>1856</v>
      </c>
      <c r="E1844" s="1">
        <v>45979</v>
      </c>
      <c r="F1844">
        <v>383.14000000000004</v>
      </c>
      <c r="G1844" t="s">
        <v>2099</v>
      </c>
      <c r="H1844">
        <f>_xlfn.XLOOKUP(E1844,K:K,L:L)</f>
        <v>9</v>
      </c>
    </row>
    <row r="1845" spans="1:8" x14ac:dyDescent="0.3">
      <c r="A1845" t="s">
        <v>92</v>
      </c>
      <c r="B1845">
        <v>20600670230</v>
      </c>
      <c r="C1845" t="s">
        <v>1857</v>
      </c>
      <c r="E1845" s="1">
        <v>45979</v>
      </c>
      <c r="F1845">
        <v>207.67</v>
      </c>
      <c r="G1845" t="s">
        <v>2099</v>
      </c>
      <c r="H1845">
        <f>_xlfn.XLOOKUP(E1845,K:K,L:L)</f>
        <v>9</v>
      </c>
    </row>
    <row r="1846" spans="1:8" x14ac:dyDescent="0.3">
      <c r="A1846" t="s">
        <v>92</v>
      </c>
      <c r="B1846">
        <v>20601703387</v>
      </c>
      <c r="C1846" t="s">
        <v>1858</v>
      </c>
      <c r="E1846" s="1">
        <v>45979</v>
      </c>
      <c r="F1846">
        <v>130.15</v>
      </c>
      <c r="G1846" t="s">
        <v>2099</v>
      </c>
      <c r="H1846">
        <f>_xlfn.XLOOKUP(E1846,K:K,L:L)</f>
        <v>9</v>
      </c>
    </row>
    <row r="1847" spans="1:8" x14ac:dyDescent="0.3">
      <c r="A1847" t="s">
        <v>92</v>
      </c>
      <c r="B1847">
        <v>20602633901</v>
      </c>
      <c r="C1847" t="s">
        <v>1859</v>
      </c>
      <c r="E1847" s="1">
        <v>45979</v>
      </c>
      <c r="F1847">
        <v>287.95</v>
      </c>
      <c r="G1847" t="s">
        <v>2099</v>
      </c>
      <c r="H1847">
        <f>_xlfn.XLOOKUP(E1847,K:K,L:L)</f>
        <v>9</v>
      </c>
    </row>
    <row r="1848" spans="1:8" x14ac:dyDescent="0.3">
      <c r="A1848" t="s">
        <v>92</v>
      </c>
      <c r="B1848">
        <v>20603308361</v>
      </c>
      <c r="C1848" t="s">
        <v>1860</v>
      </c>
      <c r="E1848" s="1">
        <v>45979</v>
      </c>
      <c r="F1848">
        <v>1439.73</v>
      </c>
      <c r="G1848" t="s">
        <v>2099</v>
      </c>
      <c r="H1848">
        <f>_xlfn.XLOOKUP(E1848,K:K,L:L)</f>
        <v>9</v>
      </c>
    </row>
    <row r="1849" spans="1:8" x14ac:dyDescent="0.3">
      <c r="A1849" t="s">
        <v>92</v>
      </c>
      <c r="B1849">
        <v>20605358129</v>
      </c>
      <c r="C1849" t="s">
        <v>1861</v>
      </c>
      <c r="E1849" s="1">
        <v>45979</v>
      </c>
      <c r="F1849">
        <v>706.04</v>
      </c>
      <c r="G1849" t="s">
        <v>2099</v>
      </c>
      <c r="H1849">
        <f>_xlfn.XLOOKUP(E1849,K:K,L:L)</f>
        <v>9</v>
      </c>
    </row>
    <row r="1850" spans="1:8" x14ac:dyDescent="0.3">
      <c r="A1850" t="s">
        <v>92</v>
      </c>
      <c r="B1850">
        <v>20606379588</v>
      </c>
      <c r="C1850" t="s">
        <v>1862</v>
      </c>
      <c r="E1850" s="1">
        <v>45979</v>
      </c>
      <c r="F1850">
        <v>293.45999999999998</v>
      </c>
      <c r="G1850" t="s">
        <v>2099</v>
      </c>
      <c r="H1850">
        <f>_xlfn.XLOOKUP(E1850,K:K,L:L)</f>
        <v>9</v>
      </c>
    </row>
    <row r="1851" spans="1:8" x14ac:dyDescent="0.3">
      <c r="A1851" t="s">
        <v>92</v>
      </c>
      <c r="B1851">
        <v>20606613009</v>
      </c>
      <c r="C1851" t="s">
        <v>1863</v>
      </c>
      <c r="E1851" s="1">
        <v>45979</v>
      </c>
      <c r="F1851">
        <v>287.95</v>
      </c>
      <c r="G1851" t="s">
        <v>2099</v>
      </c>
      <c r="H1851">
        <f>_xlfn.XLOOKUP(E1851,K:K,L:L)</f>
        <v>9</v>
      </c>
    </row>
    <row r="1852" spans="1:8" x14ac:dyDescent="0.3">
      <c r="A1852" t="s">
        <v>92</v>
      </c>
      <c r="B1852">
        <v>20608051938</v>
      </c>
      <c r="C1852" t="s">
        <v>1864</v>
      </c>
      <c r="E1852" s="1">
        <v>45979</v>
      </c>
      <c r="F1852">
        <v>1039.6300000000001</v>
      </c>
      <c r="G1852" t="s">
        <v>2099</v>
      </c>
      <c r="H1852">
        <f>_xlfn.XLOOKUP(E1852,K:K,L:L)</f>
        <v>9</v>
      </c>
    </row>
    <row r="1853" spans="1:8" x14ac:dyDescent="0.3">
      <c r="A1853" t="s">
        <v>92</v>
      </c>
      <c r="B1853">
        <v>20609109531</v>
      </c>
      <c r="C1853" t="s">
        <v>1865</v>
      </c>
      <c r="E1853" s="1">
        <v>45979</v>
      </c>
      <c r="F1853">
        <v>405.31000000000006</v>
      </c>
      <c r="G1853" t="s">
        <v>2099</v>
      </c>
      <c r="H1853">
        <f>_xlfn.XLOOKUP(E1853,K:K,L:L)</f>
        <v>9</v>
      </c>
    </row>
    <row r="1854" spans="1:8" x14ac:dyDescent="0.3">
      <c r="A1854" t="s">
        <v>92</v>
      </c>
      <c r="B1854">
        <v>20611673583</v>
      </c>
      <c r="C1854" t="s">
        <v>1866</v>
      </c>
      <c r="E1854" s="1">
        <v>45979</v>
      </c>
      <c r="F1854">
        <v>130.15</v>
      </c>
      <c r="G1854" t="s">
        <v>2099</v>
      </c>
      <c r="H1854">
        <f>_xlfn.XLOOKUP(E1854,K:K,L:L)</f>
        <v>9</v>
      </c>
    </row>
    <row r="1855" spans="1:8" x14ac:dyDescent="0.3">
      <c r="A1855" t="s">
        <v>92</v>
      </c>
      <c r="B1855">
        <v>20612587974</v>
      </c>
      <c r="C1855" t="s">
        <v>1867</v>
      </c>
      <c r="E1855" s="1">
        <v>45979</v>
      </c>
      <c r="F1855">
        <v>130.15</v>
      </c>
      <c r="G1855" t="s">
        <v>2099</v>
      </c>
      <c r="H1855">
        <f>_xlfn.XLOOKUP(E1855,K:K,L:L)</f>
        <v>9</v>
      </c>
    </row>
    <row r="1856" spans="1:8" x14ac:dyDescent="0.3">
      <c r="A1856" t="s">
        <v>92</v>
      </c>
      <c r="B1856">
        <v>20613388126</v>
      </c>
      <c r="C1856" t="s">
        <v>1868</v>
      </c>
      <c r="E1856" s="1">
        <v>45979</v>
      </c>
      <c r="F1856">
        <v>455.7</v>
      </c>
      <c r="G1856" t="s">
        <v>2099</v>
      </c>
      <c r="H1856">
        <f>_xlfn.XLOOKUP(E1856,K:K,L:L)</f>
        <v>9</v>
      </c>
    </row>
    <row r="1857" spans="1:8" x14ac:dyDescent="0.3">
      <c r="A1857" t="s">
        <v>92</v>
      </c>
      <c r="B1857">
        <v>20613454374</v>
      </c>
      <c r="C1857" t="s">
        <v>1869</v>
      </c>
      <c r="E1857" s="1">
        <v>45979</v>
      </c>
      <c r="F1857">
        <v>130.15</v>
      </c>
      <c r="G1857" t="s">
        <v>2099</v>
      </c>
      <c r="H1857">
        <f>_xlfn.XLOOKUP(E1857,K:K,L:L)</f>
        <v>9</v>
      </c>
    </row>
    <row r="1858" spans="1:8" x14ac:dyDescent="0.3">
      <c r="A1858" t="s">
        <v>92</v>
      </c>
      <c r="B1858">
        <v>20613788141</v>
      </c>
      <c r="C1858" t="s">
        <v>1870</v>
      </c>
      <c r="E1858" s="1">
        <v>45979</v>
      </c>
      <c r="F1858">
        <v>264.91000000000003</v>
      </c>
      <c r="G1858" t="s">
        <v>2099</v>
      </c>
      <c r="H1858">
        <f>_xlfn.XLOOKUP(E1858,K:K,L:L)</f>
        <v>9</v>
      </c>
    </row>
    <row r="1859" spans="1:8" x14ac:dyDescent="0.3">
      <c r="A1859" t="s">
        <v>92</v>
      </c>
      <c r="B1859">
        <v>10277471332</v>
      </c>
      <c r="C1859" t="s">
        <v>1871</v>
      </c>
      <c r="E1859" s="1">
        <v>45979</v>
      </c>
      <c r="F1859">
        <v>262.61</v>
      </c>
      <c r="G1859" t="s">
        <v>2099</v>
      </c>
      <c r="H1859">
        <f>_xlfn.XLOOKUP(E1859,K:K,L:L)</f>
        <v>9</v>
      </c>
    </row>
    <row r="1860" spans="1:8" x14ac:dyDescent="0.3">
      <c r="A1860" t="s">
        <v>92</v>
      </c>
      <c r="B1860">
        <v>20504497691</v>
      </c>
      <c r="C1860" t="s">
        <v>1872</v>
      </c>
      <c r="E1860" s="1">
        <v>45979</v>
      </c>
      <c r="F1860">
        <v>131.31</v>
      </c>
      <c r="G1860" t="s">
        <v>2099</v>
      </c>
      <c r="H1860">
        <f>_xlfn.XLOOKUP(E1860,K:K,L:L)</f>
        <v>9</v>
      </c>
    </row>
    <row r="1861" spans="1:8" x14ac:dyDescent="0.3">
      <c r="A1861" t="s">
        <v>92</v>
      </c>
      <c r="B1861">
        <v>20539511123</v>
      </c>
      <c r="C1861" t="s">
        <v>1853</v>
      </c>
      <c r="E1861" s="1">
        <v>45979</v>
      </c>
      <c r="F1861">
        <v>131.31</v>
      </c>
      <c r="G1861" t="s">
        <v>2099</v>
      </c>
      <c r="H1861">
        <f>_xlfn.XLOOKUP(E1861,K:K,L:L)</f>
        <v>9</v>
      </c>
    </row>
    <row r="1862" spans="1:8" x14ac:dyDescent="0.3">
      <c r="A1862" t="s">
        <v>92</v>
      </c>
      <c r="B1862">
        <v>20551506054</v>
      </c>
      <c r="C1862" t="s">
        <v>1854</v>
      </c>
      <c r="E1862" s="1">
        <v>45979</v>
      </c>
      <c r="F1862">
        <v>369.29</v>
      </c>
      <c r="G1862" t="s">
        <v>2099</v>
      </c>
      <c r="H1862">
        <f>_xlfn.XLOOKUP(E1862,K:K,L:L)</f>
        <v>9</v>
      </c>
    </row>
    <row r="1863" spans="1:8" x14ac:dyDescent="0.3">
      <c r="A1863" t="s">
        <v>92</v>
      </c>
      <c r="B1863">
        <v>20601703387</v>
      </c>
      <c r="C1863" t="s">
        <v>1858</v>
      </c>
      <c r="E1863" s="1">
        <v>45979</v>
      </c>
      <c r="F1863">
        <v>131.31</v>
      </c>
      <c r="G1863" t="s">
        <v>2099</v>
      </c>
      <c r="H1863">
        <f>_xlfn.XLOOKUP(E1863,K:K,L:L)</f>
        <v>9</v>
      </c>
    </row>
    <row r="1864" spans="1:8" x14ac:dyDescent="0.3">
      <c r="A1864" t="s">
        <v>92</v>
      </c>
      <c r="B1864">
        <v>20605056777</v>
      </c>
      <c r="C1864" t="s">
        <v>1873</v>
      </c>
      <c r="E1864" s="1">
        <v>45979</v>
      </c>
      <c r="F1864">
        <v>195.22</v>
      </c>
      <c r="G1864" t="s">
        <v>2099</v>
      </c>
      <c r="H1864">
        <f>_xlfn.XLOOKUP(E1864,K:K,L:L)</f>
        <v>9</v>
      </c>
    </row>
    <row r="1865" spans="1:8" x14ac:dyDescent="0.3">
      <c r="A1865" t="s">
        <v>92</v>
      </c>
      <c r="B1865">
        <v>20606613009</v>
      </c>
      <c r="C1865" t="s">
        <v>1863</v>
      </c>
      <c r="E1865" s="1">
        <v>45979</v>
      </c>
      <c r="F1865">
        <v>290.5</v>
      </c>
      <c r="G1865" t="s">
        <v>2099</v>
      </c>
      <c r="H1865">
        <f>_xlfn.XLOOKUP(E1865,K:K,L:L)</f>
        <v>9</v>
      </c>
    </row>
    <row r="1866" spans="1:8" x14ac:dyDescent="0.3">
      <c r="A1866" t="s">
        <v>92</v>
      </c>
      <c r="B1866">
        <v>20608051938</v>
      </c>
      <c r="C1866" t="s">
        <v>1864</v>
      </c>
      <c r="E1866" s="1">
        <v>45979</v>
      </c>
      <c r="F1866">
        <v>1048.8699999999999</v>
      </c>
      <c r="G1866" t="s">
        <v>2099</v>
      </c>
      <c r="H1866">
        <f>_xlfn.XLOOKUP(E1866,K:K,L:L)</f>
        <v>9</v>
      </c>
    </row>
    <row r="1867" spans="1:8" x14ac:dyDescent="0.3">
      <c r="A1867" t="s">
        <v>92</v>
      </c>
      <c r="B1867">
        <v>20611673583</v>
      </c>
      <c r="C1867" t="s">
        <v>1866</v>
      </c>
      <c r="E1867" s="1">
        <v>45979</v>
      </c>
      <c r="F1867">
        <v>131.31</v>
      </c>
      <c r="G1867" t="s">
        <v>2099</v>
      </c>
      <c r="H1867">
        <f>_xlfn.XLOOKUP(E1867,K:K,L:L)</f>
        <v>9</v>
      </c>
    </row>
    <row r="1868" spans="1:8" x14ac:dyDescent="0.3">
      <c r="A1868" t="s">
        <v>92</v>
      </c>
      <c r="B1868">
        <v>20612587974</v>
      </c>
      <c r="C1868" t="s">
        <v>1867</v>
      </c>
      <c r="E1868" s="1">
        <v>45979</v>
      </c>
      <c r="F1868">
        <v>131.31</v>
      </c>
      <c r="G1868" t="s">
        <v>2099</v>
      </c>
      <c r="H1868">
        <f>_xlfn.XLOOKUP(E1868,K:K,L:L)</f>
        <v>9</v>
      </c>
    </row>
    <row r="1869" spans="1:8" x14ac:dyDescent="0.3">
      <c r="A1869" t="s">
        <v>92</v>
      </c>
      <c r="B1869">
        <v>20613388126</v>
      </c>
      <c r="C1869" t="s">
        <v>1868</v>
      </c>
      <c r="E1869" s="1">
        <v>45979</v>
      </c>
      <c r="F1869">
        <v>582.70000000000005</v>
      </c>
      <c r="G1869" t="s">
        <v>2099</v>
      </c>
      <c r="H1869">
        <f>_xlfn.XLOOKUP(E1869,K:K,L:L)</f>
        <v>9</v>
      </c>
    </row>
    <row r="1870" spans="1:8" x14ac:dyDescent="0.3">
      <c r="A1870" t="s">
        <v>92</v>
      </c>
      <c r="B1870">
        <v>20613454374</v>
      </c>
      <c r="C1870" t="s">
        <v>1869</v>
      </c>
      <c r="E1870" s="1">
        <v>45979</v>
      </c>
      <c r="F1870">
        <v>131.31</v>
      </c>
      <c r="G1870" t="s">
        <v>2099</v>
      </c>
      <c r="H1870">
        <f>_xlfn.XLOOKUP(E1870,K:K,L:L)</f>
        <v>9</v>
      </c>
    </row>
    <row r="1871" spans="1:8" x14ac:dyDescent="0.3">
      <c r="A1871" t="s">
        <v>92</v>
      </c>
      <c r="B1871">
        <v>20613788141</v>
      </c>
      <c r="C1871" t="s">
        <v>1870</v>
      </c>
      <c r="E1871" s="1">
        <v>45979</v>
      </c>
      <c r="F1871">
        <v>267.26</v>
      </c>
      <c r="G1871" t="s">
        <v>2099</v>
      </c>
      <c r="H1871">
        <f>_xlfn.XLOOKUP(E1871,K:K,L:L)</f>
        <v>9</v>
      </c>
    </row>
    <row r="1872" spans="1:8" x14ac:dyDescent="0.3">
      <c r="A1872" t="s">
        <v>92</v>
      </c>
      <c r="B1872">
        <v>20504497691</v>
      </c>
      <c r="C1872" t="s">
        <v>1872</v>
      </c>
      <c r="E1872" s="1">
        <v>45979</v>
      </c>
      <c r="F1872">
        <v>132.46</v>
      </c>
      <c r="G1872" t="s">
        <v>2099</v>
      </c>
      <c r="H1872">
        <f>_xlfn.XLOOKUP(E1872,K:K,L:L)</f>
        <v>9</v>
      </c>
    </row>
    <row r="1873" spans="1:8" x14ac:dyDescent="0.3">
      <c r="A1873" t="s">
        <v>92</v>
      </c>
      <c r="B1873">
        <v>20551506054</v>
      </c>
      <c r="C1873" t="s">
        <v>1854</v>
      </c>
      <c r="E1873" s="1">
        <v>45979</v>
      </c>
      <c r="F1873">
        <v>19.540000000000003</v>
      </c>
      <c r="G1873" t="s">
        <v>2099</v>
      </c>
      <c r="H1873">
        <f>_xlfn.XLOOKUP(E1873,K:K,L:L)</f>
        <v>9</v>
      </c>
    </row>
    <row r="1874" spans="1:8" x14ac:dyDescent="0.3">
      <c r="A1874" t="s">
        <v>92</v>
      </c>
      <c r="B1874">
        <v>20601703387</v>
      </c>
      <c r="C1874" t="s">
        <v>1858</v>
      </c>
      <c r="E1874" s="1">
        <v>45979</v>
      </c>
      <c r="F1874">
        <v>132.46</v>
      </c>
      <c r="G1874" t="s">
        <v>2099</v>
      </c>
      <c r="H1874">
        <f>_xlfn.XLOOKUP(E1874,K:K,L:L)</f>
        <v>9</v>
      </c>
    </row>
    <row r="1875" spans="1:8" x14ac:dyDescent="0.3">
      <c r="A1875" t="s">
        <v>92</v>
      </c>
      <c r="B1875">
        <v>20603587023</v>
      </c>
      <c r="C1875" t="s">
        <v>1796</v>
      </c>
      <c r="E1875" s="1">
        <v>45979</v>
      </c>
      <c r="F1875">
        <v>351.67</v>
      </c>
      <c r="G1875" t="s">
        <v>2099</v>
      </c>
      <c r="H1875">
        <f>_xlfn.XLOOKUP(E1875,K:K,L:L)</f>
        <v>9</v>
      </c>
    </row>
    <row r="1876" spans="1:8" x14ac:dyDescent="0.3">
      <c r="A1876" t="s">
        <v>92</v>
      </c>
      <c r="B1876">
        <v>20606613009</v>
      </c>
      <c r="C1876" t="s">
        <v>1863</v>
      </c>
      <c r="E1876" s="1">
        <v>45979</v>
      </c>
      <c r="F1876">
        <v>293.06</v>
      </c>
      <c r="G1876" t="s">
        <v>2099</v>
      </c>
      <c r="H1876">
        <f>_xlfn.XLOOKUP(E1876,K:K,L:L)</f>
        <v>9</v>
      </c>
    </row>
    <row r="1877" spans="1:8" x14ac:dyDescent="0.3">
      <c r="A1877" t="s">
        <v>92</v>
      </c>
      <c r="B1877">
        <v>20611673583</v>
      </c>
      <c r="C1877" t="s">
        <v>1866</v>
      </c>
      <c r="E1877" s="1">
        <v>45979</v>
      </c>
      <c r="F1877">
        <v>132.46</v>
      </c>
      <c r="G1877" t="s">
        <v>2099</v>
      </c>
      <c r="H1877">
        <f>_xlfn.XLOOKUP(E1877,K:K,L:L)</f>
        <v>9</v>
      </c>
    </row>
    <row r="1878" spans="1:8" x14ac:dyDescent="0.3">
      <c r="A1878" t="s">
        <v>92</v>
      </c>
      <c r="B1878">
        <v>20612587974</v>
      </c>
      <c r="C1878" t="s">
        <v>1867</v>
      </c>
      <c r="E1878" s="1">
        <v>45979</v>
      </c>
      <c r="F1878">
        <v>132.46</v>
      </c>
      <c r="G1878" t="s">
        <v>2099</v>
      </c>
      <c r="H1878">
        <f>_xlfn.XLOOKUP(E1878,K:K,L:L)</f>
        <v>9</v>
      </c>
    </row>
    <row r="1879" spans="1:8" x14ac:dyDescent="0.3">
      <c r="A1879" t="s">
        <v>92</v>
      </c>
      <c r="B1879">
        <v>20606613009</v>
      </c>
      <c r="C1879" t="s">
        <v>1863</v>
      </c>
      <c r="E1879" s="1">
        <v>45979</v>
      </c>
      <c r="F1879">
        <v>295.62</v>
      </c>
      <c r="G1879" t="s">
        <v>2099</v>
      </c>
      <c r="H1879">
        <f>_xlfn.XLOOKUP(E1879,K:K,L:L)</f>
        <v>9</v>
      </c>
    </row>
    <row r="1880" spans="1:8" x14ac:dyDescent="0.3">
      <c r="A1880" t="s">
        <v>92</v>
      </c>
      <c r="B1880">
        <v>20612587974</v>
      </c>
      <c r="C1880" t="s">
        <v>1867</v>
      </c>
      <c r="E1880" s="1">
        <v>45979</v>
      </c>
      <c r="F1880">
        <v>133.62</v>
      </c>
      <c r="G1880" t="s">
        <v>2099</v>
      </c>
      <c r="H1880">
        <f>_xlfn.XLOOKUP(E1880,K:K,L:L)</f>
        <v>9</v>
      </c>
    </row>
    <row r="1881" spans="1:8" x14ac:dyDescent="0.3">
      <c r="A1881" t="s">
        <v>92</v>
      </c>
      <c r="B1881">
        <v>20603587023</v>
      </c>
      <c r="C1881" t="s">
        <v>1796</v>
      </c>
      <c r="E1881" s="1">
        <v>45979</v>
      </c>
      <c r="F1881">
        <v>358.15999999999997</v>
      </c>
      <c r="G1881" t="s">
        <v>2099</v>
      </c>
      <c r="H1881">
        <f>_xlfn.XLOOKUP(E1881,K:K,L:L)</f>
        <v>9</v>
      </c>
    </row>
    <row r="1882" spans="1:8" x14ac:dyDescent="0.3">
      <c r="A1882" t="s">
        <v>92</v>
      </c>
      <c r="B1882">
        <v>20612587974</v>
      </c>
      <c r="C1882" t="s">
        <v>1867</v>
      </c>
      <c r="E1882" s="1">
        <v>45979</v>
      </c>
      <c r="F1882">
        <v>134.9</v>
      </c>
      <c r="G1882" t="s">
        <v>2099</v>
      </c>
      <c r="H1882">
        <f>_xlfn.XLOOKUP(E1882,K:K,L:L)</f>
        <v>9</v>
      </c>
    </row>
    <row r="1883" spans="1:8" x14ac:dyDescent="0.3">
      <c r="A1883" t="s">
        <v>92</v>
      </c>
      <c r="B1883">
        <v>20543548864</v>
      </c>
      <c r="C1883" t="s">
        <v>1874</v>
      </c>
      <c r="E1883" s="1">
        <v>45979</v>
      </c>
      <c r="F1883">
        <v>149.53</v>
      </c>
      <c r="G1883" t="s">
        <v>2099</v>
      </c>
      <c r="H1883">
        <f>_xlfn.XLOOKUP(E1883,K:K,L:L)</f>
        <v>9</v>
      </c>
    </row>
    <row r="1884" spans="1:8" x14ac:dyDescent="0.3">
      <c r="A1884" t="s">
        <v>92</v>
      </c>
      <c r="B1884">
        <v>20612587974</v>
      </c>
      <c r="C1884" t="s">
        <v>1867</v>
      </c>
      <c r="E1884" s="1">
        <v>45979</v>
      </c>
      <c r="F1884">
        <v>135.93</v>
      </c>
      <c r="G1884" t="s">
        <v>2099</v>
      </c>
      <c r="H1884">
        <f>_xlfn.XLOOKUP(E1884,K:K,L:L)</f>
        <v>9</v>
      </c>
    </row>
    <row r="1885" spans="1:8" x14ac:dyDescent="0.3">
      <c r="A1885" t="s">
        <v>92</v>
      </c>
      <c r="B1885">
        <v>20610618457</v>
      </c>
      <c r="C1885" t="s">
        <v>1875</v>
      </c>
      <c r="E1885" s="1">
        <v>45979</v>
      </c>
      <c r="F1885">
        <v>234.26</v>
      </c>
      <c r="G1885" t="s">
        <v>2099</v>
      </c>
      <c r="H1885">
        <f>_xlfn.XLOOKUP(E1885,K:K,L:L)</f>
        <v>9</v>
      </c>
    </row>
    <row r="1886" spans="1:8" x14ac:dyDescent="0.3">
      <c r="A1886" t="s">
        <v>92</v>
      </c>
      <c r="B1886">
        <v>20610618457</v>
      </c>
      <c r="C1886" t="s">
        <v>1875</v>
      </c>
      <c r="E1886" s="1">
        <v>45979</v>
      </c>
      <c r="F1886">
        <v>236</v>
      </c>
      <c r="G1886" t="s">
        <v>2099</v>
      </c>
      <c r="H1886">
        <f>_xlfn.XLOOKUP(E1886,K:K,L:L)</f>
        <v>9</v>
      </c>
    </row>
    <row r="1887" spans="1:8" x14ac:dyDescent="0.3">
      <c r="A1887" t="s">
        <v>92</v>
      </c>
      <c r="B1887">
        <v>20611519223</v>
      </c>
      <c r="C1887" t="s">
        <v>1876</v>
      </c>
      <c r="E1887" s="1">
        <v>45979</v>
      </c>
      <c r="F1887">
        <v>287.95</v>
      </c>
      <c r="G1887" t="s">
        <v>2099</v>
      </c>
      <c r="H1887">
        <f>_xlfn.XLOOKUP(E1887,K:K,L:L)</f>
        <v>9</v>
      </c>
    </row>
    <row r="1888" spans="1:8" x14ac:dyDescent="0.3">
      <c r="A1888" t="s">
        <v>92</v>
      </c>
      <c r="B1888">
        <v>20550987199</v>
      </c>
      <c r="C1888" t="s">
        <v>1877</v>
      </c>
      <c r="E1888" s="1">
        <v>45979</v>
      </c>
      <c r="F1888">
        <v>39.69</v>
      </c>
      <c r="G1888" t="s">
        <v>2099</v>
      </c>
      <c r="H1888">
        <f>_xlfn.XLOOKUP(E1888,K:K,L:L)</f>
        <v>9</v>
      </c>
    </row>
    <row r="1889" spans="1:8" x14ac:dyDescent="0.3">
      <c r="A1889" t="s">
        <v>6</v>
      </c>
      <c r="B1889">
        <v>20526358024</v>
      </c>
      <c r="C1889" t="s">
        <v>2060</v>
      </c>
      <c r="E1889" s="1">
        <v>45979</v>
      </c>
      <c r="F1889">
        <v>386.53</v>
      </c>
      <c r="G1889" t="s">
        <v>2099</v>
      </c>
      <c r="H1889">
        <f>_xlfn.XLOOKUP(E1889,K:K,L:L)</f>
        <v>9</v>
      </c>
    </row>
    <row r="1890" spans="1:8" x14ac:dyDescent="0.3">
      <c r="A1890" t="s">
        <v>6</v>
      </c>
      <c r="B1890">
        <v>20526358024</v>
      </c>
      <c r="C1890" t="s">
        <v>2060</v>
      </c>
      <c r="E1890" s="1">
        <v>45979</v>
      </c>
      <c r="F1890">
        <v>389.96000000000004</v>
      </c>
      <c r="G1890" t="s">
        <v>2099</v>
      </c>
      <c r="H1890">
        <f>_xlfn.XLOOKUP(E1890,K:K,L:L)</f>
        <v>9</v>
      </c>
    </row>
    <row r="1891" spans="1:8" x14ac:dyDescent="0.3">
      <c r="A1891" t="s">
        <v>6</v>
      </c>
      <c r="B1891">
        <v>20182981983</v>
      </c>
      <c r="C1891" t="s">
        <v>2061</v>
      </c>
      <c r="E1891" s="1">
        <v>45979</v>
      </c>
      <c r="F1891">
        <v>236.49</v>
      </c>
      <c r="G1891" t="s">
        <v>2099</v>
      </c>
      <c r="H1891">
        <f>_xlfn.XLOOKUP(E1891,K:K,L:L)</f>
        <v>9</v>
      </c>
    </row>
    <row r="1892" spans="1:8" x14ac:dyDescent="0.3">
      <c r="A1892" t="s">
        <v>93</v>
      </c>
      <c r="B1892">
        <v>20546107427</v>
      </c>
      <c r="C1892" t="s">
        <v>2092</v>
      </c>
      <c r="E1892" s="1">
        <v>45979</v>
      </c>
      <c r="F1892">
        <v>296.52</v>
      </c>
      <c r="G1892" t="s">
        <v>2099</v>
      </c>
      <c r="H1892">
        <f>_xlfn.XLOOKUP(E1892,K:K,L:L)</f>
        <v>9</v>
      </c>
    </row>
    <row r="1893" spans="1:8" x14ac:dyDescent="0.3">
      <c r="A1893" t="s">
        <v>93</v>
      </c>
      <c r="B1893">
        <v>20546107427</v>
      </c>
      <c r="C1893" t="s">
        <v>2092</v>
      </c>
      <c r="E1893" s="1">
        <v>45979</v>
      </c>
      <c r="F1893">
        <v>299.02</v>
      </c>
      <c r="G1893" t="s">
        <v>2099</v>
      </c>
      <c r="H1893">
        <f>_xlfn.XLOOKUP(E1893,K:K,L:L)</f>
        <v>9</v>
      </c>
    </row>
    <row r="1894" spans="1:8" x14ac:dyDescent="0.3">
      <c r="A1894" t="s">
        <v>93</v>
      </c>
      <c r="B1894">
        <v>20546107427</v>
      </c>
      <c r="C1894" t="s">
        <v>2092</v>
      </c>
      <c r="E1894" s="1">
        <v>45979</v>
      </c>
      <c r="F1894">
        <v>301.24</v>
      </c>
      <c r="G1894" t="s">
        <v>2099</v>
      </c>
      <c r="H1894">
        <f>_xlfn.XLOOKUP(E1894,K:K,L:L)</f>
        <v>9</v>
      </c>
    </row>
    <row r="1895" spans="1:8" x14ac:dyDescent="0.3">
      <c r="A1895" t="s">
        <v>93</v>
      </c>
      <c r="B1895">
        <v>20216839570</v>
      </c>
      <c r="C1895" t="s">
        <v>2093</v>
      </c>
      <c r="E1895" s="1">
        <v>45979</v>
      </c>
      <c r="F1895">
        <v>1307.5999999999999</v>
      </c>
      <c r="G1895" t="s">
        <v>2099</v>
      </c>
      <c r="H1895">
        <f>_xlfn.XLOOKUP(E1895,K:K,L:L)</f>
        <v>9</v>
      </c>
    </row>
    <row r="1896" spans="1:8" x14ac:dyDescent="0.3">
      <c r="A1896" t="s">
        <v>875</v>
      </c>
      <c r="B1896">
        <v>20479722138</v>
      </c>
      <c r="C1896" t="s">
        <v>2097</v>
      </c>
      <c r="E1896" s="1">
        <v>45979</v>
      </c>
      <c r="F1896">
        <v>254.1</v>
      </c>
      <c r="G1896" t="s">
        <v>2099</v>
      </c>
      <c r="H1896">
        <f>_xlfn.XLOOKUP(E1896,K:K,L:L)</f>
        <v>9</v>
      </c>
    </row>
    <row r="1897" spans="1:8" x14ac:dyDescent="0.3">
      <c r="A1897" t="s">
        <v>875</v>
      </c>
      <c r="B1897">
        <v>20479722138</v>
      </c>
      <c r="C1897" t="s">
        <v>2097</v>
      </c>
      <c r="E1897" s="1">
        <v>45979</v>
      </c>
      <c r="F1897">
        <v>460.49</v>
      </c>
      <c r="G1897" t="s">
        <v>2099</v>
      </c>
      <c r="H1897">
        <f>_xlfn.XLOOKUP(E1897,K:K,L:L)</f>
        <v>9</v>
      </c>
    </row>
    <row r="1898" spans="1:8" x14ac:dyDescent="0.3">
      <c r="A1898" t="s">
        <v>875</v>
      </c>
      <c r="B1898">
        <v>20479722138</v>
      </c>
      <c r="C1898" t="s">
        <v>2097</v>
      </c>
      <c r="E1898" s="1">
        <v>45979</v>
      </c>
      <c r="F1898">
        <v>452.11</v>
      </c>
      <c r="G1898" t="s">
        <v>2099</v>
      </c>
      <c r="H1898">
        <f>_xlfn.XLOOKUP(E1898,K:K,L:L)</f>
        <v>9</v>
      </c>
    </row>
    <row r="1899" spans="1:8" x14ac:dyDescent="0.3">
      <c r="A1899" t="s">
        <v>875</v>
      </c>
      <c r="B1899">
        <v>20479722138</v>
      </c>
      <c r="C1899" t="s">
        <v>2097</v>
      </c>
      <c r="E1899" s="1">
        <v>45979</v>
      </c>
      <c r="F1899">
        <v>444.1</v>
      </c>
      <c r="G1899" t="s">
        <v>2099</v>
      </c>
      <c r="H1899">
        <f>_xlfn.XLOOKUP(E1899,K:K,L:L)</f>
        <v>9</v>
      </c>
    </row>
    <row r="1900" spans="1:8" x14ac:dyDescent="0.3">
      <c r="A1900" t="s">
        <v>875</v>
      </c>
      <c r="B1900">
        <v>20479722138</v>
      </c>
      <c r="C1900" t="s">
        <v>2097</v>
      </c>
      <c r="E1900" s="1">
        <v>45979</v>
      </c>
      <c r="F1900">
        <v>436.01</v>
      </c>
      <c r="G1900" t="s">
        <v>2099</v>
      </c>
      <c r="H1900">
        <f>_xlfn.XLOOKUP(E1900,K:K,L:L)</f>
        <v>9</v>
      </c>
    </row>
    <row r="1901" spans="1:8" x14ac:dyDescent="0.3">
      <c r="A1901" t="s">
        <v>875</v>
      </c>
      <c r="B1901">
        <v>20479722138</v>
      </c>
      <c r="C1901" t="s">
        <v>2097</v>
      </c>
      <c r="E1901" s="1">
        <v>45979</v>
      </c>
      <c r="F1901">
        <v>428.31</v>
      </c>
      <c r="G1901" t="s">
        <v>2099</v>
      </c>
      <c r="H1901">
        <f>_xlfn.XLOOKUP(E1901,K:K,L:L)</f>
        <v>9</v>
      </c>
    </row>
    <row r="1902" spans="1:8" x14ac:dyDescent="0.3">
      <c r="A1902" t="s">
        <v>875</v>
      </c>
      <c r="B1902">
        <v>20479722138</v>
      </c>
      <c r="C1902" t="s">
        <v>2097</v>
      </c>
      <c r="E1902" s="1">
        <v>45979</v>
      </c>
      <c r="F1902">
        <v>858.38</v>
      </c>
      <c r="G1902" t="s">
        <v>2099</v>
      </c>
      <c r="H1902">
        <f>_xlfn.XLOOKUP(E1902,K:K,L:L)</f>
        <v>9</v>
      </c>
    </row>
    <row r="1903" spans="1:8" x14ac:dyDescent="0.3">
      <c r="A1903" t="s">
        <v>875</v>
      </c>
      <c r="B1903">
        <v>20479722138</v>
      </c>
      <c r="C1903" t="s">
        <v>2097</v>
      </c>
      <c r="E1903" s="1">
        <v>45979</v>
      </c>
      <c r="F1903">
        <v>521.84</v>
      </c>
      <c r="G1903" t="s">
        <v>2099</v>
      </c>
      <c r="H1903">
        <f>_xlfn.XLOOKUP(E1903,K:K,L:L)</f>
        <v>9</v>
      </c>
    </row>
    <row r="1904" spans="1:8" x14ac:dyDescent="0.3">
      <c r="A1904" t="s">
        <v>875</v>
      </c>
      <c r="B1904">
        <v>20479722138</v>
      </c>
      <c r="C1904" t="s">
        <v>2097</v>
      </c>
      <c r="E1904" s="1">
        <v>45979</v>
      </c>
      <c r="F1904">
        <v>514.66999999999996</v>
      </c>
      <c r="G1904" t="s">
        <v>2099</v>
      </c>
      <c r="H1904">
        <f>_xlfn.XLOOKUP(E1904,K:K,L:L)</f>
        <v>9</v>
      </c>
    </row>
    <row r="1905" spans="1:8" x14ac:dyDescent="0.3">
      <c r="A1905" t="s">
        <v>875</v>
      </c>
      <c r="B1905">
        <v>20479722138</v>
      </c>
      <c r="C1905" t="s">
        <v>2097</v>
      </c>
      <c r="E1905" s="1">
        <v>45979</v>
      </c>
      <c r="F1905">
        <v>506.85</v>
      </c>
      <c r="G1905" t="s">
        <v>2099</v>
      </c>
      <c r="H1905">
        <f>_xlfn.XLOOKUP(E1905,K:K,L:L)</f>
        <v>9</v>
      </c>
    </row>
    <row r="1906" spans="1:8" x14ac:dyDescent="0.3">
      <c r="A1906" t="s">
        <v>875</v>
      </c>
      <c r="B1906">
        <v>20479722138</v>
      </c>
      <c r="C1906" t="s">
        <v>2097</v>
      </c>
      <c r="E1906" s="1">
        <v>45979</v>
      </c>
      <c r="F1906">
        <v>499.3</v>
      </c>
      <c r="G1906" t="s">
        <v>2099</v>
      </c>
      <c r="H1906">
        <f>_xlfn.XLOOKUP(E1906,K:K,L:L)</f>
        <v>9</v>
      </c>
    </row>
    <row r="1907" spans="1:8" x14ac:dyDescent="0.3">
      <c r="A1907" t="s">
        <v>875</v>
      </c>
      <c r="B1907">
        <v>20479722138</v>
      </c>
      <c r="C1907" t="s">
        <v>2097</v>
      </c>
      <c r="E1907" s="1">
        <v>45979</v>
      </c>
      <c r="F1907">
        <v>491.67</v>
      </c>
      <c r="G1907" t="s">
        <v>2099</v>
      </c>
      <c r="H1907">
        <f>_xlfn.XLOOKUP(E1907,K:K,L:L)</f>
        <v>9</v>
      </c>
    </row>
    <row r="1908" spans="1:8" x14ac:dyDescent="0.3">
      <c r="A1908" t="s">
        <v>875</v>
      </c>
      <c r="B1908">
        <v>20479722138</v>
      </c>
      <c r="C1908" t="s">
        <v>2097</v>
      </c>
      <c r="E1908" s="1">
        <v>45979</v>
      </c>
      <c r="F1908">
        <v>484.5</v>
      </c>
      <c r="G1908" t="s">
        <v>2099</v>
      </c>
      <c r="H1908">
        <f>_xlfn.XLOOKUP(E1908,K:K,L:L)</f>
        <v>9</v>
      </c>
    </row>
    <row r="1909" spans="1:8" x14ac:dyDescent="0.3">
      <c r="A1909" t="s">
        <v>875</v>
      </c>
      <c r="B1909">
        <v>20479722138</v>
      </c>
      <c r="C1909" t="s">
        <v>2097</v>
      </c>
      <c r="E1909" s="1">
        <v>45979</v>
      </c>
      <c r="F1909">
        <v>477.62</v>
      </c>
      <c r="G1909" t="s">
        <v>2099</v>
      </c>
      <c r="H1909">
        <f>_xlfn.XLOOKUP(E1909,K:K,L:L)</f>
        <v>9</v>
      </c>
    </row>
    <row r="1910" spans="1:8" x14ac:dyDescent="0.3">
      <c r="A1910" t="s">
        <v>875</v>
      </c>
      <c r="B1910">
        <v>20479722138</v>
      </c>
      <c r="C1910" t="s">
        <v>2097</v>
      </c>
      <c r="E1910" s="1">
        <v>45979</v>
      </c>
      <c r="F1910">
        <v>470.74</v>
      </c>
      <c r="G1910" t="s">
        <v>2099</v>
      </c>
      <c r="H1910">
        <f>_xlfn.XLOOKUP(E1910,K:K,L:L)</f>
        <v>9</v>
      </c>
    </row>
    <row r="1911" spans="1:8" x14ac:dyDescent="0.3">
      <c r="A1911" t="s">
        <v>875</v>
      </c>
      <c r="B1911">
        <v>20479722138</v>
      </c>
      <c r="C1911" t="s">
        <v>2097</v>
      </c>
      <c r="E1911" s="1">
        <v>45979</v>
      </c>
      <c r="F1911">
        <v>372.92</v>
      </c>
      <c r="G1911" t="s">
        <v>2099</v>
      </c>
      <c r="H1911">
        <f>_xlfn.XLOOKUP(E1911,K:K,L:L)</f>
        <v>9</v>
      </c>
    </row>
    <row r="1912" spans="1:8" x14ac:dyDescent="0.3">
      <c r="A1912" t="s">
        <v>875</v>
      </c>
      <c r="B1912">
        <v>20479722138</v>
      </c>
      <c r="C1912" t="s">
        <v>2097</v>
      </c>
      <c r="E1912" s="1">
        <v>45979</v>
      </c>
      <c r="F1912">
        <v>367.54</v>
      </c>
      <c r="G1912" t="s">
        <v>2099</v>
      </c>
      <c r="H1912">
        <f>_xlfn.XLOOKUP(E1912,K:K,L:L)</f>
        <v>9</v>
      </c>
    </row>
    <row r="1913" spans="1:8" x14ac:dyDescent="0.3">
      <c r="A1913" t="s">
        <v>875</v>
      </c>
      <c r="B1913">
        <v>20479722138</v>
      </c>
      <c r="C1913" t="s">
        <v>2097</v>
      </c>
      <c r="E1913" s="1">
        <v>45979</v>
      </c>
      <c r="F1913">
        <v>362.47</v>
      </c>
      <c r="G1913" t="s">
        <v>2099</v>
      </c>
      <c r="H1913">
        <f>_xlfn.XLOOKUP(E1913,K:K,L:L)</f>
        <v>9</v>
      </c>
    </row>
    <row r="1914" spans="1:8" x14ac:dyDescent="0.3">
      <c r="A1914" t="s">
        <v>875</v>
      </c>
      <c r="B1914">
        <v>20479722138</v>
      </c>
      <c r="C1914" t="s">
        <v>2097</v>
      </c>
      <c r="E1914" s="1">
        <v>45979</v>
      </c>
      <c r="F1914">
        <v>630.58000000000004</v>
      </c>
      <c r="G1914" t="s">
        <v>2099</v>
      </c>
      <c r="H1914">
        <f>_xlfn.XLOOKUP(E1914,K:K,L:L)</f>
        <v>9</v>
      </c>
    </row>
    <row r="1915" spans="1:8" x14ac:dyDescent="0.3">
      <c r="A1915" t="s">
        <v>92</v>
      </c>
      <c r="B1915">
        <v>10277471332</v>
      </c>
      <c r="C1915" t="s">
        <v>1871</v>
      </c>
      <c r="E1915" s="1">
        <v>45980</v>
      </c>
      <c r="F1915">
        <v>260.3</v>
      </c>
      <c r="G1915" t="s">
        <v>2099</v>
      </c>
      <c r="H1915">
        <f>_xlfn.XLOOKUP(E1915,K:K,L:L)</f>
        <v>10</v>
      </c>
    </row>
    <row r="1916" spans="1:8" x14ac:dyDescent="0.3">
      <c r="A1916" t="s">
        <v>92</v>
      </c>
      <c r="B1916">
        <v>20393465833</v>
      </c>
      <c r="C1916" t="s">
        <v>1878</v>
      </c>
      <c r="E1916" s="1">
        <v>45980</v>
      </c>
      <c r="F1916">
        <v>130.15</v>
      </c>
      <c r="G1916" t="s">
        <v>2099</v>
      </c>
      <c r="H1916">
        <f>_xlfn.XLOOKUP(E1916,K:K,L:L)</f>
        <v>10</v>
      </c>
    </row>
    <row r="1917" spans="1:8" x14ac:dyDescent="0.3">
      <c r="A1917" t="s">
        <v>92</v>
      </c>
      <c r="B1917">
        <v>20526468989</v>
      </c>
      <c r="C1917" t="s">
        <v>1879</v>
      </c>
      <c r="E1917" s="1">
        <v>45980</v>
      </c>
      <c r="F1917">
        <v>419.05</v>
      </c>
      <c r="G1917" t="s">
        <v>2099</v>
      </c>
      <c r="H1917">
        <f>_xlfn.XLOOKUP(E1917,K:K,L:L)</f>
        <v>10</v>
      </c>
    </row>
    <row r="1918" spans="1:8" x14ac:dyDescent="0.3">
      <c r="A1918" t="s">
        <v>92</v>
      </c>
      <c r="B1918">
        <v>20554482211</v>
      </c>
      <c r="C1918" t="s">
        <v>1880</v>
      </c>
      <c r="E1918" s="1">
        <v>45980</v>
      </c>
      <c r="F1918">
        <v>130.15</v>
      </c>
      <c r="G1918" t="s">
        <v>2099</v>
      </c>
      <c r="H1918">
        <f>_xlfn.XLOOKUP(E1918,K:K,L:L)</f>
        <v>10</v>
      </c>
    </row>
    <row r="1919" spans="1:8" x14ac:dyDescent="0.3">
      <c r="A1919" t="s">
        <v>92</v>
      </c>
      <c r="B1919">
        <v>20601305276</v>
      </c>
      <c r="C1919" t="s">
        <v>1881</v>
      </c>
      <c r="E1919" s="1">
        <v>45980</v>
      </c>
      <c r="F1919">
        <v>345.53</v>
      </c>
      <c r="G1919" t="s">
        <v>2099</v>
      </c>
      <c r="H1919">
        <f>_xlfn.XLOOKUP(E1919,K:K,L:L)</f>
        <v>10</v>
      </c>
    </row>
    <row r="1920" spans="1:8" x14ac:dyDescent="0.3">
      <c r="A1920" t="s">
        <v>92</v>
      </c>
      <c r="B1920">
        <v>20605571396</v>
      </c>
      <c r="C1920" t="s">
        <v>1882</v>
      </c>
      <c r="E1920" s="1">
        <v>45980</v>
      </c>
      <c r="F1920">
        <v>143.17000000000002</v>
      </c>
      <c r="G1920" t="s">
        <v>2099</v>
      </c>
      <c r="H1920">
        <f>_xlfn.XLOOKUP(E1920,K:K,L:L)</f>
        <v>10</v>
      </c>
    </row>
    <row r="1921" spans="1:8" x14ac:dyDescent="0.3">
      <c r="A1921" t="s">
        <v>92</v>
      </c>
      <c r="B1921">
        <v>20608085514</v>
      </c>
      <c r="C1921" t="s">
        <v>1883</v>
      </c>
      <c r="E1921" s="1">
        <v>45980</v>
      </c>
      <c r="F1921">
        <v>260.3</v>
      </c>
      <c r="G1921" t="s">
        <v>2099</v>
      </c>
      <c r="H1921">
        <f>_xlfn.XLOOKUP(E1921,K:K,L:L)</f>
        <v>10</v>
      </c>
    </row>
    <row r="1922" spans="1:8" x14ac:dyDescent="0.3">
      <c r="A1922" t="s">
        <v>92</v>
      </c>
      <c r="B1922">
        <v>20609942241</v>
      </c>
      <c r="C1922" t="s">
        <v>1884</v>
      </c>
      <c r="E1922" s="1">
        <v>45980</v>
      </c>
      <c r="F1922">
        <v>270.68</v>
      </c>
      <c r="G1922" t="s">
        <v>2099</v>
      </c>
      <c r="H1922">
        <f>_xlfn.XLOOKUP(E1922,K:K,L:L)</f>
        <v>10</v>
      </c>
    </row>
    <row r="1923" spans="1:8" x14ac:dyDescent="0.3">
      <c r="A1923" t="s">
        <v>92</v>
      </c>
      <c r="B1923">
        <v>20610862943</v>
      </c>
      <c r="C1923" t="s">
        <v>1885</v>
      </c>
      <c r="E1923" s="1">
        <v>45980</v>
      </c>
      <c r="F1923">
        <v>130.15</v>
      </c>
      <c r="G1923" t="s">
        <v>2099</v>
      </c>
      <c r="H1923">
        <f>_xlfn.XLOOKUP(E1923,K:K,L:L)</f>
        <v>10</v>
      </c>
    </row>
    <row r="1924" spans="1:8" x14ac:dyDescent="0.3">
      <c r="A1924" t="s">
        <v>92</v>
      </c>
      <c r="B1924">
        <v>20611659131</v>
      </c>
      <c r="C1924" t="s">
        <v>1809</v>
      </c>
      <c r="E1924" s="1">
        <v>45980</v>
      </c>
      <c r="F1924">
        <v>291.22000000000003</v>
      </c>
      <c r="G1924" t="s">
        <v>2099</v>
      </c>
      <c r="H1924">
        <f>_xlfn.XLOOKUP(E1924,K:K,L:L)</f>
        <v>10</v>
      </c>
    </row>
    <row r="1925" spans="1:8" x14ac:dyDescent="0.3">
      <c r="A1925" t="s">
        <v>92</v>
      </c>
      <c r="B1925">
        <v>10157027781</v>
      </c>
      <c r="C1925" t="s">
        <v>1886</v>
      </c>
      <c r="E1925" s="1">
        <v>45980</v>
      </c>
      <c r="F1925">
        <v>131.44</v>
      </c>
      <c r="G1925" t="s">
        <v>2099</v>
      </c>
      <c r="H1925">
        <f>_xlfn.XLOOKUP(E1925,K:K,L:L)</f>
        <v>10</v>
      </c>
    </row>
    <row r="1926" spans="1:8" x14ac:dyDescent="0.3">
      <c r="A1926" t="s">
        <v>92</v>
      </c>
      <c r="B1926">
        <v>20107303848</v>
      </c>
      <c r="C1926" t="s">
        <v>1887</v>
      </c>
      <c r="E1926" s="1">
        <v>45980</v>
      </c>
      <c r="F1926">
        <v>792.34</v>
      </c>
      <c r="G1926" t="s">
        <v>2099</v>
      </c>
      <c r="H1926">
        <f>_xlfn.XLOOKUP(E1926,K:K,L:L)</f>
        <v>10</v>
      </c>
    </row>
    <row r="1927" spans="1:8" x14ac:dyDescent="0.3">
      <c r="A1927" t="s">
        <v>92</v>
      </c>
      <c r="B1927">
        <v>20393465833</v>
      </c>
      <c r="C1927" t="s">
        <v>1878</v>
      </c>
      <c r="E1927" s="1">
        <v>45980</v>
      </c>
      <c r="F1927">
        <v>144.57999999999998</v>
      </c>
      <c r="G1927" t="s">
        <v>2099</v>
      </c>
      <c r="H1927">
        <f>_xlfn.XLOOKUP(E1927,K:K,L:L)</f>
        <v>10</v>
      </c>
    </row>
    <row r="1928" spans="1:8" x14ac:dyDescent="0.3">
      <c r="A1928" t="s">
        <v>92</v>
      </c>
      <c r="B1928">
        <v>20550987199</v>
      </c>
      <c r="C1928" t="s">
        <v>1877</v>
      </c>
      <c r="E1928" s="1">
        <v>45980</v>
      </c>
      <c r="F1928">
        <v>371.21000000000004</v>
      </c>
      <c r="G1928" t="s">
        <v>2099</v>
      </c>
      <c r="H1928">
        <f>_xlfn.XLOOKUP(E1928,K:K,L:L)</f>
        <v>10</v>
      </c>
    </row>
    <row r="1929" spans="1:8" x14ac:dyDescent="0.3">
      <c r="A1929" t="s">
        <v>92</v>
      </c>
      <c r="B1929">
        <v>20554482211</v>
      </c>
      <c r="C1929" t="s">
        <v>1880</v>
      </c>
      <c r="E1929" s="1">
        <v>45980</v>
      </c>
      <c r="F1929">
        <v>131.44</v>
      </c>
      <c r="G1929" t="s">
        <v>2099</v>
      </c>
      <c r="H1929">
        <f>_xlfn.XLOOKUP(E1929,K:K,L:L)</f>
        <v>10</v>
      </c>
    </row>
    <row r="1930" spans="1:8" x14ac:dyDescent="0.3">
      <c r="A1930" t="s">
        <v>92</v>
      </c>
      <c r="B1930">
        <v>20605492372</v>
      </c>
      <c r="C1930" t="s">
        <v>1888</v>
      </c>
      <c r="E1930" s="1">
        <v>45980</v>
      </c>
      <c r="F1930">
        <v>131.44</v>
      </c>
      <c r="G1930" t="s">
        <v>2099</v>
      </c>
      <c r="H1930">
        <f>_xlfn.XLOOKUP(E1930,K:K,L:L)</f>
        <v>10</v>
      </c>
    </row>
    <row r="1931" spans="1:8" x14ac:dyDescent="0.3">
      <c r="A1931" t="s">
        <v>92</v>
      </c>
      <c r="B1931">
        <v>20605571396</v>
      </c>
      <c r="C1931" t="s">
        <v>1882</v>
      </c>
      <c r="E1931" s="1">
        <v>45980</v>
      </c>
      <c r="F1931">
        <v>144.57999999999998</v>
      </c>
      <c r="G1931" t="s">
        <v>2099</v>
      </c>
      <c r="H1931">
        <f>_xlfn.XLOOKUP(E1931,K:K,L:L)</f>
        <v>10</v>
      </c>
    </row>
    <row r="1932" spans="1:8" x14ac:dyDescent="0.3">
      <c r="A1932" t="s">
        <v>92</v>
      </c>
      <c r="B1932">
        <v>20608085514</v>
      </c>
      <c r="C1932" t="s">
        <v>1883</v>
      </c>
      <c r="E1932" s="1">
        <v>45980</v>
      </c>
      <c r="F1932">
        <v>262.87</v>
      </c>
      <c r="G1932" t="s">
        <v>2099</v>
      </c>
      <c r="H1932">
        <f>_xlfn.XLOOKUP(E1932,K:K,L:L)</f>
        <v>10</v>
      </c>
    </row>
    <row r="1933" spans="1:8" x14ac:dyDescent="0.3">
      <c r="A1933" t="s">
        <v>92</v>
      </c>
      <c r="B1933">
        <v>20609942241</v>
      </c>
      <c r="C1933" t="s">
        <v>1884</v>
      </c>
      <c r="E1933" s="1">
        <v>45980</v>
      </c>
      <c r="F1933">
        <v>273.35000000000002</v>
      </c>
      <c r="G1933" t="s">
        <v>2099</v>
      </c>
      <c r="H1933">
        <f>_xlfn.XLOOKUP(E1933,K:K,L:L)</f>
        <v>10</v>
      </c>
    </row>
    <row r="1934" spans="1:8" x14ac:dyDescent="0.3">
      <c r="A1934" t="s">
        <v>92</v>
      </c>
      <c r="B1934">
        <v>20610862943</v>
      </c>
      <c r="C1934" t="s">
        <v>1885</v>
      </c>
      <c r="E1934" s="1">
        <v>45980</v>
      </c>
      <c r="F1934">
        <v>131.44</v>
      </c>
      <c r="G1934" t="s">
        <v>2099</v>
      </c>
      <c r="H1934">
        <f>_xlfn.XLOOKUP(E1934,K:K,L:L)</f>
        <v>10</v>
      </c>
    </row>
    <row r="1935" spans="1:8" x14ac:dyDescent="0.3">
      <c r="A1935" t="s">
        <v>92</v>
      </c>
      <c r="B1935">
        <v>20107303848</v>
      </c>
      <c r="C1935" t="s">
        <v>1887</v>
      </c>
      <c r="E1935" s="1">
        <v>45980</v>
      </c>
      <c r="F1935">
        <v>798.53000000000009</v>
      </c>
      <c r="G1935" t="s">
        <v>2099</v>
      </c>
      <c r="H1935">
        <f>_xlfn.XLOOKUP(E1935,K:K,L:L)</f>
        <v>10</v>
      </c>
    </row>
    <row r="1936" spans="1:8" x14ac:dyDescent="0.3">
      <c r="A1936" t="s">
        <v>92</v>
      </c>
      <c r="B1936">
        <v>20605492372</v>
      </c>
      <c r="C1936" t="s">
        <v>1888</v>
      </c>
      <c r="E1936" s="1">
        <v>45980</v>
      </c>
      <c r="F1936">
        <v>132.46</v>
      </c>
      <c r="G1936" t="s">
        <v>2099</v>
      </c>
      <c r="H1936">
        <f>_xlfn.XLOOKUP(E1936,K:K,L:L)</f>
        <v>10</v>
      </c>
    </row>
    <row r="1937" spans="1:8" x14ac:dyDescent="0.3">
      <c r="A1937" t="s">
        <v>92</v>
      </c>
      <c r="B1937">
        <v>20608085514</v>
      </c>
      <c r="C1937" t="s">
        <v>1883</v>
      </c>
      <c r="E1937" s="1">
        <v>45980</v>
      </c>
      <c r="F1937">
        <v>264.93</v>
      </c>
      <c r="G1937" t="s">
        <v>2099</v>
      </c>
      <c r="H1937">
        <f>_xlfn.XLOOKUP(E1937,K:K,L:L)</f>
        <v>10</v>
      </c>
    </row>
    <row r="1938" spans="1:8" x14ac:dyDescent="0.3">
      <c r="A1938" t="s">
        <v>92</v>
      </c>
      <c r="B1938">
        <v>20610862943</v>
      </c>
      <c r="C1938" t="s">
        <v>1885</v>
      </c>
      <c r="E1938" s="1">
        <v>45980</v>
      </c>
      <c r="F1938">
        <v>132.46</v>
      </c>
      <c r="G1938" t="s">
        <v>2099</v>
      </c>
      <c r="H1938">
        <f>_xlfn.XLOOKUP(E1938,K:K,L:L)</f>
        <v>10</v>
      </c>
    </row>
    <row r="1939" spans="1:8" x14ac:dyDescent="0.3">
      <c r="A1939" t="s">
        <v>92</v>
      </c>
      <c r="B1939">
        <v>20605109811</v>
      </c>
      <c r="C1939" t="s">
        <v>1889</v>
      </c>
      <c r="E1939" s="1">
        <v>45980</v>
      </c>
      <c r="F1939">
        <v>90.13</v>
      </c>
      <c r="G1939" t="s">
        <v>2099</v>
      </c>
      <c r="H1939">
        <f>_xlfn.XLOOKUP(E1939,K:K,L:L)</f>
        <v>10</v>
      </c>
    </row>
    <row r="1940" spans="1:8" x14ac:dyDescent="0.3">
      <c r="A1940" t="s">
        <v>92</v>
      </c>
      <c r="B1940">
        <v>20605492372</v>
      </c>
      <c r="C1940" t="s">
        <v>1888</v>
      </c>
      <c r="E1940" s="1">
        <v>45980</v>
      </c>
      <c r="F1940">
        <v>133.74</v>
      </c>
      <c r="G1940" t="s">
        <v>2099</v>
      </c>
      <c r="H1940">
        <f>_xlfn.XLOOKUP(E1940,K:K,L:L)</f>
        <v>10</v>
      </c>
    </row>
    <row r="1941" spans="1:8" x14ac:dyDescent="0.3">
      <c r="A1941" t="s">
        <v>92</v>
      </c>
      <c r="B1941">
        <v>20610862943</v>
      </c>
      <c r="C1941" t="s">
        <v>1885</v>
      </c>
      <c r="E1941" s="1">
        <v>45980</v>
      </c>
      <c r="F1941">
        <v>133.74</v>
      </c>
      <c r="G1941" t="s">
        <v>2099</v>
      </c>
      <c r="H1941">
        <f>_xlfn.XLOOKUP(E1941,K:K,L:L)</f>
        <v>10</v>
      </c>
    </row>
    <row r="1942" spans="1:8" x14ac:dyDescent="0.3">
      <c r="A1942" t="s">
        <v>92</v>
      </c>
      <c r="B1942">
        <v>20610862943</v>
      </c>
      <c r="C1942" t="s">
        <v>1885</v>
      </c>
      <c r="E1942" s="1">
        <v>45980</v>
      </c>
      <c r="F1942">
        <v>134.9</v>
      </c>
      <c r="G1942" t="s">
        <v>2099</v>
      </c>
      <c r="H1942">
        <f>_xlfn.XLOOKUP(E1942,K:K,L:L)</f>
        <v>10</v>
      </c>
    </row>
    <row r="1943" spans="1:8" x14ac:dyDescent="0.3">
      <c r="A1943" t="s">
        <v>92</v>
      </c>
      <c r="B1943">
        <v>20610862943</v>
      </c>
      <c r="C1943" t="s">
        <v>1885</v>
      </c>
      <c r="E1943" s="1">
        <v>45980</v>
      </c>
      <c r="F1943">
        <v>136.06</v>
      </c>
      <c r="G1943" t="s">
        <v>2099</v>
      </c>
      <c r="H1943">
        <f>_xlfn.XLOOKUP(E1943,K:K,L:L)</f>
        <v>10</v>
      </c>
    </row>
    <row r="1944" spans="1:8" x14ac:dyDescent="0.3">
      <c r="A1944" t="s">
        <v>92</v>
      </c>
      <c r="B1944">
        <v>20610862943</v>
      </c>
      <c r="C1944" t="s">
        <v>1885</v>
      </c>
      <c r="E1944" s="1">
        <v>45980</v>
      </c>
      <c r="F1944">
        <v>137.21</v>
      </c>
      <c r="G1944" t="s">
        <v>2099</v>
      </c>
      <c r="H1944">
        <f>_xlfn.XLOOKUP(E1944,K:K,L:L)</f>
        <v>10</v>
      </c>
    </row>
    <row r="1945" spans="1:8" x14ac:dyDescent="0.3">
      <c r="A1945" t="s">
        <v>92</v>
      </c>
      <c r="B1945">
        <v>20610862943</v>
      </c>
      <c r="C1945" t="s">
        <v>1885</v>
      </c>
      <c r="E1945" s="1">
        <v>45980</v>
      </c>
      <c r="F1945">
        <v>138.37</v>
      </c>
      <c r="G1945" t="s">
        <v>2099</v>
      </c>
      <c r="H1945">
        <f>_xlfn.XLOOKUP(E1945,K:K,L:L)</f>
        <v>10</v>
      </c>
    </row>
    <row r="1946" spans="1:8" x14ac:dyDescent="0.3">
      <c r="A1946" t="s">
        <v>92</v>
      </c>
      <c r="B1946">
        <v>20610862943</v>
      </c>
      <c r="C1946" t="s">
        <v>1885</v>
      </c>
      <c r="E1946" s="1">
        <v>45980</v>
      </c>
      <c r="F1946">
        <v>139.53</v>
      </c>
      <c r="G1946" t="s">
        <v>2099</v>
      </c>
      <c r="H1946">
        <f>_xlfn.XLOOKUP(E1946,K:K,L:L)</f>
        <v>10</v>
      </c>
    </row>
    <row r="1947" spans="1:8" x14ac:dyDescent="0.3">
      <c r="A1947" t="s">
        <v>92</v>
      </c>
      <c r="B1947">
        <v>10179594469</v>
      </c>
      <c r="C1947" t="s">
        <v>1892</v>
      </c>
      <c r="E1947" s="1">
        <v>45980</v>
      </c>
      <c r="F1947">
        <v>1018.11</v>
      </c>
      <c r="G1947" t="s">
        <v>2099</v>
      </c>
      <c r="H1947">
        <f>_xlfn.XLOOKUP(E1947,K:K,L:L)</f>
        <v>10</v>
      </c>
    </row>
    <row r="1948" spans="1:8" x14ac:dyDescent="0.3">
      <c r="A1948" t="s">
        <v>92</v>
      </c>
      <c r="B1948">
        <v>20603857233</v>
      </c>
      <c r="C1948" t="s">
        <v>1893</v>
      </c>
      <c r="E1948" s="1">
        <v>45980</v>
      </c>
      <c r="F1948">
        <v>130.15</v>
      </c>
      <c r="G1948" t="s">
        <v>2099</v>
      </c>
      <c r="H1948">
        <f>_xlfn.XLOOKUP(E1948,K:K,L:L)</f>
        <v>10</v>
      </c>
    </row>
    <row r="1949" spans="1:8" x14ac:dyDescent="0.3">
      <c r="A1949" t="s">
        <v>92</v>
      </c>
      <c r="B1949">
        <v>20603857233</v>
      </c>
      <c r="C1949" t="s">
        <v>1893</v>
      </c>
      <c r="E1949" s="1">
        <v>45980</v>
      </c>
      <c r="F1949">
        <v>131.44</v>
      </c>
      <c r="G1949" t="s">
        <v>2099</v>
      </c>
      <c r="H1949">
        <f>_xlfn.XLOOKUP(E1949,K:K,L:L)</f>
        <v>10</v>
      </c>
    </row>
    <row r="1950" spans="1:8" x14ac:dyDescent="0.3">
      <c r="A1950" t="s">
        <v>92</v>
      </c>
      <c r="B1950">
        <v>20603857233</v>
      </c>
      <c r="C1950" t="s">
        <v>1893</v>
      </c>
      <c r="E1950" s="1">
        <v>45980</v>
      </c>
      <c r="F1950">
        <v>132.46</v>
      </c>
      <c r="G1950" t="s">
        <v>2099</v>
      </c>
      <c r="H1950">
        <f>_xlfn.XLOOKUP(E1950,K:K,L:L)</f>
        <v>10</v>
      </c>
    </row>
    <row r="1951" spans="1:8" x14ac:dyDescent="0.3">
      <c r="A1951" t="s">
        <v>92</v>
      </c>
      <c r="B1951">
        <v>20603857233</v>
      </c>
      <c r="C1951" t="s">
        <v>1893</v>
      </c>
      <c r="E1951" s="1">
        <v>45980</v>
      </c>
      <c r="F1951">
        <v>133.74</v>
      </c>
      <c r="G1951" t="s">
        <v>2099</v>
      </c>
      <c r="H1951">
        <f>_xlfn.XLOOKUP(E1951,K:K,L:L)</f>
        <v>10</v>
      </c>
    </row>
    <row r="1952" spans="1:8" x14ac:dyDescent="0.3">
      <c r="A1952" t="s">
        <v>92</v>
      </c>
      <c r="B1952">
        <v>20603857233</v>
      </c>
      <c r="C1952" t="s">
        <v>1893</v>
      </c>
      <c r="E1952" s="1">
        <v>45980</v>
      </c>
      <c r="F1952">
        <v>134.9</v>
      </c>
      <c r="G1952" t="s">
        <v>2099</v>
      </c>
      <c r="H1952">
        <f>_xlfn.XLOOKUP(E1952,K:K,L:L)</f>
        <v>10</v>
      </c>
    </row>
    <row r="1953" spans="1:8" x14ac:dyDescent="0.3">
      <c r="A1953" t="s">
        <v>92</v>
      </c>
      <c r="B1953">
        <v>20603857233</v>
      </c>
      <c r="C1953" t="s">
        <v>1893</v>
      </c>
      <c r="E1953" s="1">
        <v>45980</v>
      </c>
      <c r="F1953">
        <v>136.06</v>
      </c>
      <c r="G1953" t="s">
        <v>2099</v>
      </c>
      <c r="H1953">
        <f>_xlfn.XLOOKUP(E1953,K:K,L:L)</f>
        <v>10</v>
      </c>
    </row>
    <row r="1954" spans="1:8" x14ac:dyDescent="0.3">
      <c r="A1954" t="s">
        <v>92</v>
      </c>
      <c r="B1954">
        <v>20603857233</v>
      </c>
      <c r="C1954" t="s">
        <v>1893</v>
      </c>
      <c r="E1954" s="1">
        <v>45980</v>
      </c>
      <c r="F1954">
        <v>137.21</v>
      </c>
      <c r="G1954" t="s">
        <v>2099</v>
      </c>
      <c r="H1954">
        <f>_xlfn.XLOOKUP(E1954,K:K,L:L)</f>
        <v>10</v>
      </c>
    </row>
    <row r="1955" spans="1:8" x14ac:dyDescent="0.3">
      <c r="A1955" t="s">
        <v>93</v>
      </c>
      <c r="B1955">
        <v>20515270036</v>
      </c>
      <c r="C1955" t="s">
        <v>2094</v>
      </c>
      <c r="E1955" s="1">
        <v>45980</v>
      </c>
      <c r="F1955">
        <v>87.38</v>
      </c>
      <c r="G1955" t="s">
        <v>2099</v>
      </c>
      <c r="H1955">
        <f>_xlfn.XLOOKUP(E1955,K:K,L:L)</f>
        <v>10</v>
      </c>
    </row>
    <row r="1956" spans="1:8" x14ac:dyDescent="0.3">
      <c r="A1956" t="s">
        <v>93</v>
      </c>
      <c r="B1956">
        <v>20515270036</v>
      </c>
      <c r="C1956" t="s">
        <v>2094</v>
      </c>
      <c r="E1956" s="1">
        <v>45980</v>
      </c>
      <c r="F1956">
        <v>88.59</v>
      </c>
      <c r="G1956" t="s">
        <v>2099</v>
      </c>
      <c r="H1956">
        <f>_xlfn.XLOOKUP(E1956,K:K,L:L)</f>
        <v>10</v>
      </c>
    </row>
    <row r="1957" spans="1:8" x14ac:dyDescent="0.3">
      <c r="A1957" t="s">
        <v>92</v>
      </c>
      <c r="B1957">
        <v>10086115072</v>
      </c>
      <c r="C1957" t="s">
        <v>1894</v>
      </c>
      <c r="E1957" s="1">
        <v>45981</v>
      </c>
      <c r="F1957">
        <v>360.51</v>
      </c>
      <c r="G1957" t="s">
        <v>2099</v>
      </c>
      <c r="H1957">
        <f>_xlfn.XLOOKUP(E1957,K:K,L:L)</f>
        <v>11</v>
      </c>
    </row>
    <row r="1958" spans="1:8" x14ac:dyDescent="0.3">
      <c r="A1958" t="s">
        <v>92</v>
      </c>
      <c r="B1958">
        <v>20445226590</v>
      </c>
      <c r="C1958" t="s">
        <v>1895</v>
      </c>
      <c r="E1958" s="1">
        <v>45981</v>
      </c>
      <c r="F1958">
        <v>207.32</v>
      </c>
      <c r="G1958" t="s">
        <v>2099</v>
      </c>
      <c r="H1958">
        <f>_xlfn.XLOOKUP(E1958,K:K,L:L)</f>
        <v>11</v>
      </c>
    </row>
    <row r="1959" spans="1:8" x14ac:dyDescent="0.3">
      <c r="A1959" t="s">
        <v>92</v>
      </c>
      <c r="B1959">
        <v>20455258058</v>
      </c>
      <c r="C1959" t="s">
        <v>1896</v>
      </c>
      <c r="E1959" s="1">
        <v>45981</v>
      </c>
      <c r="F1959">
        <v>1286.99</v>
      </c>
      <c r="G1959" t="s">
        <v>2099</v>
      </c>
      <c r="H1959">
        <f>_xlfn.XLOOKUP(E1959,K:K,L:L)</f>
        <v>11</v>
      </c>
    </row>
    <row r="1960" spans="1:8" x14ac:dyDescent="0.3">
      <c r="A1960" t="s">
        <v>92</v>
      </c>
      <c r="B1960">
        <v>20455258058</v>
      </c>
      <c r="C1960" t="s">
        <v>1896</v>
      </c>
      <c r="E1960" s="1">
        <v>45981</v>
      </c>
      <c r="F1960">
        <v>47.04</v>
      </c>
      <c r="G1960" t="s">
        <v>2099</v>
      </c>
      <c r="H1960">
        <f>_xlfn.XLOOKUP(E1960,K:K,L:L)</f>
        <v>11</v>
      </c>
    </row>
    <row r="1961" spans="1:8" x14ac:dyDescent="0.3">
      <c r="A1961" t="s">
        <v>92</v>
      </c>
      <c r="B1961">
        <v>20498587012</v>
      </c>
      <c r="C1961" t="s">
        <v>1897</v>
      </c>
      <c r="E1961" s="1">
        <v>45981</v>
      </c>
      <c r="F1961">
        <v>175.07</v>
      </c>
      <c r="G1961" t="s">
        <v>2099</v>
      </c>
      <c r="H1961">
        <f>_xlfn.XLOOKUP(E1961,K:K,L:L)</f>
        <v>11</v>
      </c>
    </row>
    <row r="1962" spans="1:8" x14ac:dyDescent="0.3">
      <c r="A1962" t="s">
        <v>92</v>
      </c>
      <c r="B1962">
        <v>20514014419</v>
      </c>
      <c r="C1962" t="s">
        <v>1898</v>
      </c>
      <c r="E1962" s="1">
        <v>45981</v>
      </c>
      <c r="F1962">
        <v>238.78</v>
      </c>
      <c r="G1962" t="s">
        <v>2099</v>
      </c>
      <c r="H1962">
        <f>_xlfn.XLOOKUP(E1962,K:K,L:L)</f>
        <v>11</v>
      </c>
    </row>
    <row r="1963" spans="1:8" x14ac:dyDescent="0.3">
      <c r="A1963" t="s">
        <v>92</v>
      </c>
      <c r="B1963">
        <v>20514014419</v>
      </c>
      <c r="C1963" t="s">
        <v>1898</v>
      </c>
      <c r="E1963" s="1">
        <v>45981</v>
      </c>
      <c r="F1963">
        <v>182.28</v>
      </c>
      <c r="G1963" t="s">
        <v>2099</v>
      </c>
      <c r="H1963">
        <f>_xlfn.XLOOKUP(E1963,K:K,L:L)</f>
        <v>11</v>
      </c>
    </row>
    <row r="1964" spans="1:8" x14ac:dyDescent="0.3">
      <c r="A1964" t="s">
        <v>92</v>
      </c>
      <c r="B1964">
        <v>20529566680</v>
      </c>
      <c r="C1964" t="s">
        <v>1899</v>
      </c>
      <c r="E1964" s="1">
        <v>45981</v>
      </c>
      <c r="F1964">
        <v>253.39000000000001</v>
      </c>
      <c r="G1964" t="s">
        <v>2099</v>
      </c>
      <c r="H1964">
        <f>_xlfn.XLOOKUP(E1964,K:K,L:L)</f>
        <v>11</v>
      </c>
    </row>
    <row r="1965" spans="1:8" x14ac:dyDescent="0.3">
      <c r="A1965" t="s">
        <v>92</v>
      </c>
      <c r="B1965">
        <v>20566213002</v>
      </c>
      <c r="C1965" t="s">
        <v>1900</v>
      </c>
      <c r="E1965" s="1">
        <v>45981</v>
      </c>
      <c r="F1965">
        <v>906.34</v>
      </c>
      <c r="G1965" t="s">
        <v>2099</v>
      </c>
      <c r="H1965">
        <f>_xlfn.XLOOKUP(E1965,K:K,L:L)</f>
        <v>11</v>
      </c>
    </row>
    <row r="1966" spans="1:8" x14ac:dyDescent="0.3">
      <c r="A1966" t="s">
        <v>92</v>
      </c>
      <c r="B1966">
        <v>20600705459</v>
      </c>
      <c r="C1966" t="s">
        <v>1901</v>
      </c>
      <c r="E1966" s="1">
        <v>45981</v>
      </c>
      <c r="F1966">
        <v>403.46000000000004</v>
      </c>
      <c r="G1966" t="s">
        <v>2099</v>
      </c>
      <c r="H1966">
        <f>_xlfn.XLOOKUP(E1966,K:K,L:L)</f>
        <v>11</v>
      </c>
    </row>
    <row r="1967" spans="1:8" x14ac:dyDescent="0.3">
      <c r="A1967" t="s">
        <v>92</v>
      </c>
      <c r="B1967">
        <v>20601439795</v>
      </c>
      <c r="C1967" t="s">
        <v>1902</v>
      </c>
      <c r="E1967" s="1">
        <v>45981</v>
      </c>
      <c r="F1967">
        <v>253.39000000000001</v>
      </c>
      <c r="G1967" t="s">
        <v>2099</v>
      </c>
      <c r="H1967">
        <f>_xlfn.XLOOKUP(E1967,K:K,L:L)</f>
        <v>11</v>
      </c>
    </row>
    <row r="1968" spans="1:8" x14ac:dyDescent="0.3">
      <c r="A1968" t="s">
        <v>92</v>
      </c>
      <c r="B1968">
        <v>20601607761</v>
      </c>
      <c r="C1968" t="s">
        <v>1903</v>
      </c>
      <c r="E1968" s="1">
        <v>45981</v>
      </c>
      <c r="F1968">
        <v>144.74</v>
      </c>
      <c r="G1968" t="s">
        <v>2099</v>
      </c>
      <c r="H1968">
        <f>_xlfn.XLOOKUP(E1968,K:K,L:L)</f>
        <v>11</v>
      </c>
    </row>
    <row r="1969" spans="1:8" x14ac:dyDescent="0.3">
      <c r="A1969" t="s">
        <v>92</v>
      </c>
      <c r="B1969">
        <v>20602561659</v>
      </c>
      <c r="C1969" t="s">
        <v>1904</v>
      </c>
      <c r="E1969" s="1">
        <v>45981</v>
      </c>
      <c r="F1969">
        <v>130.15</v>
      </c>
      <c r="G1969" t="s">
        <v>2099</v>
      </c>
      <c r="H1969">
        <f>_xlfn.XLOOKUP(E1969,K:K,L:L)</f>
        <v>11</v>
      </c>
    </row>
    <row r="1970" spans="1:8" x14ac:dyDescent="0.3">
      <c r="A1970" t="s">
        <v>92</v>
      </c>
      <c r="B1970">
        <v>20603125097</v>
      </c>
      <c r="C1970" t="s">
        <v>1905</v>
      </c>
      <c r="E1970" s="1">
        <v>45981</v>
      </c>
      <c r="F1970">
        <v>143.17000000000002</v>
      </c>
      <c r="G1970" t="s">
        <v>2099</v>
      </c>
      <c r="H1970">
        <f>_xlfn.XLOOKUP(E1970,K:K,L:L)</f>
        <v>11</v>
      </c>
    </row>
    <row r="1971" spans="1:8" x14ac:dyDescent="0.3">
      <c r="A1971" t="s">
        <v>92</v>
      </c>
      <c r="B1971">
        <v>20606256800</v>
      </c>
      <c r="C1971" t="s">
        <v>1906</v>
      </c>
      <c r="E1971" s="1">
        <v>45981</v>
      </c>
      <c r="F1971">
        <v>260.3</v>
      </c>
      <c r="G1971" t="s">
        <v>2099</v>
      </c>
      <c r="H1971">
        <f>_xlfn.XLOOKUP(E1971,K:K,L:L)</f>
        <v>11</v>
      </c>
    </row>
    <row r="1972" spans="1:8" x14ac:dyDescent="0.3">
      <c r="A1972" t="s">
        <v>92</v>
      </c>
      <c r="B1972">
        <v>20606493704</v>
      </c>
      <c r="C1972" t="s">
        <v>1907</v>
      </c>
      <c r="E1972" s="1">
        <v>45981</v>
      </c>
      <c r="F1972">
        <v>258</v>
      </c>
      <c r="G1972" t="s">
        <v>2099</v>
      </c>
      <c r="H1972">
        <f>_xlfn.XLOOKUP(E1972,K:K,L:L)</f>
        <v>11</v>
      </c>
    </row>
    <row r="1973" spans="1:8" x14ac:dyDescent="0.3">
      <c r="A1973" t="s">
        <v>92</v>
      </c>
      <c r="B1973">
        <v>20611345331</v>
      </c>
      <c r="C1973" t="s">
        <v>1908</v>
      </c>
      <c r="E1973" s="1">
        <v>45981</v>
      </c>
      <c r="F1973">
        <v>393.11</v>
      </c>
      <c r="G1973" t="s">
        <v>2099</v>
      </c>
      <c r="H1973">
        <f>_xlfn.XLOOKUP(E1973,K:K,L:L)</f>
        <v>11</v>
      </c>
    </row>
    <row r="1974" spans="1:8" x14ac:dyDescent="0.3">
      <c r="A1974" t="s">
        <v>92</v>
      </c>
      <c r="B1974">
        <v>10255182183</v>
      </c>
      <c r="C1974" t="s">
        <v>1909</v>
      </c>
      <c r="E1974" s="1">
        <v>45981</v>
      </c>
      <c r="F1974">
        <v>515.13</v>
      </c>
      <c r="G1974" t="s">
        <v>2099</v>
      </c>
      <c r="H1974">
        <f>_xlfn.XLOOKUP(E1974,K:K,L:L)</f>
        <v>11</v>
      </c>
    </row>
    <row r="1975" spans="1:8" x14ac:dyDescent="0.3">
      <c r="A1975" t="s">
        <v>92</v>
      </c>
      <c r="B1975">
        <v>10485288321</v>
      </c>
      <c r="C1975" t="s">
        <v>1546</v>
      </c>
      <c r="E1975" s="1">
        <v>45981</v>
      </c>
      <c r="F1975">
        <v>168.67000000000002</v>
      </c>
      <c r="G1975" t="s">
        <v>2099</v>
      </c>
      <c r="H1975">
        <f>_xlfn.XLOOKUP(E1975,K:K,L:L)</f>
        <v>11</v>
      </c>
    </row>
    <row r="1976" spans="1:8" x14ac:dyDescent="0.3">
      <c r="A1976" t="s">
        <v>92</v>
      </c>
      <c r="B1976">
        <v>20392793802</v>
      </c>
      <c r="C1976" t="s">
        <v>1910</v>
      </c>
      <c r="E1976" s="1">
        <v>45981</v>
      </c>
      <c r="F1976">
        <v>930.52</v>
      </c>
      <c r="G1976" t="s">
        <v>2099</v>
      </c>
      <c r="H1976">
        <f>_xlfn.XLOOKUP(E1976,K:K,L:L)</f>
        <v>11</v>
      </c>
    </row>
    <row r="1977" spans="1:8" x14ac:dyDescent="0.3">
      <c r="A1977" t="s">
        <v>92</v>
      </c>
      <c r="B1977">
        <v>20498587012</v>
      </c>
      <c r="C1977" t="s">
        <v>1897</v>
      </c>
      <c r="E1977" s="1">
        <v>45981</v>
      </c>
      <c r="F1977">
        <v>176.8</v>
      </c>
      <c r="G1977" t="s">
        <v>2099</v>
      </c>
      <c r="H1977">
        <f>_xlfn.XLOOKUP(E1977,K:K,L:L)</f>
        <v>11</v>
      </c>
    </row>
    <row r="1978" spans="1:8" x14ac:dyDescent="0.3">
      <c r="A1978" t="s">
        <v>92</v>
      </c>
      <c r="B1978">
        <v>20518349253</v>
      </c>
      <c r="C1978" t="s">
        <v>1911</v>
      </c>
      <c r="E1978" s="1">
        <v>45981</v>
      </c>
      <c r="F1978">
        <v>131.44</v>
      </c>
      <c r="G1978" t="s">
        <v>2099</v>
      </c>
      <c r="H1978">
        <f>_xlfn.XLOOKUP(E1978,K:K,L:L)</f>
        <v>11</v>
      </c>
    </row>
    <row r="1979" spans="1:8" x14ac:dyDescent="0.3">
      <c r="A1979" t="s">
        <v>92</v>
      </c>
      <c r="B1979">
        <v>20601607761</v>
      </c>
      <c r="C1979" t="s">
        <v>1903</v>
      </c>
      <c r="E1979" s="1">
        <v>45981</v>
      </c>
      <c r="F1979">
        <v>172.07000000000002</v>
      </c>
      <c r="G1979" t="s">
        <v>2099</v>
      </c>
      <c r="H1979">
        <f>_xlfn.XLOOKUP(E1979,K:K,L:L)</f>
        <v>11</v>
      </c>
    </row>
    <row r="1980" spans="1:8" x14ac:dyDescent="0.3">
      <c r="A1980" t="s">
        <v>92</v>
      </c>
      <c r="B1980">
        <v>20602561659</v>
      </c>
      <c r="C1980" t="s">
        <v>1904</v>
      </c>
      <c r="E1980" s="1">
        <v>45981</v>
      </c>
      <c r="F1980">
        <v>131.44</v>
      </c>
      <c r="G1980" t="s">
        <v>2099</v>
      </c>
      <c r="H1980">
        <f>_xlfn.XLOOKUP(E1980,K:K,L:L)</f>
        <v>11</v>
      </c>
    </row>
    <row r="1981" spans="1:8" x14ac:dyDescent="0.3">
      <c r="A1981" t="s">
        <v>92</v>
      </c>
      <c r="B1981">
        <v>20603125097</v>
      </c>
      <c r="C1981" t="s">
        <v>1905</v>
      </c>
      <c r="E1981" s="1">
        <v>45981</v>
      </c>
      <c r="F1981">
        <v>144.57999999999998</v>
      </c>
      <c r="G1981" t="s">
        <v>2099</v>
      </c>
      <c r="H1981">
        <f>_xlfn.XLOOKUP(E1981,K:K,L:L)</f>
        <v>11</v>
      </c>
    </row>
    <row r="1982" spans="1:8" x14ac:dyDescent="0.3">
      <c r="A1982" t="s">
        <v>92</v>
      </c>
      <c r="B1982">
        <v>20605109811</v>
      </c>
      <c r="C1982" t="s">
        <v>1889</v>
      </c>
      <c r="E1982" s="1">
        <v>45981</v>
      </c>
      <c r="F1982">
        <v>454.79</v>
      </c>
      <c r="G1982" t="s">
        <v>2099</v>
      </c>
      <c r="H1982">
        <f>_xlfn.XLOOKUP(E1982,K:K,L:L)</f>
        <v>11</v>
      </c>
    </row>
    <row r="1983" spans="1:8" x14ac:dyDescent="0.3">
      <c r="A1983" t="s">
        <v>92</v>
      </c>
      <c r="B1983">
        <v>20606493704</v>
      </c>
      <c r="C1983" t="s">
        <v>1907</v>
      </c>
      <c r="E1983" s="1">
        <v>45981</v>
      </c>
      <c r="F1983">
        <v>372.21000000000004</v>
      </c>
      <c r="G1983" t="s">
        <v>2099</v>
      </c>
      <c r="H1983">
        <f>_xlfn.XLOOKUP(E1983,K:K,L:L)</f>
        <v>11</v>
      </c>
    </row>
    <row r="1984" spans="1:8" x14ac:dyDescent="0.3">
      <c r="A1984" t="s">
        <v>92</v>
      </c>
      <c r="B1984">
        <v>20611083239</v>
      </c>
      <c r="C1984" t="s">
        <v>1912</v>
      </c>
      <c r="E1984" s="1">
        <v>45981</v>
      </c>
      <c r="F1984">
        <v>117.77</v>
      </c>
      <c r="G1984" t="s">
        <v>2099</v>
      </c>
      <c r="H1984">
        <f>_xlfn.XLOOKUP(E1984,K:K,L:L)</f>
        <v>11</v>
      </c>
    </row>
    <row r="1985" spans="1:8" x14ac:dyDescent="0.3">
      <c r="A1985" t="s">
        <v>92</v>
      </c>
      <c r="B1985">
        <v>20611904020</v>
      </c>
      <c r="C1985" t="s">
        <v>1913</v>
      </c>
      <c r="E1985" s="1">
        <v>45981</v>
      </c>
      <c r="F1985">
        <v>174.47</v>
      </c>
      <c r="G1985" t="s">
        <v>2099</v>
      </c>
      <c r="H1985">
        <f>_xlfn.XLOOKUP(E1985,K:K,L:L)</f>
        <v>11</v>
      </c>
    </row>
    <row r="1986" spans="1:8" x14ac:dyDescent="0.3">
      <c r="A1986" t="s">
        <v>92</v>
      </c>
      <c r="B1986">
        <v>20613817264</v>
      </c>
      <c r="C1986" t="s">
        <v>1586</v>
      </c>
      <c r="E1986" s="1">
        <v>45981</v>
      </c>
      <c r="F1986">
        <v>674</v>
      </c>
      <c r="G1986" t="s">
        <v>2099</v>
      </c>
      <c r="H1986">
        <f>_xlfn.XLOOKUP(E1986,K:K,L:L)</f>
        <v>11</v>
      </c>
    </row>
    <row r="1987" spans="1:8" x14ac:dyDescent="0.3">
      <c r="A1987" t="s">
        <v>92</v>
      </c>
      <c r="B1987">
        <v>10255182183</v>
      </c>
      <c r="C1987" t="s">
        <v>1909</v>
      </c>
      <c r="E1987" s="1">
        <v>45981</v>
      </c>
      <c r="F1987">
        <v>489.84</v>
      </c>
      <c r="G1987" t="s">
        <v>2099</v>
      </c>
      <c r="H1987">
        <f>_xlfn.XLOOKUP(E1987,K:K,L:L)</f>
        <v>11</v>
      </c>
    </row>
    <row r="1988" spans="1:8" x14ac:dyDescent="0.3">
      <c r="A1988" t="s">
        <v>92</v>
      </c>
      <c r="B1988">
        <v>20392793802</v>
      </c>
      <c r="C1988" t="s">
        <v>1910</v>
      </c>
      <c r="E1988" s="1">
        <v>45981</v>
      </c>
      <c r="F1988">
        <v>703.35</v>
      </c>
      <c r="G1988" t="s">
        <v>2099</v>
      </c>
      <c r="H1988">
        <f>_xlfn.XLOOKUP(E1988,K:K,L:L)</f>
        <v>11</v>
      </c>
    </row>
    <row r="1989" spans="1:8" x14ac:dyDescent="0.3">
      <c r="A1989" t="s">
        <v>92</v>
      </c>
      <c r="B1989">
        <v>20602561659</v>
      </c>
      <c r="C1989" t="s">
        <v>1904</v>
      </c>
      <c r="E1989" s="1">
        <v>45981</v>
      </c>
      <c r="F1989">
        <v>132.46</v>
      </c>
      <c r="G1989" t="s">
        <v>2099</v>
      </c>
      <c r="H1989">
        <f>_xlfn.XLOOKUP(E1989,K:K,L:L)</f>
        <v>11</v>
      </c>
    </row>
    <row r="1990" spans="1:8" x14ac:dyDescent="0.3">
      <c r="A1990" t="s">
        <v>92</v>
      </c>
      <c r="B1990">
        <v>20603125097</v>
      </c>
      <c r="C1990" t="s">
        <v>1905</v>
      </c>
      <c r="E1990" s="1">
        <v>45981</v>
      </c>
      <c r="F1990">
        <v>145.71</v>
      </c>
      <c r="G1990" t="s">
        <v>2099</v>
      </c>
      <c r="H1990">
        <f>_xlfn.XLOOKUP(E1990,K:K,L:L)</f>
        <v>11</v>
      </c>
    </row>
    <row r="1991" spans="1:8" x14ac:dyDescent="0.3">
      <c r="A1991" t="s">
        <v>92</v>
      </c>
      <c r="B1991">
        <v>20605109811</v>
      </c>
      <c r="C1991" t="s">
        <v>1889</v>
      </c>
      <c r="E1991" s="1">
        <v>45981</v>
      </c>
      <c r="F1991">
        <v>257.26</v>
      </c>
      <c r="G1991" t="s">
        <v>2099</v>
      </c>
      <c r="H1991">
        <f>_xlfn.XLOOKUP(E1991,K:K,L:L)</f>
        <v>11</v>
      </c>
    </row>
    <row r="1992" spans="1:8" x14ac:dyDescent="0.3">
      <c r="A1992" t="s">
        <v>92</v>
      </c>
      <c r="B1992">
        <v>20610715690</v>
      </c>
      <c r="C1992" t="s">
        <v>1914</v>
      </c>
      <c r="E1992" s="1">
        <v>45981</v>
      </c>
      <c r="F1992">
        <v>132.46</v>
      </c>
      <c r="G1992" t="s">
        <v>2099</v>
      </c>
      <c r="H1992">
        <f>_xlfn.XLOOKUP(E1992,K:K,L:L)</f>
        <v>11</v>
      </c>
    </row>
    <row r="1993" spans="1:8" x14ac:dyDescent="0.3">
      <c r="A1993" t="s">
        <v>92</v>
      </c>
      <c r="B1993">
        <v>20611083239</v>
      </c>
      <c r="C1993" t="s">
        <v>1912</v>
      </c>
      <c r="E1993" s="1">
        <v>45981</v>
      </c>
      <c r="F1993">
        <v>118.69</v>
      </c>
      <c r="G1993" t="s">
        <v>2099</v>
      </c>
      <c r="H1993">
        <f>_xlfn.XLOOKUP(E1993,K:K,L:L)</f>
        <v>11</v>
      </c>
    </row>
    <row r="1994" spans="1:8" x14ac:dyDescent="0.3">
      <c r="A1994" t="s">
        <v>92</v>
      </c>
      <c r="B1994">
        <v>20527353433</v>
      </c>
      <c r="C1994" t="s">
        <v>1915</v>
      </c>
      <c r="E1994" s="1">
        <v>45981</v>
      </c>
      <c r="F1994">
        <v>250.10000000000002</v>
      </c>
      <c r="G1994" t="s">
        <v>2099</v>
      </c>
      <c r="H1994">
        <f>_xlfn.XLOOKUP(E1994,K:K,L:L)</f>
        <v>11</v>
      </c>
    </row>
    <row r="1995" spans="1:8" x14ac:dyDescent="0.3">
      <c r="A1995" t="s">
        <v>92</v>
      </c>
      <c r="B1995">
        <v>20603125097</v>
      </c>
      <c r="C1995" t="s">
        <v>1905</v>
      </c>
      <c r="E1995" s="1">
        <v>45981</v>
      </c>
      <c r="F1995">
        <v>147.13</v>
      </c>
      <c r="G1995" t="s">
        <v>2099</v>
      </c>
      <c r="H1995">
        <f>_xlfn.XLOOKUP(E1995,K:K,L:L)</f>
        <v>11</v>
      </c>
    </row>
    <row r="1996" spans="1:8" x14ac:dyDescent="0.3">
      <c r="A1996" t="s">
        <v>92</v>
      </c>
      <c r="B1996">
        <v>10255182183</v>
      </c>
      <c r="C1996" t="s">
        <v>1909</v>
      </c>
      <c r="E1996" s="1">
        <v>45981</v>
      </c>
      <c r="F1996">
        <v>80.95</v>
      </c>
      <c r="G1996" t="s">
        <v>2099</v>
      </c>
      <c r="H1996">
        <f>_xlfn.XLOOKUP(E1996,K:K,L:L)</f>
        <v>11</v>
      </c>
    </row>
    <row r="1997" spans="1:8" x14ac:dyDescent="0.3">
      <c r="A1997" t="s">
        <v>92</v>
      </c>
      <c r="B1997">
        <v>20527353433</v>
      </c>
      <c r="C1997" t="s">
        <v>1915</v>
      </c>
      <c r="E1997" s="1">
        <v>45981</v>
      </c>
      <c r="F1997">
        <v>252.27</v>
      </c>
      <c r="G1997" t="s">
        <v>2099</v>
      </c>
      <c r="H1997">
        <f>_xlfn.XLOOKUP(E1997,K:K,L:L)</f>
        <v>11</v>
      </c>
    </row>
    <row r="1998" spans="1:8" x14ac:dyDescent="0.3">
      <c r="A1998" t="s">
        <v>92</v>
      </c>
      <c r="B1998">
        <v>20603125097</v>
      </c>
      <c r="C1998" t="s">
        <v>1905</v>
      </c>
      <c r="E1998" s="1">
        <v>45981</v>
      </c>
      <c r="F1998">
        <v>148.4</v>
      </c>
      <c r="G1998" t="s">
        <v>2099</v>
      </c>
      <c r="H1998">
        <f>_xlfn.XLOOKUP(E1998,K:K,L:L)</f>
        <v>11</v>
      </c>
    </row>
    <row r="1999" spans="1:8" x14ac:dyDescent="0.3">
      <c r="A1999" t="s">
        <v>92</v>
      </c>
      <c r="B1999">
        <v>20610715690</v>
      </c>
      <c r="C1999" t="s">
        <v>1914</v>
      </c>
      <c r="E1999" s="1">
        <v>45981</v>
      </c>
      <c r="F1999">
        <v>134.9</v>
      </c>
      <c r="G1999" t="s">
        <v>2099</v>
      </c>
      <c r="H1999">
        <f>_xlfn.XLOOKUP(E1999,K:K,L:L)</f>
        <v>11</v>
      </c>
    </row>
    <row r="2000" spans="1:8" x14ac:dyDescent="0.3">
      <c r="A2000" t="s">
        <v>92</v>
      </c>
      <c r="B2000">
        <v>20527353433</v>
      </c>
      <c r="C2000" t="s">
        <v>1915</v>
      </c>
      <c r="E2000" s="1">
        <v>45981</v>
      </c>
      <c r="F2000">
        <v>254.43</v>
      </c>
      <c r="G2000" t="s">
        <v>2099</v>
      </c>
      <c r="H2000">
        <f>_xlfn.XLOOKUP(E2000,K:K,L:L)</f>
        <v>11</v>
      </c>
    </row>
    <row r="2001" spans="1:8" x14ac:dyDescent="0.3">
      <c r="A2001" t="s">
        <v>92</v>
      </c>
      <c r="B2001">
        <v>20610715690</v>
      </c>
      <c r="C2001" t="s">
        <v>1914</v>
      </c>
      <c r="E2001" s="1">
        <v>45981</v>
      </c>
      <c r="F2001">
        <v>136.06</v>
      </c>
      <c r="G2001" t="s">
        <v>2099</v>
      </c>
      <c r="H2001">
        <f>_xlfn.XLOOKUP(E2001,K:K,L:L)</f>
        <v>11</v>
      </c>
    </row>
    <row r="2002" spans="1:8" x14ac:dyDescent="0.3">
      <c r="A2002" t="s">
        <v>92</v>
      </c>
      <c r="B2002">
        <v>20610715690</v>
      </c>
      <c r="C2002" t="s">
        <v>1914</v>
      </c>
      <c r="E2002" s="1">
        <v>45981</v>
      </c>
      <c r="F2002">
        <v>137.21</v>
      </c>
      <c r="G2002" t="s">
        <v>2099</v>
      </c>
      <c r="H2002">
        <f>_xlfn.XLOOKUP(E2002,K:K,L:L)</f>
        <v>11</v>
      </c>
    </row>
    <row r="2003" spans="1:8" x14ac:dyDescent="0.3">
      <c r="A2003" t="s">
        <v>92</v>
      </c>
      <c r="B2003">
        <v>20610715690</v>
      </c>
      <c r="C2003" t="s">
        <v>1914</v>
      </c>
      <c r="E2003" s="1">
        <v>45981</v>
      </c>
      <c r="F2003">
        <v>138.37</v>
      </c>
      <c r="G2003" t="s">
        <v>2099</v>
      </c>
      <c r="H2003">
        <f>_xlfn.XLOOKUP(E2003,K:K,L:L)</f>
        <v>11</v>
      </c>
    </row>
    <row r="2004" spans="1:8" x14ac:dyDescent="0.3">
      <c r="A2004" t="s">
        <v>6</v>
      </c>
      <c r="B2004">
        <v>20601830338</v>
      </c>
      <c r="C2004" t="s">
        <v>2062</v>
      </c>
      <c r="E2004" s="1">
        <v>45981</v>
      </c>
      <c r="F2004">
        <v>148.47</v>
      </c>
      <c r="G2004" t="s">
        <v>2099</v>
      </c>
      <c r="H2004">
        <f>_xlfn.XLOOKUP(E2004,K:K,L:L)</f>
        <v>11</v>
      </c>
    </row>
    <row r="2005" spans="1:8" x14ac:dyDescent="0.3">
      <c r="A2005" t="s">
        <v>92</v>
      </c>
      <c r="B2005">
        <v>20487621073</v>
      </c>
      <c r="C2005" t="s">
        <v>1916</v>
      </c>
      <c r="E2005" s="1">
        <v>45982</v>
      </c>
      <c r="F2005">
        <v>293.75</v>
      </c>
      <c r="G2005" t="s">
        <v>2099</v>
      </c>
      <c r="H2005">
        <f>_xlfn.XLOOKUP(E2005,K:K,L:L)</f>
        <v>12</v>
      </c>
    </row>
    <row r="2006" spans="1:8" x14ac:dyDescent="0.3">
      <c r="A2006" t="s">
        <v>92</v>
      </c>
      <c r="B2006">
        <v>20550132410</v>
      </c>
      <c r="C2006" t="s">
        <v>1917</v>
      </c>
      <c r="E2006" s="1">
        <v>45982</v>
      </c>
      <c r="F2006">
        <v>703.28</v>
      </c>
      <c r="G2006" t="s">
        <v>2099</v>
      </c>
      <c r="H2006">
        <f>_xlfn.XLOOKUP(E2006,K:K,L:L)</f>
        <v>12</v>
      </c>
    </row>
    <row r="2007" spans="1:8" x14ac:dyDescent="0.3">
      <c r="A2007" t="s">
        <v>92</v>
      </c>
      <c r="B2007">
        <v>20562699164</v>
      </c>
      <c r="C2007" t="s">
        <v>1918</v>
      </c>
      <c r="E2007" s="1">
        <v>45982</v>
      </c>
      <c r="F2007">
        <v>230.58</v>
      </c>
      <c r="G2007" t="s">
        <v>2099</v>
      </c>
      <c r="H2007">
        <f>_xlfn.XLOOKUP(E2007,K:K,L:L)</f>
        <v>12</v>
      </c>
    </row>
    <row r="2008" spans="1:8" x14ac:dyDescent="0.3">
      <c r="A2008" t="s">
        <v>92</v>
      </c>
      <c r="B2008">
        <v>20600720636</v>
      </c>
      <c r="C2008" t="s">
        <v>1919</v>
      </c>
      <c r="E2008" s="1">
        <v>45982</v>
      </c>
      <c r="F2008">
        <v>278.89</v>
      </c>
      <c r="G2008" t="s">
        <v>2099</v>
      </c>
      <c r="H2008">
        <f>_xlfn.XLOOKUP(E2008,K:K,L:L)</f>
        <v>12</v>
      </c>
    </row>
    <row r="2009" spans="1:8" x14ac:dyDescent="0.3">
      <c r="A2009" t="s">
        <v>92</v>
      </c>
      <c r="B2009">
        <v>20602001823</v>
      </c>
      <c r="C2009" t="s">
        <v>1920</v>
      </c>
      <c r="E2009" s="1">
        <v>45982</v>
      </c>
      <c r="F2009">
        <v>162.91</v>
      </c>
      <c r="G2009" t="s">
        <v>2099</v>
      </c>
      <c r="H2009">
        <f>_xlfn.XLOOKUP(E2009,K:K,L:L)</f>
        <v>12</v>
      </c>
    </row>
    <row r="2010" spans="1:8" x14ac:dyDescent="0.3">
      <c r="A2010" t="s">
        <v>92</v>
      </c>
      <c r="B2010">
        <v>20602354939</v>
      </c>
      <c r="C2010" t="s">
        <v>1921</v>
      </c>
      <c r="E2010" s="1">
        <v>45982</v>
      </c>
      <c r="F2010">
        <v>130.28</v>
      </c>
      <c r="G2010" t="s">
        <v>2099</v>
      </c>
      <c r="H2010">
        <f>_xlfn.XLOOKUP(E2010,K:K,L:L)</f>
        <v>12</v>
      </c>
    </row>
    <row r="2011" spans="1:8" x14ac:dyDescent="0.3">
      <c r="A2011" t="s">
        <v>92</v>
      </c>
      <c r="B2011">
        <v>20602958494</v>
      </c>
      <c r="C2011" t="s">
        <v>1922</v>
      </c>
      <c r="E2011" s="1">
        <v>45982</v>
      </c>
      <c r="F2011">
        <v>260.55</v>
      </c>
      <c r="G2011" t="s">
        <v>2099</v>
      </c>
      <c r="H2011">
        <f>_xlfn.XLOOKUP(E2011,K:K,L:L)</f>
        <v>12</v>
      </c>
    </row>
    <row r="2012" spans="1:8" x14ac:dyDescent="0.3">
      <c r="A2012" t="s">
        <v>92</v>
      </c>
      <c r="B2012">
        <v>20603717105</v>
      </c>
      <c r="C2012" t="s">
        <v>1923</v>
      </c>
      <c r="E2012" s="1">
        <v>45982</v>
      </c>
      <c r="F2012">
        <v>673.31</v>
      </c>
      <c r="G2012" t="s">
        <v>2099</v>
      </c>
      <c r="H2012">
        <f>_xlfn.XLOOKUP(E2012,K:K,L:L)</f>
        <v>12</v>
      </c>
    </row>
    <row r="2013" spans="1:8" x14ac:dyDescent="0.3">
      <c r="A2013" t="s">
        <v>92</v>
      </c>
      <c r="B2013">
        <v>20604136548</v>
      </c>
      <c r="C2013" t="s">
        <v>1811</v>
      </c>
      <c r="E2013" s="1">
        <v>45982</v>
      </c>
      <c r="F2013">
        <v>161.41</v>
      </c>
      <c r="G2013" t="s">
        <v>2099</v>
      </c>
      <c r="H2013">
        <f>_xlfn.XLOOKUP(E2013,K:K,L:L)</f>
        <v>12</v>
      </c>
    </row>
    <row r="2014" spans="1:8" x14ac:dyDescent="0.3">
      <c r="A2014" t="s">
        <v>92</v>
      </c>
      <c r="B2014">
        <v>20605360174</v>
      </c>
      <c r="C2014" t="s">
        <v>1924</v>
      </c>
      <c r="E2014" s="1">
        <v>45982</v>
      </c>
      <c r="F2014">
        <v>260.55</v>
      </c>
      <c r="G2014" t="s">
        <v>2099</v>
      </c>
      <c r="H2014">
        <f>_xlfn.XLOOKUP(E2014,K:K,L:L)</f>
        <v>12</v>
      </c>
    </row>
    <row r="2015" spans="1:8" x14ac:dyDescent="0.3">
      <c r="A2015" t="s">
        <v>92</v>
      </c>
      <c r="B2015">
        <v>20610055096</v>
      </c>
      <c r="C2015" t="s">
        <v>1925</v>
      </c>
      <c r="E2015" s="1">
        <v>45982</v>
      </c>
      <c r="F2015">
        <v>175.82</v>
      </c>
      <c r="G2015" t="s">
        <v>2099</v>
      </c>
      <c r="H2015">
        <f>_xlfn.XLOOKUP(E2015,K:K,L:L)</f>
        <v>12</v>
      </c>
    </row>
    <row r="2016" spans="1:8" x14ac:dyDescent="0.3">
      <c r="A2016" t="s">
        <v>92</v>
      </c>
      <c r="B2016">
        <v>20611717424</v>
      </c>
      <c r="C2016" t="s">
        <v>1926</v>
      </c>
      <c r="E2016" s="1">
        <v>45982</v>
      </c>
      <c r="F2016">
        <v>345.88</v>
      </c>
      <c r="G2016" t="s">
        <v>2099</v>
      </c>
      <c r="H2016">
        <f>_xlfn.XLOOKUP(E2016,K:K,L:L)</f>
        <v>12</v>
      </c>
    </row>
    <row r="2017" spans="1:8" x14ac:dyDescent="0.3">
      <c r="A2017" t="s">
        <v>92</v>
      </c>
      <c r="B2017">
        <v>20611849274</v>
      </c>
      <c r="C2017" t="s">
        <v>1927</v>
      </c>
      <c r="E2017" s="1">
        <v>45982</v>
      </c>
      <c r="F2017">
        <v>130.28</v>
      </c>
      <c r="G2017" t="s">
        <v>2099</v>
      </c>
      <c r="H2017">
        <f>_xlfn.XLOOKUP(E2017,K:K,L:L)</f>
        <v>12</v>
      </c>
    </row>
    <row r="2018" spans="1:8" x14ac:dyDescent="0.3">
      <c r="A2018" t="s">
        <v>92</v>
      </c>
      <c r="B2018">
        <v>20612214914</v>
      </c>
      <c r="C2018" t="s">
        <v>1928</v>
      </c>
      <c r="E2018" s="1">
        <v>45982</v>
      </c>
      <c r="F2018">
        <v>130.28</v>
      </c>
      <c r="G2018" t="s">
        <v>2099</v>
      </c>
      <c r="H2018">
        <f>_xlfn.XLOOKUP(E2018,K:K,L:L)</f>
        <v>12</v>
      </c>
    </row>
    <row r="2019" spans="1:8" x14ac:dyDescent="0.3">
      <c r="A2019" t="s">
        <v>92</v>
      </c>
      <c r="B2019">
        <v>20613033034</v>
      </c>
      <c r="C2019" t="s">
        <v>1929</v>
      </c>
      <c r="E2019" s="1">
        <v>45982</v>
      </c>
      <c r="F2019">
        <v>416.55</v>
      </c>
      <c r="G2019" t="s">
        <v>2099</v>
      </c>
      <c r="H2019">
        <f>_xlfn.XLOOKUP(E2019,K:K,L:L)</f>
        <v>12</v>
      </c>
    </row>
    <row r="2020" spans="1:8" x14ac:dyDescent="0.3">
      <c r="A2020" t="s">
        <v>92</v>
      </c>
      <c r="B2020">
        <v>20527353433</v>
      </c>
      <c r="C2020" t="s">
        <v>1915</v>
      </c>
      <c r="E2020" s="1">
        <v>45982</v>
      </c>
      <c r="F2020">
        <v>245.78</v>
      </c>
      <c r="G2020" t="s">
        <v>2099</v>
      </c>
      <c r="H2020">
        <f>_xlfn.XLOOKUP(E2020,K:K,L:L)</f>
        <v>12</v>
      </c>
    </row>
    <row r="2021" spans="1:8" x14ac:dyDescent="0.3">
      <c r="A2021" t="s">
        <v>92</v>
      </c>
      <c r="B2021">
        <v>20602001823</v>
      </c>
      <c r="C2021" t="s">
        <v>1920</v>
      </c>
      <c r="E2021" s="1">
        <v>45982</v>
      </c>
      <c r="F2021">
        <v>164.36</v>
      </c>
      <c r="G2021" t="s">
        <v>2099</v>
      </c>
      <c r="H2021">
        <f>_xlfn.XLOOKUP(E2021,K:K,L:L)</f>
        <v>12</v>
      </c>
    </row>
    <row r="2022" spans="1:8" x14ac:dyDescent="0.3">
      <c r="A2022" t="s">
        <v>92</v>
      </c>
      <c r="B2022">
        <v>20602354939</v>
      </c>
      <c r="C2022" t="s">
        <v>1921</v>
      </c>
      <c r="E2022" s="1">
        <v>45982</v>
      </c>
      <c r="F2022">
        <v>131.44</v>
      </c>
      <c r="G2022" t="s">
        <v>2099</v>
      </c>
      <c r="H2022">
        <f>_xlfn.XLOOKUP(E2022,K:K,L:L)</f>
        <v>12</v>
      </c>
    </row>
    <row r="2023" spans="1:8" x14ac:dyDescent="0.3">
      <c r="A2023" t="s">
        <v>92</v>
      </c>
      <c r="B2023">
        <v>20602958494</v>
      </c>
      <c r="C2023" t="s">
        <v>1922</v>
      </c>
      <c r="E2023" s="1">
        <v>45982</v>
      </c>
      <c r="F2023">
        <v>262.87</v>
      </c>
      <c r="G2023" t="s">
        <v>2099</v>
      </c>
      <c r="H2023">
        <f>_xlfn.XLOOKUP(E2023,K:K,L:L)</f>
        <v>12</v>
      </c>
    </row>
    <row r="2024" spans="1:8" x14ac:dyDescent="0.3">
      <c r="A2024" t="s">
        <v>92</v>
      </c>
      <c r="B2024">
        <v>20604136548</v>
      </c>
      <c r="C2024" t="s">
        <v>1811</v>
      </c>
      <c r="E2024" s="1">
        <v>45982</v>
      </c>
      <c r="F2024">
        <v>162.84</v>
      </c>
      <c r="G2024" t="s">
        <v>2099</v>
      </c>
      <c r="H2024">
        <f>_xlfn.XLOOKUP(E2024,K:K,L:L)</f>
        <v>12</v>
      </c>
    </row>
    <row r="2025" spans="1:8" x14ac:dyDescent="0.3">
      <c r="A2025" t="s">
        <v>92</v>
      </c>
      <c r="B2025">
        <v>20605360174</v>
      </c>
      <c r="C2025" t="s">
        <v>1924</v>
      </c>
      <c r="E2025" s="1">
        <v>45982</v>
      </c>
      <c r="F2025">
        <v>262.87</v>
      </c>
      <c r="G2025" t="s">
        <v>2099</v>
      </c>
      <c r="H2025">
        <f>_xlfn.XLOOKUP(E2025,K:K,L:L)</f>
        <v>12</v>
      </c>
    </row>
    <row r="2026" spans="1:8" x14ac:dyDescent="0.3">
      <c r="A2026" t="s">
        <v>92</v>
      </c>
      <c r="B2026">
        <v>20610055096</v>
      </c>
      <c r="C2026" t="s">
        <v>1925</v>
      </c>
      <c r="E2026" s="1">
        <v>45982</v>
      </c>
      <c r="F2026">
        <v>174.47</v>
      </c>
      <c r="G2026" t="s">
        <v>2099</v>
      </c>
      <c r="H2026">
        <f>_xlfn.XLOOKUP(E2026,K:K,L:L)</f>
        <v>12</v>
      </c>
    </row>
    <row r="2027" spans="1:8" x14ac:dyDescent="0.3">
      <c r="A2027" t="s">
        <v>92</v>
      </c>
      <c r="B2027">
        <v>20611717424</v>
      </c>
      <c r="C2027" t="s">
        <v>1926</v>
      </c>
      <c r="E2027" s="1">
        <v>45982</v>
      </c>
      <c r="F2027">
        <v>348.95</v>
      </c>
      <c r="G2027" t="s">
        <v>2099</v>
      </c>
      <c r="H2027">
        <f>_xlfn.XLOOKUP(E2027,K:K,L:L)</f>
        <v>12</v>
      </c>
    </row>
    <row r="2028" spans="1:8" x14ac:dyDescent="0.3">
      <c r="A2028" t="s">
        <v>92</v>
      </c>
      <c r="B2028">
        <v>20611849274</v>
      </c>
      <c r="C2028" t="s">
        <v>1927</v>
      </c>
      <c r="E2028" s="1">
        <v>45982</v>
      </c>
      <c r="F2028">
        <v>131.44</v>
      </c>
      <c r="G2028" t="s">
        <v>2099</v>
      </c>
      <c r="H2028">
        <f>_xlfn.XLOOKUP(E2028,K:K,L:L)</f>
        <v>12</v>
      </c>
    </row>
    <row r="2029" spans="1:8" x14ac:dyDescent="0.3">
      <c r="A2029" t="s">
        <v>92</v>
      </c>
      <c r="B2029">
        <v>20612214914</v>
      </c>
      <c r="C2029" t="s">
        <v>1928</v>
      </c>
      <c r="E2029" s="1">
        <v>45982</v>
      </c>
      <c r="F2029">
        <v>131.44</v>
      </c>
      <c r="G2029" t="s">
        <v>2099</v>
      </c>
      <c r="H2029">
        <f>_xlfn.XLOOKUP(E2029,K:K,L:L)</f>
        <v>12</v>
      </c>
    </row>
    <row r="2030" spans="1:8" x14ac:dyDescent="0.3">
      <c r="A2030" t="s">
        <v>92</v>
      </c>
      <c r="B2030">
        <v>20527353433</v>
      </c>
      <c r="C2030" t="s">
        <v>1915</v>
      </c>
      <c r="E2030" s="1">
        <v>45982</v>
      </c>
      <c r="F2030">
        <v>247.94</v>
      </c>
      <c r="G2030" t="s">
        <v>2099</v>
      </c>
      <c r="H2030">
        <f>_xlfn.XLOOKUP(E2030,K:K,L:L)</f>
        <v>12</v>
      </c>
    </row>
    <row r="2031" spans="1:8" x14ac:dyDescent="0.3">
      <c r="A2031" t="s">
        <v>92</v>
      </c>
      <c r="B2031">
        <v>20602001823</v>
      </c>
      <c r="C2031" t="s">
        <v>1920</v>
      </c>
      <c r="E2031" s="1">
        <v>45982</v>
      </c>
      <c r="F2031">
        <v>165.79999999999998</v>
      </c>
      <c r="G2031" t="s">
        <v>2099</v>
      </c>
      <c r="H2031">
        <f>_xlfn.XLOOKUP(E2031,K:K,L:L)</f>
        <v>12</v>
      </c>
    </row>
    <row r="2032" spans="1:8" x14ac:dyDescent="0.3">
      <c r="A2032" t="s">
        <v>92</v>
      </c>
      <c r="B2032">
        <v>20602958494</v>
      </c>
      <c r="C2032" t="s">
        <v>1922</v>
      </c>
      <c r="E2032" s="1">
        <v>45982</v>
      </c>
      <c r="F2032">
        <v>265.18</v>
      </c>
      <c r="G2032" t="s">
        <v>2099</v>
      </c>
      <c r="H2032">
        <f>_xlfn.XLOOKUP(E2032,K:K,L:L)</f>
        <v>12</v>
      </c>
    </row>
    <row r="2033" spans="1:8" x14ac:dyDescent="0.3">
      <c r="A2033" t="s">
        <v>92</v>
      </c>
      <c r="B2033">
        <v>20610055096</v>
      </c>
      <c r="C2033" t="s">
        <v>1925</v>
      </c>
      <c r="E2033" s="1">
        <v>45982</v>
      </c>
      <c r="F2033">
        <v>176.01000000000002</v>
      </c>
      <c r="G2033" t="s">
        <v>2099</v>
      </c>
      <c r="H2033">
        <f>_xlfn.XLOOKUP(E2033,K:K,L:L)</f>
        <v>12</v>
      </c>
    </row>
    <row r="2034" spans="1:8" x14ac:dyDescent="0.3">
      <c r="A2034" t="s">
        <v>92</v>
      </c>
      <c r="B2034">
        <v>20610055096</v>
      </c>
      <c r="C2034" t="s">
        <v>1925</v>
      </c>
      <c r="E2034" s="1">
        <v>45982</v>
      </c>
      <c r="F2034">
        <v>177.54000000000002</v>
      </c>
      <c r="G2034" t="s">
        <v>2099</v>
      </c>
      <c r="H2034">
        <f>_xlfn.XLOOKUP(E2034,K:K,L:L)</f>
        <v>12</v>
      </c>
    </row>
    <row r="2035" spans="1:8" x14ac:dyDescent="0.3">
      <c r="A2035" t="s">
        <v>92</v>
      </c>
      <c r="B2035">
        <v>20494099153</v>
      </c>
      <c r="C2035" t="s">
        <v>1933</v>
      </c>
      <c r="E2035" s="1">
        <v>45982</v>
      </c>
      <c r="F2035">
        <v>143.31</v>
      </c>
      <c r="G2035" t="s">
        <v>2099</v>
      </c>
      <c r="H2035">
        <f>_xlfn.XLOOKUP(E2035,K:K,L:L)</f>
        <v>12</v>
      </c>
    </row>
    <row r="2036" spans="1:8" x14ac:dyDescent="0.3">
      <c r="A2036" t="s">
        <v>92</v>
      </c>
      <c r="B2036">
        <v>20604310939</v>
      </c>
      <c r="C2036" t="s">
        <v>1934</v>
      </c>
      <c r="E2036" s="1">
        <v>45982</v>
      </c>
      <c r="F2036">
        <v>306.44</v>
      </c>
      <c r="G2036" t="s">
        <v>2099</v>
      </c>
      <c r="H2036">
        <f>_xlfn.XLOOKUP(E2036,K:K,L:L)</f>
        <v>12</v>
      </c>
    </row>
    <row r="2037" spans="1:8" x14ac:dyDescent="0.3">
      <c r="A2037" t="s">
        <v>92</v>
      </c>
      <c r="B2037">
        <v>20610715690</v>
      </c>
      <c r="C2037" t="s">
        <v>1914</v>
      </c>
      <c r="E2037" s="1">
        <v>45982</v>
      </c>
      <c r="F2037">
        <v>130.28</v>
      </c>
      <c r="G2037" t="s">
        <v>2099</v>
      </c>
      <c r="H2037">
        <f>_xlfn.XLOOKUP(E2037,K:K,L:L)</f>
        <v>12</v>
      </c>
    </row>
    <row r="2038" spans="1:8" x14ac:dyDescent="0.3">
      <c r="A2038" t="s">
        <v>92</v>
      </c>
      <c r="B2038">
        <v>20494099153</v>
      </c>
      <c r="C2038" t="s">
        <v>1933</v>
      </c>
      <c r="E2038" s="1">
        <v>45982</v>
      </c>
      <c r="F2038">
        <v>144.57999999999998</v>
      </c>
      <c r="G2038" t="s">
        <v>2099</v>
      </c>
      <c r="H2038">
        <f>_xlfn.XLOOKUP(E2038,K:K,L:L)</f>
        <v>12</v>
      </c>
    </row>
    <row r="2039" spans="1:8" x14ac:dyDescent="0.3">
      <c r="A2039" t="s">
        <v>92</v>
      </c>
      <c r="B2039">
        <v>20610715690</v>
      </c>
      <c r="C2039" t="s">
        <v>1914</v>
      </c>
      <c r="E2039" s="1">
        <v>45982</v>
      </c>
      <c r="F2039">
        <v>131.44</v>
      </c>
      <c r="G2039" t="s">
        <v>2099</v>
      </c>
      <c r="H2039">
        <f>_xlfn.XLOOKUP(E2039,K:K,L:L)</f>
        <v>12</v>
      </c>
    </row>
    <row r="2040" spans="1:8" x14ac:dyDescent="0.3">
      <c r="A2040" t="s">
        <v>92</v>
      </c>
      <c r="B2040">
        <v>20494099153</v>
      </c>
      <c r="C2040" t="s">
        <v>1933</v>
      </c>
      <c r="E2040" s="1">
        <v>45982</v>
      </c>
      <c r="F2040">
        <v>145.85</v>
      </c>
      <c r="G2040" t="s">
        <v>2099</v>
      </c>
      <c r="H2040">
        <f>_xlfn.XLOOKUP(E2040,K:K,L:L)</f>
        <v>12</v>
      </c>
    </row>
    <row r="2041" spans="1:8" x14ac:dyDescent="0.3">
      <c r="A2041" t="s">
        <v>92</v>
      </c>
      <c r="B2041">
        <v>20550622930</v>
      </c>
      <c r="C2041" t="s">
        <v>1935</v>
      </c>
      <c r="E2041" s="1">
        <v>45982</v>
      </c>
      <c r="F2041">
        <v>293.35000000000002</v>
      </c>
      <c r="G2041" t="s">
        <v>2099</v>
      </c>
      <c r="H2041">
        <f>_xlfn.XLOOKUP(E2041,K:K,L:L)</f>
        <v>12</v>
      </c>
    </row>
    <row r="2042" spans="1:8" x14ac:dyDescent="0.3">
      <c r="A2042" t="s">
        <v>92</v>
      </c>
      <c r="B2042">
        <v>20494099153</v>
      </c>
      <c r="C2042" t="s">
        <v>1933</v>
      </c>
      <c r="E2042" s="1">
        <v>45982</v>
      </c>
      <c r="F2042">
        <v>147.13</v>
      </c>
      <c r="G2042" t="s">
        <v>2099</v>
      </c>
      <c r="H2042">
        <f>_xlfn.XLOOKUP(E2042,K:K,L:L)</f>
        <v>12</v>
      </c>
    </row>
    <row r="2043" spans="1:8" x14ac:dyDescent="0.3">
      <c r="A2043" t="s">
        <v>92</v>
      </c>
      <c r="B2043">
        <v>20550622930</v>
      </c>
      <c r="C2043" t="s">
        <v>1935</v>
      </c>
      <c r="E2043" s="1">
        <v>45982</v>
      </c>
      <c r="F2043">
        <v>295.89999999999998</v>
      </c>
      <c r="G2043" t="s">
        <v>2099</v>
      </c>
      <c r="H2043">
        <f>_xlfn.XLOOKUP(E2043,K:K,L:L)</f>
        <v>12</v>
      </c>
    </row>
    <row r="2044" spans="1:8" x14ac:dyDescent="0.3">
      <c r="A2044" t="s">
        <v>92</v>
      </c>
      <c r="B2044">
        <v>20603632088</v>
      </c>
      <c r="C2044" t="s">
        <v>1936</v>
      </c>
      <c r="E2044" s="1">
        <v>45982</v>
      </c>
      <c r="F2044">
        <v>177.54000000000002</v>
      </c>
      <c r="G2044" t="s">
        <v>2099</v>
      </c>
      <c r="H2044">
        <f>_xlfn.XLOOKUP(E2044,K:K,L:L)</f>
        <v>12</v>
      </c>
    </row>
    <row r="2045" spans="1:8" x14ac:dyDescent="0.3">
      <c r="A2045" t="s">
        <v>92</v>
      </c>
      <c r="B2045">
        <v>20494099153</v>
      </c>
      <c r="C2045" t="s">
        <v>1933</v>
      </c>
      <c r="E2045" s="1">
        <v>45982</v>
      </c>
      <c r="F2045">
        <v>148.4</v>
      </c>
      <c r="G2045" t="s">
        <v>2099</v>
      </c>
      <c r="H2045">
        <f>_xlfn.XLOOKUP(E2045,K:K,L:L)</f>
        <v>12</v>
      </c>
    </row>
    <row r="2046" spans="1:8" x14ac:dyDescent="0.3">
      <c r="A2046" t="s">
        <v>92</v>
      </c>
      <c r="B2046">
        <v>20550622930</v>
      </c>
      <c r="C2046" t="s">
        <v>1935</v>
      </c>
      <c r="E2046" s="1">
        <v>45982</v>
      </c>
      <c r="F2046">
        <v>298.45999999999998</v>
      </c>
      <c r="G2046" t="s">
        <v>2099</v>
      </c>
      <c r="H2046">
        <f>_xlfn.XLOOKUP(E2046,K:K,L:L)</f>
        <v>12</v>
      </c>
    </row>
    <row r="2047" spans="1:8" x14ac:dyDescent="0.3">
      <c r="A2047" t="s">
        <v>6</v>
      </c>
      <c r="B2047">
        <v>20600373740</v>
      </c>
      <c r="C2047" t="s">
        <v>2063</v>
      </c>
      <c r="E2047" s="1">
        <v>45982</v>
      </c>
      <c r="F2047">
        <v>164.70999999999998</v>
      </c>
      <c r="G2047" t="s">
        <v>2099</v>
      </c>
      <c r="H2047">
        <f>_xlfn.XLOOKUP(E2047,K:K,L:L)</f>
        <v>12</v>
      </c>
    </row>
    <row r="2048" spans="1:8" x14ac:dyDescent="0.3">
      <c r="A2048" t="s">
        <v>6</v>
      </c>
      <c r="B2048">
        <v>20600373740</v>
      </c>
      <c r="C2048" t="s">
        <v>2063</v>
      </c>
      <c r="E2048" s="1">
        <v>45982</v>
      </c>
      <c r="F2048">
        <v>165.78</v>
      </c>
      <c r="G2048" t="s">
        <v>2099</v>
      </c>
      <c r="H2048">
        <f>_xlfn.XLOOKUP(E2048,K:K,L:L)</f>
        <v>12</v>
      </c>
    </row>
    <row r="2049" spans="1:8" x14ac:dyDescent="0.3">
      <c r="A2049" t="s">
        <v>6</v>
      </c>
      <c r="B2049">
        <v>20600373740</v>
      </c>
      <c r="C2049" t="s">
        <v>2063</v>
      </c>
      <c r="E2049" s="1">
        <v>45982</v>
      </c>
      <c r="F2049">
        <v>166.96</v>
      </c>
      <c r="G2049" t="s">
        <v>2099</v>
      </c>
      <c r="H2049">
        <f>_xlfn.XLOOKUP(E2049,K:K,L:L)</f>
        <v>12</v>
      </c>
    </row>
    <row r="2050" spans="1:8" x14ac:dyDescent="0.3">
      <c r="A2050" t="s">
        <v>6</v>
      </c>
      <c r="B2050">
        <v>20600373740</v>
      </c>
      <c r="C2050" t="s">
        <v>2063</v>
      </c>
      <c r="E2050" s="1">
        <v>45982</v>
      </c>
      <c r="F2050">
        <v>168.03</v>
      </c>
      <c r="G2050" t="s">
        <v>2099</v>
      </c>
      <c r="H2050">
        <f>_xlfn.XLOOKUP(E2050,K:K,L:L)</f>
        <v>12</v>
      </c>
    </row>
    <row r="2051" spans="1:8" x14ac:dyDescent="0.3">
      <c r="A2051" t="s">
        <v>6</v>
      </c>
      <c r="B2051">
        <v>20600373740</v>
      </c>
      <c r="C2051" t="s">
        <v>2063</v>
      </c>
      <c r="E2051" s="1">
        <v>45982</v>
      </c>
      <c r="F2051">
        <v>169</v>
      </c>
      <c r="G2051" t="s">
        <v>2099</v>
      </c>
      <c r="H2051">
        <f>_xlfn.XLOOKUP(E2051,K:K,L:L)</f>
        <v>12</v>
      </c>
    </row>
    <row r="2052" spans="1:8" x14ac:dyDescent="0.3">
      <c r="A2052" t="s">
        <v>6</v>
      </c>
      <c r="B2052">
        <v>20600373740</v>
      </c>
      <c r="C2052" t="s">
        <v>2063</v>
      </c>
      <c r="E2052" s="1">
        <v>45982</v>
      </c>
      <c r="F2052">
        <v>170.17000000000002</v>
      </c>
      <c r="G2052" t="s">
        <v>2099</v>
      </c>
      <c r="H2052">
        <f>_xlfn.XLOOKUP(E2052,K:K,L:L)</f>
        <v>12</v>
      </c>
    </row>
    <row r="2053" spans="1:8" x14ac:dyDescent="0.3">
      <c r="A2053" t="s">
        <v>6</v>
      </c>
      <c r="B2053">
        <v>20600373740</v>
      </c>
      <c r="C2053" t="s">
        <v>2063</v>
      </c>
      <c r="E2053" s="1">
        <v>45982</v>
      </c>
      <c r="F2053">
        <v>171.25</v>
      </c>
      <c r="G2053" t="s">
        <v>2099</v>
      </c>
      <c r="H2053">
        <f>_xlfn.XLOOKUP(E2053,K:K,L:L)</f>
        <v>12</v>
      </c>
    </row>
    <row r="2054" spans="1:8" x14ac:dyDescent="0.3">
      <c r="A2054" t="s">
        <v>92</v>
      </c>
      <c r="B2054">
        <v>20533061444</v>
      </c>
      <c r="C2054" t="s">
        <v>1930</v>
      </c>
      <c r="E2054" s="1">
        <v>45983</v>
      </c>
      <c r="F2054">
        <v>576.46</v>
      </c>
      <c r="G2054" t="s">
        <v>2099</v>
      </c>
      <c r="H2054">
        <f>_xlfn.XLOOKUP(E2054,K:K,L:L)</f>
        <v>12</v>
      </c>
    </row>
    <row r="2055" spans="1:8" x14ac:dyDescent="0.3">
      <c r="A2055" t="s">
        <v>92</v>
      </c>
      <c r="B2055">
        <v>20607057789</v>
      </c>
      <c r="C2055" t="s">
        <v>1931</v>
      </c>
      <c r="E2055" s="1">
        <v>45983</v>
      </c>
      <c r="F2055">
        <v>230.58</v>
      </c>
      <c r="G2055" t="s">
        <v>2099</v>
      </c>
      <c r="H2055">
        <f>_xlfn.XLOOKUP(E2055,K:K,L:L)</f>
        <v>12</v>
      </c>
    </row>
    <row r="2056" spans="1:8" x14ac:dyDescent="0.3">
      <c r="A2056" t="s">
        <v>92</v>
      </c>
      <c r="B2056">
        <v>20611106191</v>
      </c>
      <c r="C2056" t="s">
        <v>1932</v>
      </c>
      <c r="E2056" s="1">
        <v>45983</v>
      </c>
      <c r="F2056">
        <v>130.28</v>
      </c>
      <c r="G2056" t="s">
        <v>2099</v>
      </c>
      <c r="H2056">
        <f>_xlfn.XLOOKUP(E2056,K:K,L:L)</f>
        <v>12</v>
      </c>
    </row>
    <row r="2057" spans="1:8" x14ac:dyDescent="0.3">
      <c r="A2057" t="s">
        <v>92</v>
      </c>
      <c r="B2057">
        <v>20611106191</v>
      </c>
      <c r="C2057" t="s">
        <v>1932</v>
      </c>
      <c r="E2057" s="1">
        <v>45983</v>
      </c>
      <c r="F2057">
        <v>131.56</v>
      </c>
      <c r="G2057" t="s">
        <v>2099</v>
      </c>
      <c r="H2057">
        <f>_xlfn.XLOOKUP(E2057,K:K,L:L)</f>
        <v>12</v>
      </c>
    </row>
    <row r="2058" spans="1:8" x14ac:dyDescent="0.3">
      <c r="A2058" t="s">
        <v>92</v>
      </c>
      <c r="B2058">
        <v>20447654203</v>
      </c>
      <c r="C2058" t="s">
        <v>1937</v>
      </c>
      <c r="E2058" s="1">
        <v>45985</v>
      </c>
      <c r="F2058">
        <v>580.54999999999995</v>
      </c>
      <c r="G2058" t="s">
        <v>2099</v>
      </c>
      <c r="H2058">
        <f>_xlfn.XLOOKUP(E2058,K:K,L:L)</f>
        <v>13</v>
      </c>
    </row>
    <row r="2059" spans="1:8" x14ac:dyDescent="0.3">
      <c r="A2059" t="s">
        <v>92</v>
      </c>
      <c r="B2059">
        <v>20451491297</v>
      </c>
      <c r="C2059" t="s">
        <v>1938</v>
      </c>
      <c r="E2059" s="1">
        <v>45985</v>
      </c>
      <c r="F2059">
        <v>647.04</v>
      </c>
      <c r="G2059" t="s">
        <v>2099</v>
      </c>
      <c r="H2059">
        <f>_xlfn.XLOOKUP(E2059,K:K,L:L)</f>
        <v>13</v>
      </c>
    </row>
    <row r="2060" spans="1:8" x14ac:dyDescent="0.3">
      <c r="A2060" t="s">
        <v>92</v>
      </c>
      <c r="B2060">
        <v>20521280132</v>
      </c>
      <c r="C2060" t="s">
        <v>1939</v>
      </c>
      <c r="E2060" s="1">
        <v>45985</v>
      </c>
      <c r="F2060">
        <v>130.28</v>
      </c>
      <c r="G2060" t="s">
        <v>2099</v>
      </c>
      <c r="H2060">
        <f>_xlfn.XLOOKUP(E2060,K:K,L:L)</f>
        <v>13</v>
      </c>
    </row>
    <row r="2061" spans="1:8" x14ac:dyDescent="0.3">
      <c r="A2061" t="s">
        <v>92</v>
      </c>
      <c r="B2061">
        <v>20531607784</v>
      </c>
      <c r="C2061" t="s">
        <v>1940</v>
      </c>
      <c r="E2061" s="1">
        <v>45985</v>
      </c>
      <c r="F2061">
        <v>230.58</v>
      </c>
      <c r="G2061" t="s">
        <v>2099</v>
      </c>
      <c r="H2061">
        <f>_xlfn.XLOOKUP(E2061,K:K,L:L)</f>
        <v>13</v>
      </c>
    </row>
    <row r="2062" spans="1:8" x14ac:dyDescent="0.3">
      <c r="A2062" t="s">
        <v>92</v>
      </c>
      <c r="B2062">
        <v>20541672533</v>
      </c>
      <c r="C2062" t="s">
        <v>1653</v>
      </c>
      <c r="E2062" s="1">
        <v>45985</v>
      </c>
      <c r="F2062">
        <v>157.37</v>
      </c>
      <c r="G2062" t="s">
        <v>2099</v>
      </c>
      <c r="H2062">
        <f>_xlfn.XLOOKUP(E2062,K:K,L:L)</f>
        <v>13</v>
      </c>
    </row>
    <row r="2063" spans="1:8" x14ac:dyDescent="0.3">
      <c r="A2063" t="s">
        <v>92</v>
      </c>
      <c r="B2063">
        <v>20552204175</v>
      </c>
      <c r="C2063" t="s">
        <v>1941</v>
      </c>
      <c r="E2063" s="1">
        <v>45985</v>
      </c>
      <c r="F2063">
        <v>287.16000000000003</v>
      </c>
      <c r="G2063" t="s">
        <v>2099</v>
      </c>
      <c r="H2063">
        <f>_xlfn.XLOOKUP(E2063,K:K,L:L)</f>
        <v>13</v>
      </c>
    </row>
    <row r="2064" spans="1:8" x14ac:dyDescent="0.3">
      <c r="A2064" t="s">
        <v>92</v>
      </c>
      <c r="B2064">
        <v>20600292197</v>
      </c>
      <c r="C2064" t="s">
        <v>1942</v>
      </c>
      <c r="E2064" s="1">
        <v>45985</v>
      </c>
      <c r="F2064">
        <v>456.09999999999997</v>
      </c>
      <c r="G2064" t="s">
        <v>2099</v>
      </c>
      <c r="H2064">
        <f>_xlfn.XLOOKUP(E2064,K:K,L:L)</f>
        <v>13</v>
      </c>
    </row>
    <row r="2065" spans="1:8" x14ac:dyDescent="0.3">
      <c r="A2065" t="s">
        <v>92</v>
      </c>
      <c r="B2065">
        <v>20602013350</v>
      </c>
      <c r="C2065" t="s">
        <v>1943</v>
      </c>
      <c r="E2065" s="1">
        <v>45985</v>
      </c>
      <c r="F2065">
        <v>1054.05</v>
      </c>
      <c r="G2065" t="s">
        <v>2099</v>
      </c>
      <c r="H2065">
        <f>_xlfn.XLOOKUP(E2065,K:K,L:L)</f>
        <v>13</v>
      </c>
    </row>
    <row r="2066" spans="1:8" x14ac:dyDescent="0.3">
      <c r="A2066" t="s">
        <v>92</v>
      </c>
      <c r="B2066">
        <v>20602961533</v>
      </c>
      <c r="C2066" t="s">
        <v>1944</v>
      </c>
      <c r="E2066" s="1">
        <v>45985</v>
      </c>
      <c r="F2066">
        <v>416.55</v>
      </c>
      <c r="G2066" t="s">
        <v>2099</v>
      </c>
      <c r="H2066">
        <f>_xlfn.XLOOKUP(E2066,K:K,L:L)</f>
        <v>13</v>
      </c>
    </row>
    <row r="2067" spans="1:8" x14ac:dyDescent="0.3">
      <c r="A2067" t="s">
        <v>92</v>
      </c>
      <c r="B2067">
        <v>20603524919</v>
      </c>
      <c r="C2067" t="s">
        <v>1945</v>
      </c>
      <c r="E2067" s="1">
        <v>45985</v>
      </c>
      <c r="F2067">
        <v>289.54000000000002</v>
      </c>
      <c r="G2067" t="s">
        <v>2099</v>
      </c>
      <c r="H2067">
        <f>_xlfn.XLOOKUP(E2067,K:K,L:L)</f>
        <v>13</v>
      </c>
    </row>
    <row r="2068" spans="1:8" x14ac:dyDescent="0.3">
      <c r="A2068" t="s">
        <v>92</v>
      </c>
      <c r="B2068">
        <v>20603721714</v>
      </c>
      <c r="C2068" t="s">
        <v>1946</v>
      </c>
      <c r="E2068" s="1">
        <v>45985</v>
      </c>
      <c r="F2068">
        <v>1144.1400000000001</v>
      </c>
      <c r="G2068" t="s">
        <v>2099</v>
      </c>
      <c r="H2068">
        <f>_xlfn.XLOOKUP(E2068,K:K,L:L)</f>
        <v>13</v>
      </c>
    </row>
    <row r="2069" spans="1:8" x14ac:dyDescent="0.3">
      <c r="A2069" t="s">
        <v>92</v>
      </c>
      <c r="B2069">
        <v>20605655506</v>
      </c>
      <c r="C2069" t="s">
        <v>1947</v>
      </c>
      <c r="E2069" s="1">
        <v>45985</v>
      </c>
      <c r="F2069">
        <v>576.46</v>
      </c>
      <c r="G2069" t="s">
        <v>2099</v>
      </c>
      <c r="H2069">
        <f>_xlfn.XLOOKUP(E2069,K:K,L:L)</f>
        <v>13</v>
      </c>
    </row>
    <row r="2070" spans="1:8" x14ac:dyDescent="0.3">
      <c r="A2070" t="s">
        <v>92</v>
      </c>
      <c r="B2070">
        <v>20609591529</v>
      </c>
      <c r="C2070" t="s">
        <v>1948</v>
      </c>
      <c r="E2070" s="1">
        <v>45985</v>
      </c>
      <c r="F2070">
        <v>138.35000000000002</v>
      </c>
      <c r="G2070" t="s">
        <v>2099</v>
      </c>
      <c r="H2070">
        <f>_xlfn.XLOOKUP(E2070,K:K,L:L)</f>
        <v>13</v>
      </c>
    </row>
    <row r="2071" spans="1:8" x14ac:dyDescent="0.3">
      <c r="A2071" t="s">
        <v>92</v>
      </c>
      <c r="B2071">
        <v>20610397809</v>
      </c>
      <c r="C2071" t="s">
        <v>1949</v>
      </c>
      <c r="E2071" s="1">
        <v>45985</v>
      </c>
      <c r="F2071">
        <v>229.25</v>
      </c>
      <c r="G2071" t="s">
        <v>2099</v>
      </c>
      <c r="H2071">
        <f>_xlfn.XLOOKUP(E2071,K:K,L:L)</f>
        <v>13</v>
      </c>
    </row>
    <row r="2072" spans="1:8" x14ac:dyDescent="0.3">
      <c r="A2072" t="s">
        <v>92</v>
      </c>
      <c r="B2072">
        <v>20612680672</v>
      </c>
      <c r="C2072" t="s">
        <v>1950</v>
      </c>
      <c r="E2072" s="1">
        <v>45985</v>
      </c>
      <c r="F2072">
        <v>230.58</v>
      </c>
      <c r="G2072" t="s">
        <v>2099</v>
      </c>
      <c r="H2072">
        <f>_xlfn.XLOOKUP(E2072,K:K,L:L)</f>
        <v>13</v>
      </c>
    </row>
    <row r="2073" spans="1:8" x14ac:dyDescent="0.3">
      <c r="A2073" t="s">
        <v>92</v>
      </c>
      <c r="B2073">
        <v>20613088785</v>
      </c>
      <c r="C2073" t="s">
        <v>1951</v>
      </c>
      <c r="E2073" s="1">
        <v>45985</v>
      </c>
      <c r="F2073">
        <v>260.55</v>
      </c>
      <c r="G2073" t="s">
        <v>2099</v>
      </c>
      <c r="H2073">
        <f>_xlfn.XLOOKUP(E2073,K:K,L:L)</f>
        <v>13</v>
      </c>
    </row>
    <row r="2074" spans="1:8" x14ac:dyDescent="0.3">
      <c r="A2074" t="s">
        <v>92</v>
      </c>
      <c r="B2074">
        <v>20613318802</v>
      </c>
      <c r="C2074" t="s">
        <v>1783</v>
      </c>
      <c r="E2074" s="1">
        <v>45985</v>
      </c>
      <c r="F2074">
        <v>260.55</v>
      </c>
      <c r="G2074" t="s">
        <v>2099</v>
      </c>
      <c r="H2074">
        <f>_xlfn.XLOOKUP(E2074,K:K,L:L)</f>
        <v>13</v>
      </c>
    </row>
    <row r="2075" spans="1:8" x14ac:dyDescent="0.3">
      <c r="A2075" t="s">
        <v>92</v>
      </c>
      <c r="B2075">
        <v>20614221292</v>
      </c>
      <c r="C2075" t="s">
        <v>1952</v>
      </c>
      <c r="E2075" s="1">
        <v>45985</v>
      </c>
      <c r="F2075">
        <v>172.94</v>
      </c>
      <c r="G2075" t="s">
        <v>2099</v>
      </c>
      <c r="H2075">
        <f>_xlfn.XLOOKUP(E2075,K:K,L:L)</f>
        <v>13</v>
      </c>
    </row>
    <row r="2076" spans="1:8" x14ac:dyDescent="0.3">
      <c r="A2076" t="s">
        <v>92</v>
      </c>
      <c r="B2076">
        <v>20521280132</v>
      </c>
      <c r="C2076" t="s">
        <v>1939</v>
      </c>
      <c r="E2076" s="1">
        <v>45985</v>
      </c>
      <c r="F2076">
        <v>131.56</v>
      </c>
      <c r="G2076" t="s">
        <v>2099</v>
      </c>
      <c r="H2076">
        <f>_xlfn.XLOOKUP(E2076,K:K,L:L)</f>
        <v>13</v>
      </c>
    </row>
    <row r="2077" spans="1:8" x14ac:dyDescent="0.3">
      <c r="A2077" t="s">
        <v>92</v>
      </c>
      <c r="B2077">
        <v>20531607784</v>
      </c>
      <c r="C2077" t="s">
        <v>1940</v>
      </c>
      <c r="E2077" s="1">
        <v>45985</v>
      </c>
      <c r="F2077">
        <v>232.86</v>
      </c>
      <c r="G2077" t="s">
        <v>2099</v>
      </c>
      <c r="H2077">
        <f>_xlfn.XLOOKUP(E2077,K:K,L:L)</f>
        <v>13</v>
      </c>
    </row>
    <row r="2078" spans="1:8" x14ac:dyDescent="0.3">
      <c r="A2078" t="s">
        <v>92</v>
      </c>
      <c r="B2078">
        <v>20603524919</v>
      </c>
      <c r="C2078" t="s">
        <v>1945</v>
      </c>
      <c r="E2078" s="1">
        <v>45985</v>
      </c>
      <c r="F2078">
        <v>281.14999999999998</v>
      </c>
      <c r="G2078" t="s">
        <v>2099</v>
      </c>
      <c r="H2078">
        <f>_xlfn.XLOOKUP(E2078,K:K,L:L)</f>
        <v>13</v>
      </c>
    </row>
    <row r="2079" spans="1:8" x14ac:dyDescent="0.3">
      <c r="A2079" t="s">
        <v>92</v>
      </c>
      <c r="B2079">
        <v>20605655506</v>
      </c>
      <c r="C2079" t="s">
        <v>1947</v>
      </c>
      <c r="E2079" s="1">
        <v>45985</v>
      </c>
      <c r="F2079">
        <v>582.14</v>
      </c>
      <c r="G2079" t="s">
        <v>2099</v>
      </c>
      <c r="H2079">
        <f>_xlfn.XLOOKUP(E2079,K:K,L:L)</f>
        <v>13</v>
      </c>
    </row>
    <row r="2080" spans="1:8" x14ac:dyDescent="0.3">
      <c r="A2080" t="s">
        <v>92</v>
      </c>
      <c r="B2080">
        <v>20609591529</v>
      </c>
      <c r="C2080" t="s">
        <v>1948</v>
      </c>
      <c r="E2080" s="1">
        <v>45985</v>
      </c>
      <c r="F2080">
        <v>132.72999999999999</v>
      </c>
      <c r="G2080" t="s">
        <v>2099</v>
      </c>
      <c r="H2080">
        <f>_xlfn.XLOOKUP(E2080,K:K,L:L)</f>
        <v>13</v>
      </c>
    </row>
    <row r="2081" spans="1:8" x14ac:dyDescent="0.3">
      <c r="A2081" t="s">
        <v>92</v>
      </c>
      <c r="B2081">
        <v>20613088785</v>
      </c>
      <c r="C2081" t="s">
        <v>1951</v>
      </c>
      <c r="E2081" s="1">
        <v>45985</v>
      </c>
      <c r="F2081">
        <v>263.12</v>
      </c>
      <c r="G2081" t="s">
        <v>2099</v>
      </c>
      <c r="H2081">
        <f>_xlfn.XLOOKUP(E2081,K:K,L:L)</f>
        <v>13</v>
      </c>
    </row>
    <row r="2082" spans="1:8" x14ac:dyDescent="0.3">
      <c r="A2082" t="s">
        <v>92</v>
      </c>
      <c r="B2082">
        <v>20614221292</v>
      </c>
      <c r="C2082" t="s">
        <v>1952</v>
      </c>
      <c r="E2082" s="1">
        <v>45985</v>
      </c>
      <c r="F2082">
        <v>174.64</v>
      </c>
      <c r="G2082" t="s">
        <v>2099</v>
      </c>
      <c r="H2082">
        <f>_xlfn.XLOOKUP(E2082,K:K,L:L)</f>
        <v>13</v>
      </c>
    </row>
    <row r="2083" spans="1:8" x14ac:dyDescent="0.3">
      <c r="A2083" t="s">
        <v>92</v>
      </c>
      <c r="B2083">
        <v>20521280132</v>
      </c>
      <c r="C2083" t="s">
        <v>1939</v>
      </c>
      <c r="E2083" s="1">
        <v>45985</v>
      </c>
      <c r="F2083">
        <v>132.6</v>
      </c>
      <c r="G2083" t="s">
        <v>2099</v>
      </c>
      <c r="H2083">
        <f>_xlfn.XLOOKUP(E2083,K:K,L:L)</f>
        <v>13</v>
      </c>
    </row>
    <row r="2084" spans="1:8" x14ac:dyDescent="0.3">
      <c r="A2084" t="s">
        <v>92</v>
      </c>
      <c r="B2084">
        <v>20526010613</v>
      </c>
      <c r="C2084" t="s">
        <v>1953</v>
      </c>
      <c r="E2084" s="1">
        <v>45985</v>
      </c>
      <c r="F2084">
        <v>132.6</v>
      </c>
      <c r="G2084" t="s">
        <v>2099</v>
      </c>
      <c r="H2084">
        <f>_xlfn.XLOOKUP(E2084,K:K,L:L)</f>
        <v>13</v>
      </c>
    </row>
    <row r="2085" spans="1:8" x14ac:dyDescent="0.3">
      <c r="A2085" t="s">
        <v>92</v>
      </c>
      <c r="B2085">
        <v>20531607784</v>
      </c>
      <c r="C2085" t="s">
        <v>1940</v>
      </c>
      <c r="E2085" s="1">
        <v>45985</v>
      </c>
      <c r="F2085">
        <v>234.68</v>
      </c>
      <c r="G2085" t="s">
        <v>2099</v>
      </c>
      <c r="H2085">
        <f>_xlfn.XLOOKUP(E2085,K:K,L:L)</f>
        <v>13</v>
      </c>
    </row>
    <row r="2086" spans="1:8" x14ac:dyDescent="0.3">
      <c r="A2086" t="s">
        <v>92</v>
      </c>
      <c r="B2086">
        <v>20605655506</v>
      </c>
      <c r="C2086" t="s">
        <v>1947</v>
      </c>
      <c r="E2086" s="1">
        <v>45985</v>
      </c>
      <c r="F2086">
        <v>586.69000000000005</v>
      </c>
      <c r="G2086" t="s">
        <v>2099</v>
      </c>
      <c r="H2086">
        <f>_xlfn.XLOOKUP(E2086,K:K,L:L)</f>
        <v>13</v>
      </c>
    </row>
    <row r="2087" spans="1:8" x14ac:dyDescent="0.3">
      <c r="A2087" t="s">
        <v>92</v>
      </c>
      <c r="B2087">
        <v>20609591529</v>
      </c>
      <c r="C2087" t="s">
        <v>1948</v>
      </c>
      <c r="E2087" s="1">
        <v>45985</v>
      </c>
      <c r="F2087">
        <v>140.81</v>
      </c>
      <c r="G2087" t="s">
        <v>2099</v>
      </c>
      <c r="H2087">
        <f>_xlfn.XLOOKUP(E2087,K:K,L:L)</f>
        <v>13</v>
      </c>
    </row>
    <row r="2088" spans="1:8" x14ac:dyDescent="0.3">
      <c r="A2088" t="s">
        <v>92</v>
      </c>
      <c r="B2088">
        <v>20614221292</v>
      </c>
      <c r="C2088" t="s">
        <v>1952</v>
      </c>
      <c r="E2088" s="1">
        <v>45985</v>
      </c>
      <c r="F2088">
        <v>176.01000000000002</v>
      </c>
      <c r="G2088" t="s">
        <v>2099</v>
      </c>
      <c r="H2088">
        <f>_xlfn.XLOOKUP(E2088,K:K,L:L)</f>
        <v>13</v>
      </c>
    </row>
    <row r="2089" spans="1:8" x14ac:dyDescent="0.3">
      <c r="A2089" t="s">
        <v>92</v>
      </c>
      <c r="B2089">
        <v>20521280132</v>
      </c>
      <c r="C2089" t="s">
        <v>1939</v>
      </c>
      <c r="E2089" s="1">
        <v>45985</v>
      </c>
      <c r="F2089">
        <v>133.88</v>
      </c>
      <c r="G2089" t="s">
        <v>2099</v>
      </c>
      <c r="H2089">
        <f>_xlfn.XLOOKUP(E2089,K:K,L:L)</f>
        <v>13</v>
      </c>
    </row>
    <row r="2090" spans="1:8" x14ac:dyDescent="0.3">
      <c r="A2090" t="s">
        <v>92</v>
      </c>
      <c r="B2090">
        <v>20526010613</v>
      </c>
      <c r="C2090" t="s">
        <v>1953</v>
      </c>
      <c r="E2090" s="1">
        <v>45985</v>
      </c>
      <c r="F2090">
        <v>133.88</v>
      </c>
      <c r="G2090" t="s">
        <v>2099</v>
      </c>
      <c r="H2090">
        <f>_xlfn.XLOOKUP(E2090,K:K,L:L)</f>
        <v>13</v>
      </c>
    </row>
    <row r="2091" spans="1:8" x14ac:dyDescent="0.3">
      <c r="A2091" t="s">
        <v>92</v>
      </c>
      <c r="B2091">
        <v>20531607784</v>
      </c>
      <c r="C2091" t="s">
        <v>1940</v>
      </c>
      <c r="E2091" s="1">
        <v>45985</v>
      </c>
      <c r="F2091">
        <v>236.95000000000002</v>
      </c>
      <c r="G2091" t="s">
        <v>2099</v>
      </c>
      <c r="H2091">
        <f>_xlfn.XLOOKUP(E2091,K:K,L:L)</f>
        <v>13</v>
      </c>
    </row>
    <row r="2092" spans="1:8" x14ac:dyDescent="0.3">
      <c r="A2092" t="s">
        <v>92</v>
      </c>
      <c r="B2092">
        <v>20609591529</v>
      </c>
      <c r="C2092" t="s">
        <v>1948</v>
      </c>
      <c r="E2092" s="1">
        <v>45985</v>
      </c>
      <c r="F2092">
        <v>142.17000000000002</v>
      </c>
      <c r="G2092" t="s">
        <v>2099</v>
      </c>
      <c r="H2092">
        <f>_xlfn.XLOOKUP(E2092,K:K,L:L)</f>
        <v>13</v>
      </c>
    </row>
    <row r="2093" spans="1:8" x14ac:dyDescent="0.3">
      <c r="A2093" t="s">
        <v>92</v>
      </c>
      <c r="B2093">
        <v>20526010613</v>
      </c>
      <c r="C2093" t="s">
        <v>1953</v>
      </c>
      <c r="E2093" s="1">
        <v>45985</v>
      </c>
      <c r="F2093">
        <v>135.03</v>
      </c>
      <c r="G2093" t="s">
        <v>2099</v>
      </c>
      <c r="H2093">
        <f>_xlfn.XLOOKUP(E2093,K:K,L:L)</f>
        <v>13</v>
      </c>
    </row>
    <row r="2094" spans="1:8" x14ac:dyDescent="0.3">
      <c r="A2094" t="s">
        <v>92</v>
      </c>
      <c r="B2094">
        <v>20531607784</v>
      </c>
      <c r="C2094" t="s">
        <v>1940</v>
      </c>
      <c r="E2094" s="1">
        <v>45985</v>
      </c>
      <c r="F2094">
        <v>239</v>
      </c>
      <c r="G2094" t="s">
        <v>2099</v>
      </c>
      <c r="H2094">
        <f>_xlfn.XLOOKUP(E2094,K:K,L:L)</f>
        <v>13</v>
      </c>
    </row>
    <row r="2095" spans="1:8" x14ac:dyDescent="0.3">
      <c r="A2095" t="s">
        <v>92</v>
      </c>
      <c r="B2095">
        <v>20526010613</v>
      </c>
      <c r="C2095" t="s">
        <v>1953</v>
      </c>
      <c r="E2095" s="1">
        <v>45985</v>
      </c>
      <c r="F2095">
        <v>136.19</v>
      </c>
      <c r="G2095" t="s">
        <v>2099</v>
      </c>
      <c r="H2095">
        <f>_xlfn.XLOOKUP(E2095,K:K,L:L)</f>
        <v>13</v>
      </c>
    </row>
    <row r="2096" spans="1:8" x14ac:dyDescent="0.3">
      <c r="A2096" t="s">
        <v>92</v>
      </c>
      <c r="B2096">
        <v>20531607784</v>
      </c>
      <c r="C2096" t="s">
        <v>1940</v>
      </c>
      <c r="E2096" s="1">
        <v>45985</v>
      </c>
      <c r="F2096">
        <v>241.04</v>
      </c>
      <c r="G2096" t="s">
        <v>2099</v>
      </c>
      <c r="H2096">
        <f>_xlfn.XLOOKUP(E2096,K:K,L:L)</f>
        <v>13</v>
      </c>
    </row>
    <row r="2097" spans="1:8" x14ac:dyDescent="0.3">
      <c r="A2097" t="s">
        <v>6</v>
      </c>
      <c r="B2097">
        <v>20539680588</v>
      </c>
      <c r="C2097" t="s">
        <v>2064</v>
      </c>
      <c r="E2097" s="1">
        <v>45985</v>
      </c>
      <c r="F2097">
        <v>130.28</v>
      </c>
      <c r="G2097" t="s">
        <v>2099</v>
      </c>
      <c r="H2097">
        <f>_xlfn.XLOOKUP(E2097,K:K,L:L)</f>
        <v>13</v>
      </c>
    </row>
    <row r="2098" spans="1:8" x14ac:dyDescent="0.3">
      <c r="A2098" t="s">
        <v>6</v>
      </c>
      <c r="B2098">
        <v>20601112516</v>
      </c>
      <c r="C2098" t="s">
        <v>2065</v>
      </c>
      <c r="E2098" s="1">
        <v>45985</v>
      </c>
      <c r="F2098">
        <v>407.08</v>
      </c>
      <c r="G2098" t="s">
        <v>2099</v>
      </c>
      <c r="H2098">
        <f>_xlfn.XLOOKUP(E2098,K:K,L:L)</f>
        <v>13</v>
      </c>
    </row>
    <row r="2099" spans="1:8" x14ac:dyDescent="0.3">
      <c r="A2099" t="s">
        <v>92</v>
      </c>
      <c r="B2099">
        <v>10211215564</v>
      </c>
      <c r="C2099" t="s">
        <v>1954</v>
      </c>
      <c r="E2099" s="1">
        <v>45986</v>
      </c>
      <c r="F2099">
        <v>130.41</v>
      </c>
      <c r="G2099" t="s">
        <v>2099</v>
      </c>
      <c r="H2099">
        <f>_xlfn.XLOOKUP(E2099,K:K,L:L)</f>
        <v>14</v>
      </c>
    </row>
    <row r="2100" spans="1:8" x14ac:dyDescent="0.3">
      <c r="A2100" t="s">
        <v>92</v>
      </c>
      <c r="B2100">
        <v>10403548095</v>
      </c>
      <c r="C2100" t="s">
        <v>1955</v>
      </c>
      <c r="E2100" s="1">
        <v>45986</v>
      </c>
      <c r="F2100">
        <v>143.44999999999999</v>
      </c>
      <c r="G2100" t="s">
        <v>2099</v>
      </c>
      <c r="H2100">
        <f>_xlfn.XLOOKUP(E2100,K:K,L:L)</f>
        <v>14</v>
      </c>
    </row>
    <row r="2101" spans="1:8" x14ac:dyDescent="0.3">
      <c r="A2101" t="s">
        <v>92</v>
      </c>
      <c r="B2101">
        <v>20225058319</v>
      </c>
      <c r="C2101" t="s">
        <v>1700</v>
      </c>
      <c r="E2101" s="1">
        <v>45986</v>
      </c>
      <c r="F2101">
        <v>372.38</v>
      </c>
      <c r="G2101" t="s">
        <v>2099</v>
      </c>
      <c r="H2101">
        <f>_xlfn.XLOOKUP(E2101,K:K,L:L)</f>
        <v>14</v>
      </c>
    </row>
    <row r="2102" spans="1:8" x14ac:dyDescent="0.3">
      <c r="A2102" t="s">
        <v>92</v>
      </c>
      <c r="B2102">
        <v>20351275007</v>
      </c>
      <c r="C2102" t="s">
        <v>1956</v>
      </c>
      <c r="E2102" s="1">
        <v>45986</v>
      </c>
      <c r="F2102">
        <v>143.44999999999999</v>
      </c>
      <c r="G2102" t="s">
        <v>2099</v>
      </c>
      <c r="H2102">
        <f>_xlfn.XLOOKUP(E2102,K:K,L:L)</f>
        <v>14</v>
      </c>
    </row>
    <row r="2103" spans="1:8" x14ac:dyDescent="0.3">
      <c r="A2103" t="s">
        <v>92</v>
      </c>
      <c r="B2103">
        <v>20441025018</v>
      </c>
      <c r="C2103" t="s">
        <v>1957</v>
      </c>
      <c r="E2103" s="1">
        <v>45986</v>
      </c>
      <c r="F2103">
        <v>265.22000000000003</v>
      </c>
      <c r="G2103" t="s">
        <v>2099</v>
      </c>
      <c r="H2103">
        <f>_xlfn.XLOOKUP(E2103,K:K,L:L)</f>
        <v>14</v>
      </c>
    </row>
    <row r="2104" spans="1:8" x14ac:dyDescent="0.3">
      <c r="A2104" t="s">
        <v>92</v>
      </c>
      <c r="B2104">
        <v>20454587171</v>
      </c>
      <c r="C2104" t="s">
        <v>1958</v>
      </c>
      <c r="E2104" s="1">
        <v>45986</v>
      </c>
      <c r="F2104">
        <v>707.44</v>
      </c>
      <c r="G2104" t="s">
        <v>2099</v>
      </c>
      <c r="H2104">
        <f>_xlfn.XLOOKUP(E2104,K:K,L:L)</f>
        <v>14</v>
      </c>
    </row>
    <row r="2105" spans="1:8" x14ac:dyDescent="0.3">
      <c r="A2105" t="s">
        <v>92</v>
      </c>
      <c r="B2105">
        <v>20477671722</v>
      </c>
      <c r="C2105" t="s">
        <v>1959</v>
      </c>
      <c r="E2105" s="1">
        <v>45986</v>
      </c>
      <c r="F2105">
        <v>121.72</v>
      </c>
      <c r="G2105" t="s">
        <v>2099</v>
      </c>
      <c r="H2105">
        <f>_xlfn.XLOOKUP(E2105,K:K,L:L)</f>
        <v>14</v>
      </c>
    </row>
    <row r="2106" spans="1:8" x14ac:dyDescent="0.3">
      <c r="A2106" t="s">
        <v>92</v>
      </c>
      <c r="B2106">
        <v>20541375831</v>
      </c>
      <c r="C2106" t="s">
        <v>1960</v>
      </c>
      <c r="E2106" s="1">
        <v>45986</v>
      </c>
      <c r="F2106">
        <v>260.81</v>
      </c>
      <c r="G2106" t="s">
        <v>2099</v>
      </c>
      <c r="H2106">
        <f>_xlfn.XLOOKUP(E2106,K:K,L:L)</f>
        <v>14</v>
      </c>
    </row>
    <row r="2107" spans="1:8" x14ac:dyDescent="0.3">
      <c r="A2107" t="s">
        <v>92</v>
      </c>
      <c r="B2107">
        <v>20550361958</v>
      </c>
      <c r="C2107" t="s">
        <v>1961</v>
      </c>
      <c r="E2107" s="1">
        <v>45986</v>
      </c>
      <c r="F2107">
        <v>1456.15</v>
      </c>
      <c r="G2107" t="s">
        <v>2099</v>
      </c>
      <c r="H2107">
        <f>_xlfn.XLOOKUP(E2107,K:K,L:L)</f>
        <v>14</v>
      </c>
    </row>
    <row r="2108" spans="1:8" x14ac:dyDescent="0.3">
      <c r="A2108" t="s">
        <v>92</v>
      </c>
      <c r="B2108">
        <v>20558361248</v>
      </c>
      <c r="C2108" t="s">
        <v>1962</v>
      </c>
      <c r="E2108" s="1">
        <v>45986</v>
      </c>
      <c r="F2108">
        <v>260.81</v>
      </c>
      <c r="G2108" t="s">
        <v>2099</v>
      </c>
      <c r="H2108">
        <f>_xlfn.XLOOKUP(E2108,K:K,L:L)</f>
        <v>14</v>
      </c>
    </row>
    <row r="2109" spans="1:8" x14ac:dyDescent="0.3">
      <c r="A2109" t="s">
        <v>92</v>
      </c>
      <c r="B2109">
        <v>20600707346</v>
      </c>
      <c r="C2109" t="s">
        <v>1963</v>
      </c>
      <c r="E2109" s="1">
        <v>45986</v>
      </c>
      <c r="F2109">
        <v>130.41</v>
      </c>
      <c r="G2109" t="s">
        <v>2099</v>
      </c>
      <c r="H2109">
        <f>_xlfn.XLOOKUP(E2109,K:K,L:L)</f>
        <v>14</v>
      </c>
    </row>
    <row r="2110" spans="1:8" x14ac:dyDescent="0.3">
      <c r="A2110" t="s">
        <v>92</v>
      </c>
      <c r="B2110">
        <v>20604399344</v>
      </c>
      <c r="C2110" t="s">
        <v>1964</v>
      </c>
      <c r="E2110" s="1">
        <v>45986</v>
      </c>
      <c r="F2110">
        <v>130.41</v>
      </c>
      <c r="G2110" t="s">
        <v>2099</v>
      </c>
      <c r="H2110">
        <f>_xlfn.XLOOKUP(E2110,K:K,L:L)</f>
        <v>14</v>
      </c>
    </row>
    <row r="2111" spans="1:8" x14ac:dyDescent="0.3">
      <c r="A2111" t="s">
        <v>92</v>
      </c>
      <c r="B2111">
        <v>20605598804</v>
      </c>
      <c r="C2111" t="s">
        <v>1965</v>
      </c>
      <c r="E2111" s="1">
        <v>45986</v>
      </c>
      <c r="F2111">
        <v>260.81</v>
      </c>
      <c r="G2111" t="s">
        <v>2099</v>
      </c>
      <c r="H2111">
        <f>_xlfn.XLOOKUP(E2111,K:K,L:L)</f>
        <v>14</v>
      </c>
    </row>
    <row r="2112" spans="1:8" x14ac:dyDescent="0.3">
      <c r="A2112" t="s">
        <v>92</v>
      </c>
      <c r="B2112">
        <v>20606009021</v>
      </c>
      <c r="C2112" t="s">
        <v>1966</v>
      </c>
      <c r="E2112" s="1">
        <v>45986</v>
      </c>
      <c r="F2112">
        <v>60.91</v>
      </c>
      <c r="G2112" t="s">
        <v>2099</v>
      </c>
      <c r="H2112">
        <f>_xlfn.XLOOKUP(E2112,K:K,L:L)</f>
        <v>14</v>
      </c>
    </row>
    <row r="2113" spans="1:8" x14ac:dyDescent="0.3">
      <c r="A2113" t="s">
        <v>92</v>
      </c>
      <c r="B2113">
        <v>20607492566</v>
      </c>
      <c r="C2113" t="s">
        <v>1967</v>
      </c>
      <c r="E2113" s="1">
        <v>45986</v>
      </c>
      <c r="F2113">
        <v>346.22</v>
      </c>
      <c r="G2113" t="s">
        <v>2099</v>
      </c>
      <c r="H2113">
        <f>_xlfn.XLOOKUP(E2113,K:K,L:L)</f>
        <v>14</v>
      </c>
    </row>
    <row r="2114" spans="1:8" x14ac:dyDescent="0.3">
      <c r="A2114" t="s">
        <v>92</v>
      </c>
      <c r="B2114">
        <v>20608732340</v>
      </c>
      <c r="C2114" t="s">
        <v>1968</v>
      </c>
      <c r="E2114" s="1">
        <v>45986</v>
      </c>
      <c r="F2114">
        <v>253.89000000000001</v>
      </c>
      <c r="G2114" t="s">
        <v>2099</v>
      </c>
      <c r="H2114">
        <f>_xlfn.XLOOKUP(E2114,K:K,L:L)</f>
        <v>14</v>
      </c>
    </row>
    <row r="2115" spans="1:8" x14ac:dyDescent="0.3">
      <c r="A2115" t="s">
        <v>92</v>
      </c>
      <c r="B2115">
        <v>20608904655</v>
      </c>
      <c r="C2115" t="s">
        <v>1969</v>
      </c>
      <c r="E2115" s="1">
        <v>45986</v>
      </c>
      <c r="F2115">
        <v>130.41</v>
      </c>
      <c r="G2115" t="s">
        <v>2099</v>
      </c>
      <c r="H2115">
        <f>_xlfn.XLOOKUP(E2115,K:K,L:L)</f>
        <v>14</v>
      </c>
    </row>
    <row r="2116" spans="1:8" x14ac:dyDescent="0.3">
      <c r="A2116" t="s">
        <v>92</v>
      </c>
      <c r="B2116">
        <v>20610562885</v>
      </c>
      <c r="C2116" t="s">
        <v>1970</v>
      </c>
      <c r="E2116" s="1">
        <v>45986</v>
      </c>
      <c r="F2116">
        <v>488.17</v>
      </c>
      <c r="G2116" t="s">
        <v>2099</v>
      </c>
      <c r="H2116">
        <f>_xlfn.XLOOKUP(E2116,K:K,L:L)</f>
        <v>14</v>
      </c>
    </row>
    <row r="2117" spans="1:8" x14ac:dyDescent="0.3">
      <c r="A2117" t="s">
        <v>92</v>
      </c>
      <c r="B2117">
        <v>20612012475</v>
      </c>
      <c r="C2117" t="s">
        <v>1971</v>
      </c>
      <c r="E2117" s="1">
        <v>45986</v>
      </c>
      <c r="F2117">
        <v>346.22</v>
      </c>
      <c r="G2117" t="s">
        <v>2099</v>
      </c>
      <c r="H2117">
        <f>_xlfn.XLOOKUP(E2117,K:K,L:L)</f>
        <v>14</v>
      </c>
    </row>
    <row r="2118" spans="1:8" x14ac:dyDescent="0.3">
      <c r="A2118" t="s">
        <v>92</v>
      </c>
      <c r="B2118">
        <v>20612400688</v>
      </c>
      <c r="C2118" t="s">
        <v>1972</v>
      </c>
      <c r="E2118" s="1">
        <v>45986</v>
      </c>
      <c r="F2118">
        <v>337.56</v>
      </c>
      <c r="G2118" t="s">
        <v>2099</v>
      </c>
      <c r="H2118">
        <f>_xlfn.XLOOKUP(E2118,K:K,L:L)</f>
        <v>14</v>
      </c>
    </row>
    <row r="2119" spans="1:8" x14ac:dyDescent="0.3">
      <c r="A2119" t="s">
        <v>92</v>
      </c>
      <c r="B2119">
        <v>20614141990</v>
      </c>
      <c r="C2119" t="s">
        <v>1973</v>
      </c>
      <c r="E2119" s="1">
        <v>45986</v>
      </c>
      <c r="F2119">
        <v>138.49</v>
      </c>
      <c r="G2119" t="s">
        <v>2099</v>
      </c>
      <c r="H2119">
        <f>_xlfn.XLOOKUP(E2119,K:K,L:L)</f>
        <v>14</v>
      </c>
    </row>
    <row r="2120" spans="1:8" x14ac:dyDescent="0.3">
      <c r="A2120" t="s">
        <v>92</v>
      </c>
      <c r="B2120">
        <v>10211215564</v>
      </c>
      <c r="C2120" t="s">
        <v>1954</v>
      </c>
      <c r="E2120" s="1">
        <v>45986</v>
      </c>
      <c r="F2120">
        <v>131.56</v>
      </c>
      <c r="G2120" t="s">
        <v>2099</v>
      </c>
      <c r="H2120">
        <f>_xlfn.XLOOKUP(E2120,K:K,L:L)</f>
        <v>14</v>
      </c>
    </row>
    <row r="2121" spans="1:8" x14ac:dyDescent="0.3">
      <c r="A2121" t="s">
        <v>92</v>
      </c>
      <c r="B2121">
        <v>10403548095</v>
      </c>
      <c r="C2121" t="s">
        <v>1955</v>
      </c>
      <c r="E2121" s="1">
        <v>45986</v>
      </c>
      <c r="F2121">
        <v>144.72</v>
      </c>
      <c r="G2121" t="s">
        <v>2099</v>
      </c>
      <c r="H2121">
        <f>_xlfn.XLOOKUP(E2121,K:K,L:L)</f>
        <v>14</v>
      </c>
    </row>
    <row r="2122" spans="1:8" x14ac:dyDescent="0.3">
      <c r="A2122" t="s">
        <v>92</v>
      </c>
      <c r="B2122">
        <v>10710361580</v>
      </c>
      <c r="C2122" t="s">
        <v>1974</v>
      </c>
      <c r="E2122" s="1">
        <v>45986</v>
      </c>
      <c r="F2122">
        <v>395.86</v>
      </c>
      <c r="G2122" t="s">
        <v>2099</v>
      </c>
      <c r="H2122">
        <f>_xlfn.XLOOKUP(E2122,K:K,L:L)</f>
        <v>14</v>
      </c>
    </row>
    <row r="2123" spans="1:8" x14ac:dyDescent="0.3">
      <c r="A2123" t="s">
        <v>92</v>
      </c>
      <c r="B2123">
        <v>20225058319</v>
      </c>
      <c r="C2123" t="s">
        <v>1700</v>
      </c>
      <c r="E2123" s="1">
        <v>45986</v>
      </c>
      <c r="F2123">
        <v>388.69000000000005</v>
      </c>
      <c r="G2123" t="s">
        <v>2099</v>
      </c>
      <c r="H2123">
        <f>_xlfn.XLOOKUP(E2123,K:K,L:L)</f>
        <v>14</v>
      </c>
    </row>
    <row r="2124" spans="1:8" x14ac:dyDescent="0.3">
      <c r="A2124" t="s">
        <v>92</v>
      </c>
      <c r="B2124">
        <v>20351275007</v>
      </c>
      <c r="C2124" t="s">
        <v>1956</v>
      </c>
      <c r="E2124" s="1">
        <v>45986</v>
      </c>
      <c r="F2124">
        <v>144.72</v>
      </c>
      <c r="G2124" t="s">
        <v>2099</v>
      </c>
      <c r="H2124">
        <f>_xlfn.XLOOKUP(E2124,K:K,L:L)</f>
        <v>14</v>
      </c>
    </row>
    <row r="2125" spans="1:8" x14ac:dyDescent="0.3">
      <c r="A2125" t="s">
        <v>92</v>
      </c>
      <c r="B2125">
        <v>20441025018</v>
      </c>
      <c r="C2125" t="s">
        <v>1957</v>
      </c>
      <c r="E2125" s="1">
        <v>45986</v>
      </c>
      <c r="F2125">
        <v>267.57</v>
      </c>
      <c r="G2125" t="s">
        <v>2099</v>
      </c>
      <c r="H2125">
        <f>_xlfn.XLOOKUP(E2125,K:K,L:L)</f>
        <v>14</v>
      </c>
    </row>
    <row r="2126" spans="1:8" x14ac:dyDescent="0.3">
      <c r="A2126" t="s">
        <v>92</v>
      </c>
      <c r="B2126">
        <v>20477671722</v>
      </c>
      <c r="C2126" t="s">
        <v>1959</v>
      </c>
      <c r="E2126" s="1">
        <v>45986</v>
      </c>
      <c r="F2126">
        <v>114.02</v>
      </c>
      <c r="G2126" t="s">
        <v>2099</v>
      </c>
      <c r="H2126">
        <f>_xlfn.XLOOKUP(E2126,K:K,L:L)</f>
        <v>14</v>
      </c>
    </row>
    <row r="2127" spans="1:8" x14ac:dyDescent="0.3">
      <c r="A2127" t="s">
        <v>92</v>
      </c>
      <c r="B2127">
        <v>20506759120</v>
      </c>
      <c r="C2127" t="s">
        <v>1975</v>
      </c>
      <c r="E2127" s="1">
        <v>45986</v>
      </c>
      <c r="F2127">
        <v>552.22</v>
      </c>
      <c r="G2127" t="s">
        <v>2099</v>
      </c>
      <c r="H2127">
        <f>_xlfn.XLOOKUP(E2127,K:K,L:L)</f>
        <v>14</v>
      </c>
    </row>
    <row r="2128" spans="1:8" x14ac:dyDescent="0.3">
      <c r="A2128" t="s">
        <v>92</v>
      </c>
      <c r="B2128">
        <v>20600707346</v>
      </c>
      <c r="C2128" t="s">
        <v>1963</v>
      </c>
      <c r="E2128" s="1">
        <v>45986</v>
      </c>
      <c r="F2128">
        <v>131.56</v>
      </c>
      <c r="G2128" t="s">
        <v>2099</v>
      </c>
      <c r="H2128">
        <f>_xlfn.XLOOKUP(E2128,K:K,L:L)</f>
        <v>14</v>
      </c>
    </row>
    <row r="2129" spans="1:8" x14ac:dyDescent="0.3">
      <c r="A2129" t="s">
        <v>92</v>
      </c>
      <c r="B2129">
        <v>20604399344</v>
      </c>
      <c r="C2129" t="s">
        <v>1964</v>
      </c>
      <c r="E2129" s="1">
        <v>45986</v>
      </c>
      <c r="F2129">
        <v>131.56</v>
      </c>
      <c r="G2129" t="s">
        <v>2099</v>
      </c>
      <c r="H2129">
        <f>_xlfn.XLOOKUP(E2129,K:K,L:L)</f>
        <v>14</v>
      </c>
    </row>
    <row r="2130" spans="1:8" x14ac:dyDescent="0.3">
      <c r="A2130" t="s">
        <v>92</v>
      </c>
      <c r="B2130">
        <v>20606009021</v>
      </c>
      <c r="C2130" t="s">
        <v>1966</v>
      </c>
      <c r="E2130" s="1">
        <v>45986</v>
      </c>
      <c r="F2130">
        <v>465.72</v>
      </c>
      <c r="G2130" t="s">
        <v>2099</v>
      </c>
      <c r="H2130">
        <f>_xlfn.XLOOKUP(E2130,K:K,L:L)</f>
        <v>14</v>
      </c>
    </row>
    <row r="2131" spans="1:8" x14ac:dyDescent="0.3">
      <c r="A2131" t="s">
        <v>92</v>
      </c>
      <c r="B2131">
        <v>20608904655</v>
      </c>
      <c r="C2131" t="s">
        <v>1969</v>
      </c>
      <c r="E2131" s="1">
        <v>45986</v>
      </c>
      <c r="F2131">
        <v>131.56</v>
      </c>
      <c r="G2131" t="s">
        <v>2099</v>
      </c>
      <c r="H2131">
        <f>_xlfn.XLOOKUP(E2131,K:K,L:L)</f>
        <v>14</v>
      </c>
    </row>
    <row r="2132" spans="1:8" x14ac:dyDescent="0.3">
      <c r="A2132" t="s">
        <v>92</v>
      </c>
      <c r="B2132">
        <v>20614141990</v>
      </c>
      <c r="C2132" t="s">
        <v>1973</v>
      </c>
      <c r="E2132" s="1">
        <v>45986</v>
      </c>
      <c r="F2132">
        <v>139.70999999999998</v>
      </c>
      <c r="G2132" t="s">
        <v>2099</v>
      </c>
      <c r="H2132">
        <f>_xlfn.XLOOKUP(E2132,K:K,L:L)</f>
        <v>14</v>
      </c>
    </row>
    <row r="2133" spans="1:8" x14ac:dyDescent="0.3">
      <c r="A2133" t="s">
        <v>92</v>
      </c>
      <c r="B2133">
        <v>20477671722</v>
      </c>
      <c r="C2133" t="s">
        <v>1959</v>
      </c>
      <c r="E2133" s="1">
        <v>45986</v>
      </c>
      <c r="F2133">
        <v>110.61</v>
      </c>
      <c r="G2133" t="s">
        <v>2099</v>
      </c>
      <c r="H2133">
        <f>_xlfn.XLOOKUP(E2133,K:K,L:L)</f>
        <v>14</v>
      </c>
    </row>
    <row r="2134" spans="1:8" x14ac:dyDescent="0.3">
      <c r="A2134" t="s">
        <v>92</v>
      </c>
      <c r="B2134">
        <v>20546445667</v>
      </c>
      <c r="C2134" t="s">
        <v>1976</v>
      </c>
      <c r="E2134" s="1">
        <v>45986</v>
      </c>
      <c r="F2134">
        <v>251.51000000000002</v>
      </c>
      <c r="G2134" t="s">
        <v>2099</v>
      </c>
      <c r="H2134">
        <f>_xlfn.XLOOKUP(E2134,K:K,L:L)</f>
        <v>14</v>
      </c>
    </row>
    <row r="2135" spans="1:8" x14ac:dyDescent="0.3">
      <c r="A2135" t="s">
        <v>92</v>
      </c>
      <c r="B2135">
        <v>20600707346</v>
      </c>
      <c r="C2135" t="s">
        <v>1963</v>
      </c>
      <c r="E2135" s="1">
        <v>45986</v>
      </c>
      <c r="F2135">
        <v>132.72</v>
      </c>
      <c r="G2135" t="s">
        <v>2099</v>
      </c>
      <c r="H2135">
        <f>_xlfn.XLOOKUP(E2135,K:K,L:L)</f>
        <v>14</v>
      </c>
    </row>
    <row r="2136" spans="1:8" x14ac:dyDescent="0.3">
      <c r="A2136" t="s">
        <v>92</v>
      </c>
      <c r="B2136">
        <v>20477671722</v>
      </c>
      <c r="C2136" t="s">
        <v>1959</v>
      </c>
      <c r="E2136" s="1">
        <v>45986</v>
      </c>
      <c r="F2136">
        <v>124.96000000000001</v>
      </c>
      <c r="G2136" t="s">
        <v>2099</v>
      </c>
      <c r="H2136">
        <f>_xlfn.XLOOKUP(E2136,K:K,L:L)</f>
        <v>14</v>
      </c>
    </row>
    <row r="2137" spans="1:8" x14ac:dyDescent="0.3">
      <c r="A2137" t="s">
        <v>92</v>
      </c>
      <c r="B2137">
        <v>20546445667</v>
      </c>
      <c r="C2137" t="s">
        <v>1976</v>
      </c>
      <c r="E2137" s="1">
        <v>45986</v>
      </c>
      <c r="F2137">
        <v>253.71</v>
      </c>
      <c r="G2137" t="s">
        <v>2099</v>
      </c>
      <c r="H2137">
        <f>_xlfn.XLOOKUP(E2137,K:K,L:L)</f>
        <v>14</v>
      </c>
    </row>
    <row r="2138" spans="1:8" x14ac:dyDescent="0.3">
      <c r="A2138" t="s">
        <v>92</v>
      </c>
      <c r="B2138">
        <v>20600707346</v>
      </c>
      <c r="C2138" t="s">
        <v>1963</v>
      </c>
      <c r="E2138" s="1">
        <v>45986</v>
      </c>
      <c r="F2138">
        <v>133.88</v>
      </c>
      <c r="G2138" t="s">
        <v>2099</v>
      </c>
      <c r="H2138">
        <f>_xlfn.XLOOKUP(E2138,K:K,L:L)</f>
        <v>14</v>
      </c>
    </row>
    <row r="2139" spans="1:8" x14ac:dyDescent="0.3">
      <c r="A2139" t="s">
        <v>92</v>
      </c>
      <c r="B2139">
        <v>20610715690</v>
      </c>
      <c r="C2139" t="s">
        <v>1914</v>
      </c>
      <c r="E2139" s="1">
        <v>45986</v>
      </c>
      <c r="F2139">
        <v>133.88</v>
      </c>
      <c r="G2139" t="s">
        <v>2099</v>
      </c>
      <c r="H2139">
        <f>_xlfn.XLOOKUP(E2139,K:K,L:L)</f>
        <v>14</v>
      </c>
    </row>
    <row r="2140" spans="1:8" x14ac:dyDescent="0.3">
      <c r="A2140" t="s">
        <v>92</v>
      </c>
      <c r="B2140">
        <v>20477671722</v>
      </c>
      <c r="C2140" t="s">
        <v>1959</v>
      </c>
      <c r="E2140" s="1">
        <v>45986</v>
      </c>
      <c r="F2140">
        <v>126.15</v>
      </c>
      <c r="G2140" t="s">
        <v>2099</v>
      </c>
      <c r="H2140">
        <f>_xlfn.XLOOKUP(E2140,K:K,L:L)</f>
        <v>14</v>
      </c>
    </row>
    <row r="2141" spans="1:8" x14ac:dyDescent="0.3">
      <c r="A2141" t="s">
        <v>92</v>
      </c>
      <c r="B2141">
        <v>20600707346</v>
      </c>
      <c r="C2141" t="s">
        <v>1963</v>
      </c>
      <c r="E2141" s="1">
        <v>45986</v>
      </c>
      <c r="F2141">
        <v>135.16</v>
      </c>
      <c r="G2141" t="s">
        <v>2099</v>
      </c>
      <c r="H2141">
        <f>_xlfn.XLOOKUP(E2141,K:K,L:L)</f>
        <v>14</v>
      </c>
    </row>
    <row r="2142" spans="1:8" x14ac:dyDescent="0.3">
      <c r="A2142" t="s">
        <v>92</v>
      </c>
      <c r="B2142">
        <v>20477671722</v>
      </c>
      <c r="C2142" t="s">
        <v>1959</v>
      </c>
      <c r="E2142" s="1">
        <v>45986</v>
      </c>
      <c r="F2142">
        <v>131.63999999999999</v>
      </c>
      <c r="G2142" t="s">
        <v>2099</v>
      </c>
      <c r="H2142">
        <f>_xlfn.XLOOKUP(E2142,K:K,L:L)</f>
        <v>14</v>
      </c>
    </row>
    <row r="2143" spans="1:8" x14ac:dyDescent="0.3">
      <c r="A2143" t="s">
        <v>92</v>
      </c>
      <c r="B2143">
        <v>20600707346</v>
      </c>
      <c r="C2143" t="s">
        <v>1963</v>
      </c>
      <c r="E2143" s="1">
        <v>45986</v>
      </c>
      <c r="F2143">
        <v>136.19</v>
      </c>
      <c r="G2143" t="s">
        <v>2099</v>
      </c>
      <c r="H2143">
        <f>_xlfn.XLOOKUP(E2143,K:K,L:L)</f>
        <v>14</v>
      </c>
    </row>
    <row r="2144" spans="1:8" x14ac:dyDescent="0.3">
      <c r="A2144" t="s">
        <v>92</v>
      </c>
      <c r="B2144">
        <v>10438629853</v>
      </c>
      <c r="C2144" t="s">
        <v>1977</v>
      </c>
      <c r="E2144" s="1">
        <v>45987</v>
      </c>
      <c r="F2144">
        <v>150.02999999999997</v>
      </c>
      <c r="G2144" t="s">
        <v>2099</v>
      </c>
      <c r="H2144">
        <f>_xlfn.XLOOKUP(E2144,K:K,L:L)</f>
        <v>15</v>
      </c>
    </row>
    <row r="2145" spans="1:8" x14ac:dyDescent="0.3">
      <c r="A2145" t="s">
        <v>92</v>
      </c>
      <c r="B2145">
        <v>20259040443</v>
      </c>
      <c r="C2145" t="s">
        <v>1978</v>
      </c>
      <c r="E2145" s="1">
        <v>45987</v>
      </c>
      <c r="F2145">
        <v>207.73</v>
      </c>
      <c r="G2145" t="s">
        <v>2099</v>
      </c>
      <c r="H2145">
        <f>_xlfn.XLOOKUP(E2145,K:K,L:L)</f>
        <v>15</v>
      </c>
    </row>
    <row r="2146" spans="1:8" x14ac:dyDescent="0.3">
      <c r="A2146" t="s">
        <v>92</v>
      </c>
      <c r="B2146">
        <v>20481481661</v>
      </c>
      <c r="C2146" t="s">
        <v>1979</v>
      </c>
      <c r="E2146" s="1">
        <v>45987</v>
      </c>
      <c r="F2146">
        <v>130.41</v>
      </c>
      <c r="G2146" t="s">
        <v>2099</v>
      </c>
      <c r="H2146">
        <f>_xlfn.XLOOKUP(E2146,K:K,L:L)</f>
        <v>15</v>
      </c>
    </row>
    <row r="2147" spans="1:8" x14ac:dyDescent="0.3">
      <c r="A2147" t="s">
        <v>92</v>
      </c>
      <c r="B2147">
        <v>20573109105</v>
      </c>
      <c r="C2147" t="s">
        <v>1980</v>
      </c>
      <c r="E2147" s="1">
        <v>45987</v>
      </c>
      <c r="F2147">
        <v>361.21999999999997</v>
      </c>
      <c r="G2147" t="s">
        <v>2099</v>
      </c>
      <c r="H2147">
        <f>_xlfn.XLOOKUP(E2147,K:K,L:L)</f>
        <v>15</v>
      </c>
    </row>
    <row r="2148" spans="1:8" x14ac:dyDescent="0.3">
      <c r="A2148" t="s">
        <v>92</v>
      </c>
      <c r="B2148">
        <v>20603289251</v>
      </c>
      <c r="C2148" t="s">
        <v>1981</v>
      </c>
      <c r="E2148" s="1">
        <v>45987</v>
      </c>
      <c r="F2148">
        <v>262.08999999999997</v>
      </c>
      <c r="G2148" t="s">
        <v>2099</v>
      </c>
      <c r="H2148">
        <f>_xlfn.XLOOKUP(E2148,K:K,L:L)</f>
        <v>15</v>
      </c>
    </row>
    <row r="2149" spans="1:8" x14ac:dyDescent="0.3">
      <c r="A2149" t="s">
        <v>92</v>
      </c>
      <c r="B2149">
        <v>20607068977</v>
      </c>
      <c r="C2149" t="s">
        <v>1982</v>
      </c>
      <c r="E2149" s="1">
        <v>45987</v>
      </c>
      <c r="F2149">
        <v>432.78</v>
      </c>
      <c r="G2149" t="s">
        <v>2099</v>
      </c>
      <c r="H2149">
        <f>_xlfn.XLOOKUP(E2149,K:K,L:L)</f>
        <v>15</v>
      </c>
    </row>
    <row r="2150" spans="1:8" x14ac:dyDescent="0.3">
      <c r="A2150" t="s">
        <v>92</v>
      </c>
      <c r="B2150">
        <v>20608473352</v>
      </c>
      <c r="C2150" t="s">
        <v>1983</v>
      </c>
      <c r="E2150" s="1">
        <v>45987</v>
      </c>
      <c r="F2150">
        <v>433.91999999999996</v>
      </c>
      <c r="G2150" t="s">
        <v>2099</v>
      </c>
      <c r="H2150">
        <f>_xlfn.XLOOKUP(E2150,K:K,L:L)</f>
        <v>15</v>
      </c>
    </row>
    <row r="2151" spans="1:8" x14ac:dyDescent="0.3">
      <c r="A2151" t="s">
        <v>92</v>
      </c>
      <c r="B2151">
        <v>20608564391</v>
      </c>
      <c r="C2151" t="s">
        <v>1984</v>
      </c>
      <c r="E2151" s="1">
        <v>45987</v>
      </c>
      <c r="F2151">
        <v>392.2</v>
      </c>
      <c r="G2151" t="s">
        <v>2099</v>
      </c>
      <c r="H2151">
        <f>_xlfn.XLOOKUP(E2151,K:K,L:L)</f>
        <v>15</v>
      </c>
    </row>
    <row r="2152" spans="1:8" x14ac:dyDescent="0.3">
      <c r="A2152" t="s">
        <v>92</v>
      </c>
      <c r="B2152">
        <v>20610215964</v>
      </c>
      <c r="C2152" t="s">
        <v>1985</v>
      </c>
      <c r="E2152" s="1">
        <v>45987</v>
      </c>
      <c r="F2152">
        <v>130.41</v>
      </c>
      <c r="G2152" t="s">
        <v>2099</v>
      </c>
      <c r="H2152">
        <f>_xlfn.XLOOKUP(E2152,K:K,L:L)</f>
        <v>15</v>
      </c>
    </row>
    <row r="2153" spans="1:8" x14ac:dyDescent="0.3">
      <c r="A2153" t="s">
        <v>92</v>
      </c>
      <c r="B2153">
        <v>20611590017</v>
      </c>
      <c r="C2153" t="s">
        <v>1986</v>
      </c>
      <c r="E2153" s="1">
        <v>45987</v>
      </c>
      <c r="F2153">
        <v>161.57</v>
      </c>
      <c r="G2153" t="s">
        <v>2099</v>
      </c>
      <c r="H2153">
        <f>_xlfn.XLOOKUP(E2153,K:K,L:L)</f>
        <v>15</v>
      </c>
    </row>
    <row r="2154" spans="1:8" x14ac:dyDescent="0.3">
      <c r="A2154" t="s">
        <v>92</v>
      </c>
      <c r="B2154">
        <v>20612083879</v>
      </c>
      <c r="C2154" t="s">
        <v>1987</v>
      </c>
      <c r="E2154" s="1">
        <v>45987</v>
      </c>
      <c r="F2154">
        <v>322.59000000000003</v>
      </c>
      <c r="G2154" t="s">
        <v>2099</v>
      </c>
      <c r="H2154">
        <f>_xlfn.XLOOKUP(E2154,K:K,L:L)</f>
        <v>15</v>
      </c>
    </row>
    <row r="2155" spans="1:8" x14ac:dyDescent="0.3">
      <c r="A2155" t="s">
        <v>92</v>
      </c>
      <c r="B2155">
        <v>20613501291</v>
      </c>
      <c r="C2155" t="s">
        <v>1988</v>
      </c>
      <c r="E2155" s="1">
        <v>45987</v>
      </c>
      <c r="F2155">
        <v>783.28</v>
      </c>
      <c r="G2155" t="s">
        <v>2099</v>
      </c>
      <c r="H2155">
        <f>_xlfn.XLOOKUP(E2155,K:K,L:L)</f>
        <v>15</v>
      </c>
    </row>
    <row r="2156" spans="1:8" x14ac:dyDescent="0.3">
      <c r="A2156" t="s">
        <v>92</v>
      </c>
      <c r="B2156">
        <v>10438629853</v>
      </c>
      <c r="C2156" t="s">
        <v>1977</v>
      </c>
      <c r="E2156" s="1">
        <v>45987</v>
      </c>
      <c r="F2156">
        <v>151.51</v>
      </c>
      <c r="G2156" t="s">
        <v>2099</v>
      </c>
      <c r="H2156">
        <f>_xlfn.XLOOKUP(E2156,K:K,L:L)</f>
        <v>15</v>
      </c>
    </row>
    <row r="2157" spans="1:8" x14ac:dyDescent="0.3">
      <c r="A2157" t="s">
        <v>92</v>
      </c>
      <c r="B2157">
        <v>20259040443</v>
      </c>
      <c r="C2157" t="s">
        <v>1978</v>
      </c>
      <c r="E2157" s="1">
        <v>45987</v>
      </c>
      <c r="F2157">
        <v>209.78</v>
      </c>
      <c r="G2157" t="s">
        <v>2099</v>
      </c>
      <c r="H2157">
        <f>_xlfn.XLOOKUP(E2157,K:K,L:L)</f>
        <v>15</v>
      </c>
    </row>
    <row r="2158" spans="1:8" x14ac:dyDescent="0.3">
      <c r="A2158" t="s">
        <v>92</v>
      </c>
      <c r="B2158">
        <v>20481481661</v>
      </c>
      <c r="C2158" t="s">
        <v>1979</v>
      </c>
      <c r="E2158" s="1">
        <v>45987</v>
      </c>
      <c r="F2158">
        <v>131.69999999999999</v>
      </c>
      <c r="G2158" t="s">
        <v>2099</v>
      </c>
      <c r="H2158">
        <f>_xlfn.XLOOKUP(E2158,K:K,L:L)</f>
        <v>15</v>
      </c>
    </row>
    <row r="2159" spans="1:8" x14ac:dyDescent="0.3">
      <c r="A2159" t="s">
        <v>92</v>
      </c>
      <c r="B2159">
        <v>20526010613</v>
      </c>
      <c r="C2159" t="s">
        <v>1953</v>
      </c>
      <c r="E2159" s="1">
        <v>45987</v>
      </c>
      <c r="F2159">
        <v>131.69999999999999</v>
      </c>
      <c r="G2159" t="s">
        <v>2099</v>
      </c>
      <c r="H2159">
        <f>_xlfn.XLOOKUP(E2159,K:K,L:L)</f>
        <v>15</v>
      </c>
    </row>
    <row r="2160" spans="1:8" x14ac:dyDescent="0.3">
      <c r="A2160" t="s">
        <v>92</v>
      </c>
      <c r="B2160">
        <v>20605028447</v>
      </c>
      <c r="C2160" t="s">
        <v>1989</v>
      </c>
      <c r="E2160" s="1">
        <v>45987</v>
      </c>
      <c r="F2160">
        <v>166.66000000000003</v>
      </c>
      <c r="G2160" t="s">
        <v>2099</v>
      </c>
      <c r="H2160">
        <f>_xlfn.XLOOKUP(E2160,K:K,L:L)</f>
        <v>15</v>
      </c>
    </row>
    <row r="2161" spans="1:8" x14ac:dyDescent="0.3">
      <c r="A2161" t="s">
        <v>92</v>
      </c>
      <c r="B2161">
        <v>20607068977</v>
      </c>
      <c r="C2161" t="s">
        <v>1982</v>
      </c>
      <c r="E2161" s="1">
        <v>45987</v>
      </c>
      <c r="F2161">
        <v>437.03999999999996</v>
      </c>
      <c r="G2161" t="s">
        <v>2099</v>
      </c>
      <c r="H2161">
        <f>_xlfn.XLOOKUP(E2161,K:K,L:L)</f>
        <v>15</v>
      </c>
    </row>
    <row r="2162" spans="1:8" x14ac:dyDescent="0.3">
      <c r="A2162" t="s">
        <v>92</v>
      </c>
      <c r="B2162">
        <v>20610215964</v>
      </c>
      <c r="C2162" t="s">
        <v>1985</v>
      </c>
      <c r="E2162" s="1">
        <v>45987</v>
      </c>
      <c r="F2162">
        <v>131.69999999999999</v>
      </c>
      <c r="G2162" t="s">
        <v>2099</v>
      </c>
      <c r="H2162">
        <f>_xlfn.XLOOKUP(E2162,K:K,L:L)</f>
        <v>15</v>
      </c>
    </row>
    <row r="2163" spans="1:8" x14ac:dyDescent="0.3">
      <c r="A2163" t="s">
        <v>92</v>
      </c>
      <c r="B2163">
        <v>20611590017</v>
      </c>
      <c r="C2163" t="s">
        <v>1986</v>
      </c>
      <c r="E2163" s="1">
        <v>45987</v>
      </c>
      <c r="F2163">
        <v>163.16</v>
      </c>
      <c r="G2163" t="s">
        <v>2099</v>
      </c>
      <c r="H2163">
        <f>_xlfn.XLOOKUP(E2163,K:K,L:L)</f>
        <v>15</v>
      </c>
    </row>
    <row r="2164" spans="1:8" x14ac:dyDescent="0.3">
      <c r="A2164" t="s">
        <v>92</v>
      </c>
      <c r="B2164">
        <v>10438629853</v>
      </c>
      <c r="C2164" t="s">
        <v>1977</v>
      </c>
      <c r="E2164" s="1">
        <v>45987</v>
      </c>
      <c r="F2164">
        <v>152.69</v>
      </c>
      <c r="G2164" t="s">
        <v>2099</v>
      </c>
      <c r="H2164">
        <f>_xlfn.XLOOKUP(E2164,K:K,L:L)</f>
        <v>15</v>
      </c>
    </row>
    <row r="2165" spans="1:8" x14ac:dyDescent="0.3">
      <c r="A2165" t="s">
        <v>92</v>
      </c>
      <c r="B2165">
        <v>20481481661</v>
      </c>
      <c r="C2165" t="s">
        <v>1979</v>
      </c>
      <c r="E2165" s="1">
        <v>45987</v>
      </c>
      <c r="F2165">
        <v>132.72</v>
      </c>
      <c r="G2165" t="s">
        <v>2099</v>
      </c>
      <c r="H2165">
        <f>_xlfn.XLOOKUP(E2165,K:K,L:L)</f>
        <v>15</v>
      </c>
    </row>
    <row r="2166" spans="1:8" x14ac:dyDescent="0.3">
      <c r="A2166" t="s">
        <v>92</v>
      </c>
      <c r="B2166">
        <v>20607068977</v>
      </c>
      <c r="C2166" t="s">
        <v>1982</v>
      </c>
      <c r="E2166" s="1">
        <v>45987</v>
      </c>
      <c r="F2166">
        <v>440.46</v>
      </c>
      <c r="G2166" t="s">
        <v>2099</v>
      </c>
      <c r="H2166">
        <f>_xlfn.XLOOKUP(E2166,K:K,L:L)</f>
        <v>15</v>
      </c>
    </row>
    <row r="2167" spans="1:8" x14ac:dyDescent="0.3">
      <c r="A2167" t="s">
        <v>92</v>
      </c>
      <c r="B2167">
        <v>20608473352</v>
      </c>
      <c r="C2167" t="s">
        <v>1983</v>
      </c>
      <c r="E2167" s="1">
        <v>45987</v>
      </c>
      <c r="F2167">
        <v>441.62</v>
      </c>
      <c r="G2167" t="s">
        <v>2099</v>
      </c>
      <c r="H2167">
        <f>_xlfn.XLOOKUP(E2167,K:K,L:L)</f>
        <v>15</v>
      </c>
    </row>
    <row r="2168" spans="1:8" x14ac:dyDescent="0.3">
      <c r="A2168" t="s">
        <v>92</v>
      </c>
      <c r="B2168">
        <v>20611590017</v>
      </c>
      <c r="C2168" t="s">
        <v>1986</v>
      </c>
      <c r="E2168" s="1">
        <v>45987</v>
      </c>
      <c r="F2168">
        <v>164.43</v>
      </c>
      <c r="G2168" t="s">
        <v>2099</v>
      </c>
      <c r="H2168">
        <f>_xlfn.XLOOKUP(E2168,K:K,L:L)</f>
        <v>15</v>
      </c>
    </row>
    <row r="2169" spans="1:8" x14ac:dyDescent="0.3">
      <c r="A2169" t="s">
        <v>92</v>
      </c>
      <c r="B2169">
        <v>10438629853</v>
      </c>
      <c r="C2169" t="s">
        <v>1977</v>
      </c>
      <c r="E2169" s="1">
        <v>45987</v>
      </c>
      <c r="F2169">
        <v>154.17000000000002</v>
      </c>
      <c r="G2169" t="s">
        <v>2099</v>
      </c>
      <c r="H2169">
        <f>_xlfn.XLOOKUP(E2169,K:K,L:L)</f>
        <v>15</v>
      </c>
    </row>
    <row r="2170" spans="1:8" x14ac:dyDescent="0.3">
      <c r="A2170" t="s">
        <v>92</v>
      </c>
      <c r="B2170">
        <v>20611590017</v>
      </c>
      <c r="C2170" t="s">
        <v>1986</v>
      </c>
      <c r="E2170" s="1">
        <v>45987</v>
      </c>
      <c r="F2170">
        <v>166.02</v>
      </c>
      <c r="G2170" t="s">
        <v>2099</v>
      </c>
      <c r="H2170">
        <f>_xlfn.XLOOKUP(E2170,K:K,L:L)</f>
        <v>15</v>
      </c>
    </row>
    <row r="2171" spans="1:8" x14ac:dyDescent="0.3">
      <c r="A2171" t="s">
        <v>92</v>
      </c>
      <c r="B2171">
        <v>20611590017</v>
      </c>
      <c r="C2171" t="s">
        <v>1986</v>
      </c>
      <c r="E2171" s="1">
        <v>45987</v>
      </c>
      <c r="F2171">
        <v>167.46</v>
      </c>
      <c r="G2171" t="s">
        <v>2099</v>
      </c>
      <c r="H2171">
        <f>_xlfn.XLOOKUP(E2171,K:K,L:L)</f>
        <v>15</v>
      </c>
    </row>
    <row r="2172" spans="1:8" x14ac:dyDescent="0.3">
      <c r="A2172" t="s">
        <v>92</v>
      </c>
      <c r="B2172">
        <v>20611590017</v>
      </c>
      <c r="C2172" t="s">
        <v>1986</v>
      </c>
      <c r="E2172" s="1">
        <v>45987</v>
      </c>
      <c r="F2172">
        <v>168.89</v>
      </c>
      <c r="G2172" t="s">
        <v>2099</v>
      </c>
      <c r="H2172">
        <f>_xlfn.XLOOKUP(E2172,K:K,L:L)</f>
        <v>15</v>
      </c>
    </row>
    <row r="2173" spans="1:8" x14ac:dyDescent="0.3">
      <c r="A2173" t="s">
        <v>92</v>
      </c>
      <c r="B2173">
        <v>20611590017</v>
      </c>
      <c r="C2173" t="s">
        <v>1986</v>
      </c>
      <c r="E2173" s="1">
        <v>45987</v>
      </c>
      <c r="F2173">
        <v>170.32000000000002</v>
      </c>
      <c r="G2173" t="s">
        <v>2099</v>
      </c>
      <c r="H2173">
        <f>_xlfn.XLOOKUP(E2173,K:K,L:L)</f>
        <v>15</v>
      </c>
    </row>
    <row r="2174" spans="1:8" x14ac:dyDescent="0.3">
      <c r="A2174" t="s">
        <v>92</v>
      </c>
      <c r="B2174">
        <v>20612587974</v>
      </c>
      <c r="C2174" t="s">
        <v>1867</v>
      </c>
      <c r="E2174" s="1">
        <v>45987</v>
      </c>
      <c r="F2174">
        <v>131.56</v>
      </c>
      <c r="G2174" t="s">
        <v>2099</v>
      </c>
      <c r="H2174">
        <f>_xlfn.XLOOKUP(E2174,K:K,L:L)</f>
        <v>15</v>
      </c>
    </row>
    <row r="2175" spans="1:8" x14ac:dyDescent="0.3">
      <c r="A2175" t="s">
        <v>92</v>
      </c>
      <c r="B2175">
        <v>20612587974</v>
      </c>
      <c r="C2175" t="s">
        <v>1867</v>
      </c>
      <c r="E2175" s="1">
        <v>45987</v>
      </c>
      <c r="F2175">
        <v>132.77000000000001</v>
      </c>
      <c r="G2175" t="s">
        <v>2099</v>
      </c>
      <c r="H2175">
        <f>_xlfn.XLOOKUP(E2175,K:K,L:L)</f>
        <v>15</v>
      </c>
    </row>
    <row r="2176" spans="1:8" x14ac:dyDescent="0.3">
      <c r="A2176" t="s">
        <v>92</v>
      </c>
      <c r="B2176">
        <v>20612587974</v>
      </c>
      <c r="C2176" t="s">
        <v>1867</v>
      </c>
      <c r="E2176" s="1">
        <v>45987</v>
      </c>
      <c r="F2176">
        <v>133.72</v>
      </c>
      <c r="G2176" t="s">
        <v>2099</v>
      </c>
      <c r="H2176">
        <f>_xlfn.XLOOKUP(E2176,K:K,L:L)</f>
        <v>15</v>
      </c>
    </row>
    <row r="2177" spans="1:8" x14ac:dyDescent="0.3">
      <c r="A2177" t="s">
        <v>92</v>
      </c>
      <c r="B2177">
        <v>20612587974</v>
      </c>
      <c r="C2177" t="s">
        <v>1867</v>
      </c>
      <c r="E2177" s="1">
        <v>45987</v>
      </c>
      <c r="F2177">
        <v>134.92000000000002</v>
      </c>
      <c r="G2177" t="s">
        <v>2099</v>
      </c>
      <c r="H2177">
        <f>_xlfn.XLOOKUP(E2177,K:K,L:L)</f>
        <v>15</v>
      </c>
    </row>
    <row r="2178" spans="1:8" x14ac:dyDescent="0.3">
      <c r="A2178" t="s">
        <v>92</v>
      </c>
      <c r="B2178">
        <v>20612587974</v>
      </c>
      <c r="C2178" t="s">
        <v>1867</v>
      </c>
      <c r="E2178" s="1">
        <v>45987</v>
      </c>
      <c r="F2178">
        <v>136.01</v>
      </c>
      <c r="G2178" t="s">
        <v>2099</v>
      </c>
      <c r="H2178">
        <f>_xlfn.XLOOKUP(E2178,K:K,L:L)</f>
        <v>15</v>
      </c>
    </row>
    <row r="2179" spans="1:8" x14ac:dyDescent="0.3">
      <c r="A2179" t="s">
        <v>92</v>
      </c>
      <c r="B2179">
        <v>20612587974</v>
      </c>
      <c r="C2179" t="s">
        <v>1867</v>
      </c>
      <c r="E2179" s="1">
        <v>45987</v>
      </c>
      <c r="F2179">
        <v>137.07999999999998</v>
      </c>
      <c r="G2179" t="s">
        <v>2099</v>
      </c>
      <c r="H2179">
        <f>_xlfn.XLOOKUP(E2179,K:K,L:L)</f>
        <v>15</v>
      </c>
    </row>
    <row r="2180" spans="1:8" x14ac:dyDescent="0.3">
      <c r="A2180" t="s">
        <v>6</v>
      </c>
      <c r="B2180">
        <v>20610225587</v>
      </c>
      <c r="C2180" t="s">
        <v>2066</v>
      </c>
      <c r="E2180" s="1">
        <v>45987</v>
      </c>
      <c r="F2180">
        <v>618.80000000000007</v>
      </c>
      <c r="G2180" t="s">
        <v>2099</v>
      </c>
      <c r="H2180">
        <f>_xlfn.XLOOKUP(E2180,K:K,L:L)</f>
        <v>15</v>
      </c>
    </row>
    <row r="2181" spans="1:8" x14ac:dyDescent="0.3">
      <c r="A2181" t="s">
        <v>6</v>
      </c>
      <c r="B2181">
        <v>20603592566</v>
      </c>
      <c r="C2181" t="s">
        <v>2067</v>
      </c>
      <c r="E2181" s="1">
        <v>45987</v>
      </c>
      <c r="F2181">
        <v>167.06</v>
      </c>
      <c r="G2181" t="s">
        <v>2099</v>
      </c>
      <c r="H2181">
        <f>_xlfn.XLOOKUP(E2181,K:K,L:L)</f>
        <v>15</v>
      </c>
    </row>
    <row r="2182" spans="1:8" x14ac:dyDescent="0.3">
      <c r="A2182" t="s">
        <v>6</v>
      </c>
      <c r="B2182">
        <v>20603592566</v>
      </c>
      <c r="C2182" t="s">
        <v>2067</v>
      </c>
      <c r="E2182" s="1">
        <v>45987</v>
      </c>
      <c r="F2182">
        <v>168.13</v>
      </c>
      <c r="G2182" t="s">
        <v>2099</v>
      </c>
      <c r="H2182">
        <f>_xlfn.XLOOKUP(E2182,K:K,L:L)</f>
        <v>15</v>
      </c>
    </row>
    <row r="2183" spans="1:8" x14ac:dyDescent="0.3">
      <c r="A2183" t="s">
        <v>6</v>
      </c>
      <c r="B2183">
        <v>20603592566</v>
      </c>
      <c r="C2183" t="s">
        <v>2067</v>
      </c>
      <c r="E2183" s="1">
        <v>45987</v>
      </c>
      <c r="F2183">
        <v>169.2</v>
      </c>
      <c r="G2183" t="s">
        <v>2099</v>
      </c>
      <c r="H2183">
        <f>_xlfn.XLOOKUP(E2183,K:K,L:L)</f>
        <v>15</v>
      </c>
    </row>
    <row r="2184" spans="1:8" x14ac:dyDescent="0.3">
      <c r="A2184" t="s">
        <v>92</v>
      </c>
      <c r="B2184">
        <v>10406750511</v>
      </c>
      <c r="C2184" t="s">
        <v>1990</v>
      </c>
      <c r="E2184" s="1">
        <v>45988</v>
      </c>
      <c r="F2184">
        <v>130.41</v>
      </c>
      <c r="G2184" t="s">
        <v>2099</v>
      </c>
      <c r="H2184">
        <f>_xlfn.XLOOKUP(E2184,K:K,L:L)</f>
        <v>16</v>
      </c>
    </row>
    <row r="2185" spans="1:8" x14ac:dyDescent="0.3">
      <c r="A2185" t="s">
        <v>92</v>
      </c>
      <c r="B2185">
        <v>20474682057</v>
      </c>
      <c r="C2185" t="s">
        <v>1991</v>
      </c>
      <c r="E2185" s="1">
        <v>45988</v>
      </c>
      <c r="F2185">
        <v>391.22999999999996</v>
      </c>
      <c r="G2185" t="s">
        <v>2099</v>
      </c>
      <c r="H2185">
        <f>_xlfn.XLOOKUP(E2185,K:K,L:L)</f>
        <v>16</v>
      </c>
    </row>
    <row r="2186" spans="1:8" x14ac:dyDescent="0.3">
      <c r="A2186" t="s">
        <v>92</v>
      </c>
      <c r="B2186">
        <v>20477685511</v>
      </c>
      <c r="C2186" t="s">
        <v>1992</v>
      </c>
      <c r="E2186" s="1">
        <v>45988</v>
      </c>
      <c r="F2186">
        <v>195.60999999999999</v>
      </c>
      <c r="G2186" t="s">
        <v>2099</v>
      </c>
      <c r="H2186">
        <f>_xlfn.XLOOKUP(E2186,K:K,L:L)</f>
        <v>16</v>
      </c>
    </row>
    <row r="2187" spans="1:8" x14ac:dyDescent="0.3">
      <c r="A2187" t="s">
        <v>92</v>
      </c>
      <c r="B2187">
        <v>20505647115</v>
      </c>
      <c r="C2187" t="s">
        <v>1993</v>
      </c>
      <c r="E2187" s="1">
        <v>45988</v>
      </c>
      <c r="F2187">
        <v>242.35</v>
      </c>
      <c r="G2187" t="s">
        <v>2099</v>
      </c>
      <c r="H2187">
        <f>_xlfn.XLOOKUP(E2187,K:K,L:L)</f>
        <v>16</v>
      </c>
    </row>
    <row r="2188" spans="1:8" x14ac:dyDescent="0.3">
      <c r="A2188" t="s">
        <v>92</v>
      </c>
      <c r="B2188">
        <v>20513877324</v>
      </c>
      <c r="C2188" t="s">
        <v>1994</v>
      </c>
      <c r="E2188" s="1">
        <v>45988</v>
      </c>
      <c r="F2188">
        <v>852.96999999999991</v>
      </c>
      <c r="G2188" t="s">
        <v>2099</v>
      </c>
      <c r="H2188">
        <f>_xlfn.XLOOKUP(E2188,K:K,L:L)</f>
        <v>16</v>
      </c>
    </row>
    <row r="2189" spans="1:8" x14ac:dyDescent="0.3">
      <c r="A2189" t="s">
        <v>92</v>
      </c>
      <c r="B2189">
        <v>20545996848</v>
      </c>
      <c r="C2189" t="s">
        <v>1995</v>
      </c>
      <c r="E2189" s="1">
        <v>45988</v>
      </c>
      <c r="F2189">
        <v>130.41</v>
      </c>
      <c r="G2189" t="s">
        <v>2099</v>
      </c>
      <c r="H2189">
        <f>_xlfn.XLOOKUP(E2189,K:K,L:L)</f>
        <v>16</v>
      </c>
    </row>
    <row r="2190" spans="1:8" x14ac:dyDescent="0.3">
      <c r="A2190" t="s">
        <v>92</v>
      </c>
      <c r="B2190">
        <v>20601838088</v>
      </c>
      <c r="C2190" t="s">
        <v>1996</v>
      </c>
      <c r="E2190" s="1">
        <v>45988</v>
      </c>
      <c r="F2190">
        <v>130.41</v>
      </c>
      <c r="G2190" t="s">
        <v>2099</v>
      </c>
      <c r="H2190">
        <f>_xlfn.XLOOKUP(E2190,K:K,L:L)</f>
        <v>16</v>
      </c>
    </row>
    <row r="2191" spans="1:8" x14ac:dyDescent="0.3">
      <c r="A2191" t="s">
        <v>92</v>
      </c>
      <c r="B2191">
        <v>20608792113</v>
      </c>
      <c r="C2191" t="s">
        <v>1997</v>
      </c>
      <c r="E2191" s="1">
        <v>45988</v>
      </c>
      <c r="F2191">
        <v>574.66</v>
      </c>
      <c r="G2191" t="s">
        <v>2099</v>
      </c>
      <c r="H2191">
        <f>_xlfn.XLOOKUP(E2191,K:K,L:L)</f>
        <v>16</v>
      </c>
    </row>
    <row r="2192" spans="1:8" x14ac:dyDescent="0.3">
      <c r="A2192" t="s">
        <v>92</v>
      </c>
      <c r="B2192">
        <v>20609908964</v>
      </c>
      <c r="C2192" t="s">
        <v>1998</v>
      </c>
      <c r="E2192" s="1">
        <v>45988</v>
      </c>
      <c r="F2192">
        <v>176.8</v>
      </c>
      <c r="G2192" t="s">
        <v>2099</v>
      </c>
      <c r="H2192">
        <f>_xlfn.XLOOKUP(E2192,K:K,L:L)</f>
        <v>16</v>
      </c>
    </row>
    <row r="2193" spans="1:8" x14ac:dyDescent="0.3">
      <c r="A2193" t="s">
        <v>92</v>
      </c>
      <c r="B2193">
        <v>20610546014</v>
      </c>
      <c r="C2193" t="s">
        <v>1999</v>
      </c>
      <c r="E2193" s="1">
        <v>45988</v>
      </c>
      <c r="F2193">
        <v>288.51</v>
      </c>
      <c r="G2193" t="s">
        <v>2099</v>
      </c>
      <c r="H2193">
        <f>_xlfn.XLOOKUP(E2193,K:K,L:L)</f>
        <v>16</v>
      </c>
    </row>
    <row r="2194" spans="1:8" x14ac:dyDescent="0.3">
      <c r="A2194" t="s">
        <v>92</v>
      </c>
      <c r="B2194">
        <v>10406750511</v>
      </c>
      <c r="C2194" t="s">
        <v>1990</v>
      </c>
      <c r="E2194" s="1">
        <v>45988</v>
      </c>
      <c r="F2194">
        <v>131.69999999999999</v>
      </c>
      <c r="G2194" t="s">
        <v>2099</v>
      </c>
      <c r="H2194">
        <f>_xlfn.XLOOKUP(E2194,K:K,L:L)</f>
        <v>16</v>
      </c>
    </row>
    <row r="2195" spans="1:8" x14ac:dyDescent="0.3">
      <c r="A2195" t="s">
        <v>92</v>
      </c>
      <c r="B2195">
        <v>20477685511</v>
      </c>
      <c r="C2195" t="s">
        <v>1992</v>
      </c>
      <c r="E2195" s="1">
        <v>45988</v>
      </c>
      <c r="F2195">
        <v>197.54000000000002</v>
      </c>
      <c r="G2195" t="s">
        <v>2099</v>
      </c>
      <c r="H2195">
        <f>_xlfn.XLOOKUP(E2195,K:K,L:L)</f>
        <v>16</v>
      </c>
    </row>
    <row r="2196" spans="1:8" x14ac:dyDescent="0.3">
      <c r="A2196" t="s">
        <v>92</v>
      </c>
      <c r="B2196">
        <v>20524091446</v>
      </c>
      <c r="C2196" t="s">
        <v>2000</v>
      </c>
      <c r="E2196" s="1">
        <v>45988</v>
      </c>
      <c r="F2196">
        <v>263.38</v>
      </c>
      <c r="G2196" t="s">
        <v>2099</v>
      </c>
      <c r="H2196">
        <f>_xlfn.XLOOKUP(E2196,K:K,L:L)</f>
        <v>16</v>
      </c>
    </row>
    <row r="2197" spans="1:8" x14ac:dyDescent="0.3">
      <c r="A2197" t="s">
        <v>92</v>
      </c>
      <c r="B2197">
        <v>20545996848</v>
      </c>
      <c r="C2197" t="s">
        <v>1995</v>
      </c>
      <c r="E2197" s="1">
        <v>45988</v>
      </c>
      <c r="F2197">
        <v>131.69999999999999</v>
      </c>
      <c r="G2197" t="s">
        <v>2099</v>
      </c>
      <c r="H2197">
        <f>_xlfn.XLOOKUP(E2197,K:K,L:L)</f>
        <v>16</v>
      </c>
    </row>
    <row r="2198" spans="1:8" x14ac:dyDescent="0.3">
      <c r="A2198" t="s">
        <v>92</v>
      </c>
      <c r="B2198">
        <v>20601374588</v>
      </c>
      <c r="C2198" t="s">
        <v>2001</v>
      </c>
      <c r="E2198" s="1">
        <v>45988</v>
      </c>
      <c r="F2198">
        <v>413.61</v>
      </c>
      <c r="G2198" t="s">
        <v>2099</v>
      </c>
      <c r="H2198">
        <f>_xlfn.XLOOKUP(E2198,K:K,L:L)</f>
        <v>16</v>
      </c>
    </row>
    <row r="2199" spans="1:8" x14ac:dyDescent="0.3">
      <c r="A2199" t="s">
        <v>92</v>
      </c>
      <c r="B2199">
        <v>20601838088</v>
      </c>
      <c r="C2199" t="s">
        <v>1996</v>
      </c>
      <c r="E2199" s="1">
        <v>45988</v>
      </c>
      <c r="F2199">
        <v>131.69999999999999</v>
      </c>
      <c r="G2199" t="s">
        <v>2099</v>
      </c>
      <c r="H2199">
        <f>_xlfn.XLOOKUP(E2199,K:K,L:L)</f>
        <v>16</v>
      </c>
    </row>
    <row r="2200" spans="1:8" x14ac:dyDescent="0.3">
      <c r="A2200" t="s">
        <v>92</v>
      </c>
      <c r="B2200">
        <v>20608608819</v>
      </c>
      <c r="C2200" t="s">
        <v>2002</v>
      </c>
      <c r="E2200" s="1">
        <v>45988</v>
      </c>
      <c r="F2200">
        <v>131.69999999999999</v>
      </c>
      <c r="G2200" t="s">
        <v>2099</v>
      </c>
      <c r="H2200">
        <f>_xlfn.XLOOKUP(E2200,K:K,L:L)</f>
        <v>16</v>
      </c>
    </row>
    <row r="2201" spans="1:8" x14ac:dyDescent="0.3">
      <c r="A2201" t="s">
        <v>92</v>
      </c>
      <c r="B2201">
        <v>20609908964</v>
      </c>
      <c r="C2201" t="s">
        <v>1998</v>
      </c>
      <c r="E2201" s="1">
        <v>45988</v>
      </c>
      <c r="F2201">
        <v>178.54</v>
      </c>
      <c r="G2201" t="s">
        <v>2099</v>
      </c>
      <c r="H2201">
        <f>_xlfn.XLOOKUP(E2201,K:K,L:L)</f>
        <v>16</v>
      </c>
    </row>
    <row r="2202" spans="1:8" x14ac:dyDescent="0.3">
      <c r="A2202" t="s">
        <v>92</v>
      </c>
      <c r="B2202">
        <v>20477685511</v>
      </c>
      <c r="C2202" t="s">
        <v>1992</v>
      </c>
      <c r="E2202" s="1">
        <v>45988</v>
      </c>
      <c r="F2202">
        <v>331.8</v>
      </c>
      <c r="G2202" t="s">
        <v>2099</v>
      </c>
      <c r="H2202">
        <f>_xlfn.XLOOKUP(E2202,K:K,L:L)</f>
        <v>16</v>
      </c>
    </row>
    <row r="2203" spans="1:8" x14ac:dyDescent="0.3">
      <c r="A2203" t="s">
        <v>92</v>
      </c>
      <c r="B2203">
        <v>20524091446</v>
      </c>
      <c r="C2203" t="s">
        <v>2000</v>
      </c>
      <c r="E2203" s="1">
        <v>45988</v>
      </c>
      <c r="F2203">
        <v>265.44</v>
      </c>
      <c r="G2203" t="s">
        <v>2099</v>
      </c>
      <c r="H2203">
        <f>_xlfn.XLOOKUP(E2203,K:K,L:L)</f>
        <v>16</v>
      </c>
    </row>
    <row r="2204" spans="1:8" x14ac:dyDescent="0.3">
      <c r="A2204" t="s">
        <v>92</v>
      </c>
      <c r="B2204">
        <v>20612591521</v>
      </c>
      <c r="C2204" t="s">
        <v>2003</v>
      </c>
      <c r="E2204" s="1">
        <v>45988</v>
      </c>
      <c r="F2204">
        <v>482.18</v>
      </c>
      <c r="G2204" t="s">
        <v>2099</v>
      </c>
      <c r="H2204">
        <f>_xlfn.XLOOKUP(E2204,K:K,L:L)</f>
        <v>16</v>
      </c>
    </row>
    <row r="2205" spans="1:8" x14ac:dyDescent="0.3">
      <c r="A2205" t="s">
        <v>92</v>
      </c>
      <c r="B2205">
        <v>20477685511</v>
      </c>
      <c r="C2205" t="s">
        <v>1992</v>
      </c>
      <c r="E2205" s="1">
        <v>45988</v>
      </c>
      <c r="F2205">
        <v>335.01</v>
      </c>
      <c r="G2205" t="s">
        <v>2099</v>
      </c>
      <c r="H2205">
        <f>_xlfn.XLOOKUP(E2205,K:K,L:L)</f>
        <v>16</v>
      </c>
    </row>
    <row r="2206" spans="1:8" x14ac:dyDescent="0.3">
      <c r="A2206" t="s">
        <v>92</v>
      </c>
      <c r="B2206">
        <v>20524091446</v>
      </c>
      <c r="C2206" t="s">
        <v>2000</v>
      </c>
      <c r="E2206" s="1">
        <v>45988</v>
      </c>
      <c r="F2206">
        <v>268.01</v>
      </c>
      <c r="G2206" t="s">
        <v>2099</v>
      </c>
      <c r="H2206">
        <f>_xlfn.XLOOKUP(E2206,K:K,L:L)</f>
        <v>16</v>
      </c>
    </row>
    <row r="2207" spans="1:8" x14ac:dyDescent="0.3">
      <c r="A2207" t="s">
        <v>92</v>
      </c>
      <c r="B2207">
        <v>20603614772</v>
      </c>
      <c r="C2207" t="s">
        <v>2004</v>
      </c>
      <c r="E2207" s="1">
        <v>45988</v>
      </c>
      <c r="F2207">
        <v>134.01</v>
      </c>
      <c r="G2207" t="s">
        <v>2099</v>
      </c>
      <c r="H2207">
        <f>_xlfn.XLOOKUP(E2207,K:K,L:L)</f>
        <v>16</v>
      </c>
    </row>
    <row r="2208" spans="1:8" x14ac:dyDescent="0.3">
      <c r="A2208" t="s">
        <v>92</v>
      </c>
      <c r="B2208">
        <v>20373129322</v>
      </c>
      <c r="C2208" t="s">
        <v>2005</v>
      </c>
      <c r="E2208" s="1">
        <v>45988</v>
      </c>
      <c r="F2208">
        <v>143.53</v>
      </c>
      <c r="G2208" t="s">
        <v>2099</v>
      </c>
      <c r="H2208">
        <f>_xlfn.XLOOKUP(E2208,K:K,L:L)</f>
        <v>16</v>
      </c>
    </row>
    <row r="2209" spans="1:8" x14ac:dyDescent="0.3">
      <c r="A2209" t="s">
        <v>6</v>
      </c>
      <c r="B2209">
        <v>20610063731</v>
      </c>
      <c r="C2209" t="s">
        <v>2068</v>
      </c>
      <c r="E2209" s="1">
        <v>45988</v>
      </c>
      <c r="F2209">
        <v>65.210000000000008</v>
      </c>
      <c r="G2209" t="s">
        <v>2099</v>
      </c>
      <c r="H2209">
        <f>_xlfn.XLOOKUP(E2209,K:K,L:L)</f>
        <v>16</v>
      </c>
    </row>
    <row r="2210" spans="1:8" x14ac:dyDescent="0.3">
      <c r="A2210" t="s">
        <v>6</v>
      </c>
      <c r="B2210">
        <v>20610695982</v>
      </c>
      <c r="C2210" t="s">
        <v>2069</v>
      </c>
      <c r="E2210" s="1">
        <v>45988</v>
      </c>
      <c r="F2210">
        <v>371.9</v>
      </c>
      <c r="G2210" t="s">
        <v>2099</v>
      </c>
      <c r="H2210">
        <f>_xlfn.XLOOKUP(E2210,K:K,L:L)</f>
        <v>16</v>
      </c>
    </row>
    <row r="2211" spans="1:8" x14ac:dyDescent="0.3">
      <c r="A2211" t="s">
        <v>93</v>
      </c>
      <c r="B2211">
        <v>10450776799</v>
      </c>
      <c r="C2211" t="s">
        <v>2095</v>
      </c>
      <c r="E2211" s="1">
        <v>45988</v>
      </c>
      <c r="F2211">
        <v>159.44999999999999</v>
      </c>
      <c r="G2211" t="s">
        <v>2099</v>
      </c>
      <c r="H2211">
        <f>_xlfn.XLOOKUP(E2211,K:K,L:L)</f>
        <v>16</v>
      </c>
    </row>
    <row r="2212" spans="1:8" x14ac:dyDescent="0.3">
      <c r="A2212" t="s">
        <v>93</v>
      </c>
      <c r="B2212">
        <v>10450776799</v>
      </c>
      <c r="C2212" t="s">
        <v>2095</v>
      </c>
      <c r="E2212" s="1">
        <v>45988</v>
      </c>
      <c r="F2212">
        <v>149.55000000000001</v>
      </c>
      <c r="G2212" t="s">
        <v>2099</v>
      </c>
      <c r="H2212">
        <f>_xlfn.XLOOKUP(E2212,K:K,L:L)</f>
        <v>16</v>
      </c>
    </row>
    <row r="2213" spans="1:8" x14ac:dyDescent="0.3">
      <c r="A2213" t="s">
        <v>92</v>
      </c>
      <c r="B2213">
        <v>20512687254</v>
      </c>
      <c r="C2213" t="s">
        <v>2006</v>
      </c>
      <c r="E2213" s="1">
        <v>45989</v>
      </c>
      <c r="F2213">
        <v>261.08</v>
      </c>
      <c r="G2213" t="s">
        <v>2099</v>
      </c>
      <c r="H2213">
        <f>_xlfn.XLOOKUP(E2213,K:K,L:L)</f>
        <v>17</v>
      </c>
    </row>
    <row r="2214" spans="1:8" x14ac:dyDescent="0.3">
      <c r="A2214" t="s">
        <v>92</v>
      </c>
      <c r="B2214">
        <v>20607651796</v>
      </c>
      <c r="C2214" t="s">
        <v>2007</v>
      </c>
      <c r="E2214" s="1">
        <v>45989</v>
      </c>
      <c r="F2214">
        <v>338.47</v>
      </c>
      <c r="G2214" t="s">
        <v>2099</v>
      </c>
      <c r="H2214">
        <f>_xlfn.XLOOKUP(E2214,K:K,L:L)</f>
        <v>17</v>
      </c>
    </row>
    <row r="2215" spans="1:8" x14ac:dyDescent="0.3">
      <c r="A2215" t="s">
        <v>6</v>
      </c>
      <c r="B2215">
        <v>20319127845</v>
      </c>
      <c r="C2215" t="s">
        <v>2070</v>
      </c>
      <c r="E2215" s="1">
        <v>45989</v>
      </c>
      <c r="F2215">
        <v>75.09</v>
      </c>
      <c r="G2215" t="s">
        <v>2099</v>
      </c>
      <c r="H2215">
        <f>_xlfn.XLOOKUP(E2215,K:K,L:L)</f>
        <v>17</v>
      </c>
    </row>
    <row r="2216" spans="1:8" x14ac:dyDescent="0.3">
      <c r="A2216" t="s">
        <v>6</v>
      </c>
      <c r="B2216">
        <v>20319127845</v>
      </c>
      <c r="C2216" t="s">
        <v>2070</v>
      </c>
      <c r="E2216" s="1">
        <v>45989</v>
      </c>
      <c r="F2216">
        <v>124.22</v>
      </c>
      <c r="G2216" t="s">
        <v>2099</v>
      </c>
      <c r="H2216">
        <f>_xlfn.XLOOKUP(E2216,K:K,L:L)</f>
        <v>17</v>
      </c>
    </row>
    <row r="2217" spans="1:8" x14ac:dyDescent="0.3">
      <c r="A2217" t="s">
        <v>6</v>
      </c>
      <c r="B2217">
        <v>20319127845</v>
      </c>
      <c r="C2217" t="s">
        <v>2070</v>
      </c>
      <c r="E2217" s="1">
        <v>45989</v>
      </c>
      <c r="F2217">
        <v>230.09</v>
      </c>
      <c r="G2217" t="s">
        <v>2099</v>
      </c>
      <c r="H2217">
        <f>_xlfn.XLOOKUP(E2217,K:K,L:L)</f>
        <v>17</v>
      </c>
    </row>
    <row r="2218" spans="1:8" x14ac:dyDescent="0.3">
      <c r="A2218" t="s">
        <v>6</v>
      </c>
      <c r="B2218">
        <v>20319127845</v>
      </c>
      <c r="C2218" t="s">
        <v>2070</v>
      </c>
      <c r="E2218" s="1">
        <v>45989</v>
      </c>
      <c r="F2218">
        <v>103.28</v>
      </c>
      <c r="G2218" t="s">
        <v>2099</v>
      </c>
      <c r="H2218">
        <f>_xlfn.XLOOKUP(E2218,K:K,L:L)</f>
        <v>17</v>
      </c>
    </row>
    <row r="2219" spans="1:8" x14ac:dyDescent="0.3">
      <c r="A2219" t="s">
        <v>6</v>
      </c>
      <c r="B2219">
        <v>20319127845</v>
      </c>
      <c r="C2219" t="s">
        <v>2070</v>
      </c>
      <c r="E2219" s="1">
        <v>45989</v>
      </c>
      <c r="F2219">
        <v>246.44</v>
      </c>
      <c r="G2219" t="s">
        <v>2099</v>
      </c>
      <c r="H2219">
        <f>_xlfn.XLOOKUP(E2219,K:K,L:L)</f>
        <v>17</v>
      </c>
    </row>
    <row r="2220" spans="1:8" x14ac:dyDescent="0.3">
      <c r="A2220" t="s">
        <v>6</v>
      </c>
      <c r="B2220">
        <v>20603592566</v>
      </c>
      <c r="C2220" t="s">
        <v>2067</v>
      </c>
      <c r="E2220" s="1">
        <v>45989</v>
      </c>
      <c r="F2220">
        <v>164.92000000000002</v>
      </c>
      <c r="G2220" t="s">
        <v>2099</v>
      </c>
      <c r="H2220">
        <f>_xlfn.XLOOKUP(E2220,K:K,L:L)</f>
        <v>17</v>
      </c>
    </row>
    <row r="2221" spans="1:8" x14ac:dyDescent="0.3">
      <c r="A2221" t="s">
        <v>6</v>
      </c>
      <c r="B2221">
        <v>20603592566</v>
      </c>
      <c r="C2221" t="s">
        <v>2067</v>
      </c>
      <c r="E2221" s="1">
        <v>45989</v>
      </c>
      <c r="F2221">
        <v>166.1</v>
      </c>
      <c r="G2221" t="s">
        <v>2099</v>
      </c>
      <c r="H2221">
        <f>_xlfn.XLOOKUP(E2221,K:K,L:L)</f>
        <v>17</v>
      </c>
    </row>
    <row r="2222" spans="1:8" x14ac:dyDescent="0.3">
      <c r="A2222" t="s">
        <v>92</v>
      </c>
      <c r="B2222">
        <v>10066461420</v>
      </c>
      <c r="C2222" t="s">
        <v>2008</v>
      </c>
      <c r="E2222" s="1">
        <v>45990</v>
      </c>
      <c r="F2222">
        <v>269.42</v>
      </c>
      <c r="G2222" t="s">
        <v>2099</v>
      </c>
      <c r="H2222">
        <f>_xlfn.XLOOKUP(E2222,K:K,L:L)</f>
        <v>17</v>
      </c>
    </row>
    <row r="2223" spans="1:8" x14ac:dyDescent="0.3">
      <c r="A2223" t="s">
        <v>92</v>
      </c>
      <c r="B2223">
        <v>10403644922</v>
      </c>
      <c r="C2223" t="s">
        <v>2009</v>
      </c>
      <c r="E2223" s="1">
        <v>45990</v>
      </c>
      <c r="F2223">
        <v>130.66</v>
      </c>
      <c r="G2223" t="s">
        <v>2099</v>
      </c>
      <c r="H2223">
        <f>_xlfn.XLOOKUP(E2223,K:K,L:L)</f>
        <v>17</v>
      </c>
    </row>
    <row r="2224" spans="1:8" x14ac:dyDescent="0.3">
      <c r="A2224" t="s">
        <v>92</v>
      </c>
      <c r="B2224">
        <v>20541260260</v>
      </c>
      <c r="C2224" t="s">
        <v>2010</v>
      </c>
      <c r="E2224" s="1">
        <v>45990</v>
      </c>
      <c r="F2224">
        <v>221.21</v>
      </c>
      <c r="G2224" t="s">
        <v>2099</v>
      </c>
      <c r="H2224">
        <f>_xlfn.XLOOKUP(E2224,K:K,L:L)</f>
        <v>17</v>
      </c>
    </row>
    <row r="2225" spans="1:8" x14ac:dyDescent="0.3">
      <c r="A2225" t="s">
        <v>92</v>
      </c>
      <c r="B2225">
        <v>20550438411</v>
      </c>
      <c r="C2225" t="s">
        <v>2011</v>
      </c>
      <c r="E2225" s="1">
        <v>45990</v>
      </c>
      <c r="F2225">
        <v>522.65</v>
      </c>
      <c r="G2225" t="s">
        <v>2099</v>
      </c>
      <c r="H2225">
        <f>_xlfn.XLOOKUP(E2225,K:K,L:L)</f>
        <v>17</v>
      </c>
    </row>
    <row r="2226" spans="1:8" x14ac:dyDescent="0.3">
      <c r="A2226" t="s">
        <v>92</v>
      </c>
      <c r="B2226">
        <v>20550725828</v>
      </c>
      <c r="C2226" t="s">
        <v>2012</v>
      </c>
      <c r="E2226" s="1">
        <v>45990</v>
      </c>
      <c r="F2226">
        <v>408.18</v>
      </c>
      <c r="G2226" t="s">
        <v>2099</v>
      </c>
      <c r="H2226">
        <f>_xlfn.XLOOKUP(E2226,K:K,L:L)</f>
        <v>17</v>
      </c>
    </row>
    <row r="2227" spans="1:8" x14ac:dyDescent="0.3">
      <c r="A2227" t="s">
        <v>92</v>
      </c>
      <c r="B2227">
        <v>20608999711</v>
      </c>
      <c r="C2227" t="s">
        <v>2013</v>
      </c>
      <c r="E2227" s="1">
        <v>45990</v>
      </c>
      <c r="F2227">
        <v>195.76</v>
      </c>
      <c r="G2227" t="s">
        <v>2099</v>
      </c>
      <c r="H2227">
        <f>_xlfn.XLOOKUP(E2227,K:K,L:L)</f>
        <v>17</v>
      </c>
    </row>
    <row r="2228" spans="1:8" x14ac:dyDescent="0.3">
      <c r="A2228" t="s">
        <v>92</v>
      </c>
      <c r="B2228">
        <v>20611645423</v>
      </c>
      <c r="C2228" t="s">
        <v>2014</v>
      </c>
      <c r="E2228" s="1">
        <v>45990</v>
      </c>
      <c r="F2228">
        <v>130.66</v>
      </c>
      <c r="G2228" t="s">
        <v>2099</v>
      </c>
      <c r="H2228">
        <f>_xlfn.XLOOKUP(E2228,K:K,L:L)</f>
        <v>17</v>
      </c>
    </row>
    <row r="2229" spans="1:8" x14ac:dyDescent="0.3">
      <c r="A2229" t="s">
        <v>92</v>
      </c>
      <c r="B2229">
        <v>10066461420</v>
      </c>
      <c r="C2229" t="s">
        <v>2008</v>
      </c>
      <c r="E2229" s="1">
        <v>45990</v>
      </c>
      <c r="F2229">
        <v>271.81</v>
      </c>
      <c r="G2229" t="s">
        <v>2099</v>
      </c>
      <c r="H2229">
        <f>_xlfn.XLOOKUP(E2229,K:K,L:L)</f>
        <v>17</v>
      </c>
    </row>
    <row r="2230" spans="1:8" x14ac:dyDescent="0.3">
      <c r="A2230" t="s">
        <v>92</v>
      </c>
      <c r="B2230">
        <v>10403644922</v>
      </c>
      <c r="C2230" t="s">
        <v>2009</v>
      </c>
      <c r="E2230" s="1">
        <v>45990</v>
      </c>
      <c r="F2230">
        <v>131.82</v>
      </c>
      <c r="G2230" t="s">
        <v>2099</v>
      </c>
      <c r="H2230">
        <f>_xlfn.XLOOKUP(E2230,K:K,L:L)</f>
        <v>17</v>
      </c>
    </row>
    <row r="2231" spans="1:8" x14ac:dyDescent="0.3">
      <c r="A2231" t="s">
        <v>92</v>
      </c>
      <c r="B2231">
        <v>10702982249</v>
      </c>
      <c r="C2231" t="s">
        <v>2015</v>
      </c>
      <c r="E2231" s="1">
        <v>45990</v>
      </c>
      <c r="F2231">
        <v>145</v>
      </c>
      <c r="G2231" t="s">
        <v>2099</v>
      </c>
      <c r="H2231">
        <f>_xlfn.XLOOKUP(E2231,K:K,L:L)</f>
        <v>17</v>
      </c>
    </row>
    <row r="2232" spans="1:8" x14ac:dyDescent="0.3">
      <c r="A2232" t="s">
        <v>92</v>
      </c>
      <c r="B2232">
        <v>20601881196</v>
      </c>
      <c r="C2232" t="s">
        <v>2016</v>
      </c>
      <c r="E2232" s="1">
        <v>45990</v>
      </c>
      <c r="F2232">
        <v>174.98000000000002</v>
      </c>
      <c r="G2232" t="s">
        <v>2099</v>
      </c>
      <c r="H2232">
        <f>_xlfn.XLOOKUP(E2232,K:K,L:L)</f>
        <v>17</v>
      </c>
    </row>
    <row r="2233" spans="1:8" x14ac:dyDescent="0.3">
      <c r="A2233" t="s">
        <v>92</v>
      </c>
      <c r="B2233">
        <v>10066461420</v>
      </c>
      <c r="C2233" t="s">
        <v>2008</v>
      </c>
      <c r="E2233" s="1">
        <v>45990</v>
      </c>
      <c r="F2233">
        <v>274.2</v>
      </c>
      <c r="G2233" t="s">
        <v>2099</v>
      </c>
      <c r="H2233">
        <f>_xlfn.XLOOKUP(E2233,K:K,L:L)</f>
        <v>17</v>
      </c>
    </row>
    <row r="2234" spans="1:8" x14ac:dyDescent="0.3">
      <c r="A2234" t="s">
        <v>92</v>
      </c>
      <c r="B2234">
        <v>10403644922</v>
      </c>
      <c r="C2234" t="s">
        <v>2009</v>
      </c>
      <c r="E2234" s="1">
        <v>45990</v>
      </c>
      <c r="F2234">
        <v>132.97999999999999</v>
      </c>
      <c r="G2234" t="s">
        <v>2099</v>
      </c>
      <c r="H2234">
        <f>_xlfn.XLOOKUP(E2234,K:K,L:L)</f>
        <v>17</v>
      </c>
    </row>
    <row r="2235" spans="1:8" x14ac:dyDescent="0.3">
      <c r="A2235" t="s">
        <v>6</v>
      </c>
      <c r="B2235">
        <v>20609630168</v>
      </c>
      <c r="C2235" t="s">
        <v>2071</v>
      </c>
      <c r="E2235" s="1">
        <v>45990</v>
      </c>
      <c r="F2235">
        <v>161.88999999999999</v>
      </c>
      <c r="G2235" t="s">
        <v>2099</v>
      </c>
      <c r="H2235">
        <f>_xlfn.XLOOKUP(E2235,K:K,L:L)</f>
        <v>17</v>
      </c>
    </row>
    <row r="2236" spans="1:8" x14ac:dyDescent="0.3">
      <c r="A2236" t="s">
        <v>6</v>
      </c>
      <c r="B2236">
        <v>20609630168</v>
      </c>
      <c r="C2236" t="s">
        <v>2071</v>
      </c>
      <c r="E2236" s="1">
        <v>45990</v>
      </c>
      <c r="F2236">
        <v>163.32</v>
      </c>
      <c r="G2236" t="s">
        <v>2099</v>
      </c>
      <c r="H2236">
        <f>_xlfn.XLOOKUP(E2236,K:K,L:L)</f>
        <v>17</v>
      </c>
    </row>
    <row r="2237" spans="1:8" x14ac:dyDescent="0.3">
      <c r="A2237" t="s">
        <v>6</v>
      </c>
      <c r="B2237">
        <v>20609630168</v>
      </c>
      <c r="C2237" t="s">
        <v>2071</v>
      </c>
      <c r="E2237" s="1">
        <v>45990</v>
      </c>
      <c r="F2237">
        <v>164.75</v>
      </c>
      <c r="G2237" t="s">
        <v>2099</v>
      </c>
      <c r="H2237">
        <f>_xlfn.XLOOKUP(E2237,K:K,L:L)</f>
        <v>17</v>
      </c>
    </row>
    <row r="2238" spans="1:8" x14ac:dyDescent="0.3">
      <c r="A2238" t="s">
        <v>6</v>
      </c>
      <c r="B2238">
        <v>20609630168</v>
      </c>
      <c r="C2238" t="s">
        <v>2071</v>
      </c>
      <c r="E2238" s="1">
        <v>45990</v>
      </c>
      <c r="F2238">
        <v>166.18</v>
      </c>
      <c r="G2238" t="s">
        <v>2099</v>
      </c>
      <c r="H2238">
        <f>_xlfn.XLOOKUP(E2238,K:K,L:L)</f>
        <v>17</v>
      </c>
    </row>
    <row r="2239" spans="1:8" x14ac:dyDescent="0.3">
      <c r="A2239" t="s">
        <v>6</v>
      </c>
      <c r="B2239">
        <v>20609630168</v>
      </c>
      <c r="C2239" t="s">
        <v>2071</v>
      </c>
      <c r="E2239" s="1">
        <v>45990</v>
      </c>
      <c r="F2239">
        <v>167.61999999999998</v>
      </c>
      <c r="G2239" t="s">
        <v>2099</v>
      </c>
      <c r="H2239">
        <f>_xlfn.XLOOKUP(E2239,K:K,L:L)</f>
        <v>17</v>
      </c>
    </row>
    <row r="2240" spans="1:8" x14ac:dyDescent="0.3">
      <c r="A2240" t="s">
        <v>6</v>
      </c>
      <c r="B2240">
        <v>20609630168</v>
      </c>
      <c r="C2240" t="s">
        <v>2071</v>
      </c>
      <c r="E2240" s="1">
        <v>45990</v>
      </c>
      <c r="F2240">
        <v>169.05</v>
      </c>
      <c r="G2240" t="s">
        <v>2099</v>
      </c>
      <c r="H2240">
        <f>_xlfn.XLOOKUP(E2240,K:K,L:L)</f>
        <v>17</v>
      </c>
    </row>
    <row r="2241" spans="1:8" x14ac:dyDescent="0.3">
      <c r="A2241" t="s">
        <v>6</v>
      </c>
      <c r="B2241">
        <v>20609630168</v>
      </c>
      <c r="C2241" t="s">
        <v>2071</v>
      </c>
      <c r="E2241" s="1">
        <v>45990</v>
      </c>
      <c r="F2241">
        <v>170.48</v>
      </c>
      <c r="G2241" t="s">
        <v>2099</v>
      </c>
      <c r="H2241">
        <f>_xlfn.XLOOKUP(E2241,K:K,L:L)</f>
        <v>17</v>
      </c>
    </row>
    <row r="2242" spans="1:8" x14ac:dyDescent="0.3">
      <c r="A2242" t="s">
        <v>6</v>
      </c>
      <c r="B2242">
        <v>20609630168</v>
      </c>
      <c r="C2242" t="s">
        <v>2071</v>
      </c>
      <c r="E2242" s="1">
        <v>45990</v>
      </c>
      <c r="F2242">
        <v>172.07</v>
      </c>
      <c r="G2242" t="s">
        <v>2099</v>
      </c>
      <c r="H2242">
        <f>_xlfn.XLOOKUP(E2242,K:K,L:L)</f>
        <v>17</v>
      </c>
    </row>
    <row r="2243" spans="1:8" x14ac:dyDescent="0.3">
      <c r="A2243" t="s">
        <v>6</v>
      </c>
      <c r="B2243">
        <v>20609630168</v>
      </c>
      <c r="C2243" t="s">
        <v>2071</v>
      </c>
      <c r="E2243" s="1">
        <v>45990</v>
      </c>
      <c r="F2243">
        <v>173.35000000000002</v>
      </c>
      <c r="G2243" t="s">
        <v>2099</v>
      </c>
      <c r="H2243">
        <f>_xlfn.XLOOKUP(E2243,K:K,L:L)</f>
        <v>17</v>
      </c>
    </row>
    <row r="2244" spans="1:8" x14ac:dyDescent="0.3">
      <c r="A2244" t="s">
        <v>6</v>
      </c>
      <c r="B2244">
        <v>20609630168</v>
      </c>
      <c r="C2244" t="s">
        <v>2071</v>
      </c>
      <c r="E2244" s="1">
        <v>45990</v>
      </c>
      <c r="F2244">
        <v>179.85</v>
      </c>
      <c r="G2244" t="s">
        <v>2099</v>
      </c>
      <c r="H2244">
        <f>_xlfn.XLOOKUP(E2244,K:K,L:L)</f>
        <v>17</v>
      </c>
    </row>
    <row r="2245" spans="1:8" x14ac:dyDescent="0.3">
      <c r="A2245" t="s">
        <v>92</v>
      </c>
      <c r="B2245">
        <v>20610901221</v>
      </c>
      <c r="C2245" t="s">
        <v>2017</v>
      </c>
      <c r="E2245" s="1">
        <v>45991</v>
      </c>
      <c r="F2245">
        <v>359.96999999999997</v>
      </c>
      <c r="G2245" t="s">
        <v>2099</v>
      </c>
      <c r="H2245">
        <f>_xlfn.XLOOKUP(E2245,K:K,L:L)</f>
        <v>17</v>
      </c>
    </row>
    <row r="2246" spans="1:8" x14ac:dyDescent="0.3">
      <c r="A2246" t="s">
        <v>92</v>
      </c>
      <c r="B2246">
        <v>20610901221</v>
      </c>
      <c r="C2246" t="s">
        <v>2017</v>
      </c>
      <c r="E2246" s="1">
        <v>45991</v>
      </c>
      <c r="F2246">
        <v>363.15</v>
      </c>
      <c r="G2246" t="s">
        <v>2099</v>
      </c>
      <c r="H2246">
        <f>_xlfn.XLOOKUP(E2246,K:K,L:L)</f>
        <v>17</v>
      </c>
    </row>
    <row r="2247" spans="1:8" x14ac:dyDescent="0.3">
      <c r="A2247" t="s">
        <v>92</v>
      </c>
      <c r="B2247">
        <v>20197398567</v>
      </c>
      <c r="C2247" t="s">
        <v>2018</v>
      </c>
      <c r="E2247" s="1">
        <v>45992</v>
      </c>
      <c r="F2247">
        <v>811.79</v>
      </c>
      <c r="G2247" t="s">
        <v>2099</v>
      </c>
      <c r="H2247">
        <f>_xlfn.XLOOKUP(E2247,K:K,L:L)</f>
        <v>18</v>
      </c>
    </row>
    <row r="2248" spans="1:8" x14ac:dyDescent="0.3">
      <c r="A2248" t="s">
        <v>92</v>
      </c>
      <c r="B2248">
        <v>20506471291</v>
      </c>
      <c r="C2248" t="s">
        <v>2019</v>
      </c>
      <c r="E2248" s="1">
        <v>45992</v>
      </c>
      <c r="F2248">
        <v>200.39</v>
      </c>
      <c r="G2248" t="s">
        <v>2099</v>
      </c>
      <c r="H2248">
        <f>_xlfn.XLOOKUP(E2248,K:K,L:L)</f>
        <v>18</v>
      </c>
    </row>
    <row r="2249" spans="1:8" x14ac:dyDescent="0.3">
      <c r="A2249" t="s">
        <v>92</v>
      </c>
      <c r="B2249">
        <v>20512497633</v>
      </c>
      <c r="C2249" t="s">
        <v>2020</v>
      </c>
      <c r="E2249" s="1">
        <v>45992</v>
      </c>
      <c r="F2249">
        <v>130.66</v>
      </c>
      <c r="G2249" t="s">
        <v>2099</v>
      </c>
      <c r="H2249">
        <f>_xlfn.XLOOKUP(E2249,K:K,L:L)</f>
        <v>18</v>
      </c>
    </row>
    <row r="2250" spans="1:8" x14ac:dyDescent="0.3">
      <c r="A2250" t="s">
        <v>92</v>
      </c>
      <c r="B2250">
        <v>20537886294</v>
      </c>
      <c r="C2250" t="s">
        <v>2021</v>
      </c>
      <c r="E2250" s="1">
        <v>45992</v>
      </c>
      <c r="F2250">
        <v>522.65</v>
      </c>
      <c r="G2250" t="s">
        <v>2099</v>
      </c>
      <c r="H2250">
        <f>_xlfn.XLOOKUP(E2250,K:K,L:L)</f>
        <v>18</v>
      </c>
    </row>
    <row r="2251" spans="1:8" x14ac:dyDescent="0.3">
      <c r="A2251" t="s">
        <v>92</v>
      </c>
      <c r="B2251">
        <v>20606116692</v>
      </c>
      <c r="C2251" t="s">
        <v>2022</v>
      </c>
      <c r="E2251" s="1">
        <v>45992</v>
      </c>
      <c r="F2251">
        <v>130.66</v>
      </c>
      <c r="G2251" t="s">
        <v>2099</v>
      </c>
      <c r="H2251">
        <f>_xlfn.XLOOKUP(E2251,K:K,L:L)</f>
        <v>18</v>
      </c>
    </row>
    <row r="2252" spans="1:8" x14ac:dyDescent="0.3">
      <c r="A2252" t="s">
        <v>92</v>
      </c>
      <c r="B2252">
        <v>20608390422</v>
      </c>
      <c r="C2252" t="s">
        <v>2023</v>
      </c>
      <c r="E2252" s="1">
        <v>45992</v>
      </c>
      <c r="F2252">
        <v>562.31999999999994</v>
      </c>
      <c r="G2252" t="s">
        <v>2099</v>
      </c>
      <c r="H2252">
        <f>_xlfn.XLOOKUP(E2252,K:K,L:L)</f>
        <v>18</v>
      </c>
    </row>
    <row r="2253" spans="1:8" x14ac:dyDescent="0.3">
      <c r="A2253" t="s">
        <v>92</v>
      </c>
      <c r="B2253">
        <v>20608576445</v>
      </c>
      <c r="C2253" t="s">
        <v>2024</v>
      </c>
      <c r="E2253" s="1">
        <v>45992</v>
      </c>
      <c r="F2253">
        <v>522.65</v>
      </c>
      <c r="G2253" t="s">
        <v>2099</v>
      </c>
      <c r="H2253">
        <f>_xlfn.XLOOKUP(E2253,K:K,L:L)</f>
        <v>18</v>
      </c>
    </row>
    <row r="2254" spans="1:8" x14ac:dyDescent="0.3">
      <c r="A2254" t="s">
        <v>92</v>
      </c>
      <c r="B2254">
        <v>20609759934</v>
      </c>
      <c r="C2254" t="s">
        <v>2025</v>
      </c>
      <c r="E2254" s="1">
        <v>45992</v>
      </c>
      <c r="F2254">
        <v>338.8</v>
      </c>
      <c r="G2254" t="s">
        <v>2099</v>
      </c>
      <c r="H2254">
        <f>_xlfn.XLOOKUP(E2254,K:K,L:L)</f>
        <v>18</v>
      </c>
    </row>
    <row r="2255" spans="1:8" x14ac:dyDescent="0.3">
      <c r="A2255" t="s">
        <v>92</v>
      </c>
      <c r="B2255">
        <v>20610620753</v>
      </c>
      <c r="C2255" t="s">
        <v>2026</v>
      </c>
      <c r="E2255" s="1">
        <v>45992</v>
      </c>
      <c r="F2255">
        <v>87.11</v>
      </c>
      <c r="G2255" t="s">
        <v>2099</v>
      </c>
      <c r="H2255">
        <f>_xlfn.XLOOKUP(E2255,K:K,L:L)</f>
        <v>18</v>
      </c>
    </row>
    <row r="2256" spans="1:8" x14ac:dyDescent="0.3">
      <c r="A2256" t="s">
        <v>92</v>
      </c>
      <c r="B2256">
        <v>20506471291</v>
      </c>
      <c r="C2256" t="s">
        <v>2019</v>
      </c>
      <c r="E2256" s="1">
        <v>45992</v>
      </c>
      <c r="F2256">
        <v>202.17000000000002</v>
      </c>
      <c r="G2256" t="s">
        <v>2099</v>
      </c>
      <c r="H2256">
        <f>_xlfn.XLOOKUP(E2256,K:K,L:L)</f>
        <v>18</v>
      </c>
    </row>
    <row r="2257" spans="1:8" x14ac:dyDescent="0.3">
      <c r="A2257" t="s">
        <v>92</v>
      </c>
      <c r="B2257">
        <v>20512497633</v>
      </c>
      <c r="C2257" t="s">
        <v>2020</v>
      </c>
      <c r="E2257" s="1">
        <v>45992</v>
      </c>
      <c r="F2257">
        <v>131.82</v>
      </c>
      <c r="G2257" t="s">
        <v>2099</v>
      </c>
      <c r="H2257">
        <f>_xlfn.XLOOKUP(E2257,K:K,L:L)</f>
        <v>18</v>
      </c>
    </row>
    <row r="2258" spans="1:8" x14ac:dyDescent="0.3">
      <c r="A2258" t="s">
        <v>92</v>
      </c>
      <c r="B2258">
        <v>20606116692</v>
      </c>
      <c r="C2258" t="s">
        <v>2022</v>
      </c>
      <c r="E2258" s="1">
        <v>45992</v>
      </c>
      <c r="F2258">
        <v>131.82</v>
      </c>
      <c r="G2258" t="s">
        <v>2099</v>
      </c>
      <c r="H2258">
        <f>_xlfn.XLOOKUP(E2258,K:K,L:L)</f>
        <v>18</v>
      </c>
    </row>
    <row r="2259" spans="1:8" x14ac:dyDescent="0.3">
      <c r="A2259" t="s">
        <v>92</v>
      </c>
      <c r="B2259">
        <v>20608390422</v>
      </c>
      <c r="C2259" t="s">
        <v>2023</v>
      </c>
      <c r="E2259" s="1">
        <v>45992</v>
      </c>
      <c r="F2259">
        <v>572.56999999999994</v>
      </c>
      <c r="G2259" t="s">
        <v>2099</v>
      </c>
      <c r="H2259">
        <f>_xlfn.XLOOKUP(E2259,K:K,L:L)</f>
        <v>18</v>
      </c>
    </row>
    <row r="2260" spans="1:8" x14ac:dyDescent="0.3">
      <c r="A2260" t="s">
        <v>92</v>
      </c>
      <c r="B2260">
        <v>20610620753</v>
      </c>
      <c r="C2260" t="s">
        <v>2026</v>
      </c>
      <c r="E2260" s="1">
        <v>45992</v>
      </c>
      <c r="F2260">
        <v>123.03999999999999</v>
      </c>
      <c r="G2260" t="s">
        <v>2099</v>
      </c>
      <c r="H2260">
        <f>_xlfn.XLOOKUP(E2260,K:K,L:L)</f>
        <v>18</v>
      </c>
    </row>
    <row r="2261" spans="1:8" x14ac:dyDescent="0.3">
      <c r="A2261" t="s">
        <v>92</v>
      </c>
      <c r="B2261">
        <v>20506471291</v>
      </c>
      <c r="C2261" t="s">
        <v>2019</v>
      </c>
      <c r="E2261" s="1">
        <v>45992</v>
      </c>
      <c r="F2261">
        <v>203.94</v>
      </c>
      <c r="G2261" t="s">
        <v>2099</v>
      </c>
      <c r="H2261">
        <f>_xlfn.XLOOKUP(E2261,K:K,L:L)</f>
        <v>18</v>
      </c>
    </row>
    <row r="2262" spans="1:8" x14ac:dyDescent="0.3">
      <c r="A2262" t="s">
        <v>92</v>
      </c>
      <c r="B2262">
        <v>20512497633</v>
      </c>
      <c r="C2262" t="s">
        <v>2020</v>
      </c>
      <c r="E2262" s="1">
        <v>45992</v>
      </c>
      <c r="F2262">
        <v>132.97999999999999</v>
      </c>
      <c r="G2262" t="s">
        <v>2099</v>
      </c>
      <c r="H2262">
        <f>_xlfn.XLOOKUP(E2262,K:K,L:L)</f>
        <v>18</v>
      </c>
    </row>
    <row r="2263" spans="1:8" x14ac:dyDescent="0.3">
      <c r="A2263" t="s">
        <v>92</v>
      </c>
      <c r="B2263">
        <v>20506471291</v>
      </c>
      <c r="C2263" t="s">
        <v>2019</v>
      </c>
      <c r="E2263" s="1">
        <v>45992</v>
      </c>
      <c r="F2263">
        <v>205.71</v>
      </c>
      <c r="G2263" t="s">
        <v>2099</v>
      </c>
      <c r="H2263">
        <f>_xlfn.XLOOKUP(E2263,K:K,L:L)</f>
        <v>18</v>
      </c>
    </row>
    <row r="2264" spans="1:8" x14ac:dyDescent="0.3">
      <c r="A2264" t="s">
        <v>92</v>
      </c>
      <c r="B2264">
        <v>20512497633</v>
      </c>
      <c r="C2264" t="s">
        <v>2020</v>
      </c>
      <c r="E2264" s="1">
        <v>45992</v>
      </c>
      <c r="F2264">
        <v>134.13</v>
      </c>
      <c r="G2264" t="s">
        <v>2099</v>
      </c>
      <c r="H2264">
        <f>_xlfn.XLOOKUP(E2264,K:K,L:L)</f>
        <v>18</v>
      </c>
    </row>
    <row r="2265" spans="1:8" x14ac:dyDescent="0.3">
      <c r="A2265" t="s">
        <v>92</v>
      </c>
      <c r="B2265">
        <v>20608390422</v>
      </c>
      <c r="C2265" t="s">
        <v>2023</v>
      </c>
      <c r="E2265" s="1">
        <v>45992</v>
      </c>
      <c r="F2265">
        <v>577.25</v>
      </c>
      <c r="G2265" t="s">
        <v>2099</v>
      </c>
      <c r="H2265">
        <f>_xlfn.XLOOKUP(E2265,K:K,L:L)</f>
        <v>18</v>
      </c>
    </row>
    <row r="2266" spans="1:8" x14ac:dyDescent="0.3">
      <c r="A2266" t="s">
        <v>92</v>
      </c>
      <c r="B2266">
        <v>20506471291</v>
      </c>
      <c r="C2266" t="s">
        <v>2019</v>
      </c>
      <c r="E2266" s="1">
        <v>45992</v>
      </c>
      <c r="F2266">
        <v>207.48</v>
      </c>
      <c r="G2266" t="s">
        <v>2099</v>
      </c>
      <c r="H2266">
        <f>_xlfn.XLOOKUP(E2266,K:K,L:L)</f>
        <v>18</v>
      </c>
    </row>
    <row r="2267" spans="1:8" x14ac:dyDescent="0.3">
      <c r="A2267" t="s">
        <v>92</v>
      </c>
      <c r="B2267">
        <v>10079693630</v>
      </c>
      <c r="C2267" t="s">
        <v>2027</v>
      </c>
      <c r="E2267" s="1">
        <v>45992</v>
      </c>
      <c r="F2267">
        <v>130.66</v>
      </c>
      <c r="G2267" t="s">
        <v>2099</v>
      </c>
      <c r="H2267">
        <f>_xlfn.XLOOKUP(E2267,K:K,L:L)</f>
        <v>18</v>
      </c>
    </row>
    <row r="2268" spans="1:8" x14ac:dyDescent="0.3">
      <c r="A2268" t="s">
        <v>92</v>
      </c>
      <c r="B2268">
        <v>20491202816</v>
      </c>
      <c r="C2268" t="s">
        <v>2028</v>
      </c>
      <c r="E2268" s="1">
        <v>45992</v>
      </c>
      <c r="F2268">
        <v>346.90000000000003</v>
      </c>
      <c r="G2268" t="s">
        <v>2099</v>
      </c>
      <c r="H2268">
        <f>_xlfn.XLOOKUP(E2268,K:K,L:L)</f>
        <v>18</v>
      </c>
    </row>
    <row r="2269" spans="1:8" x14ac:dyDescent="0.3">
      <c r="A2269" t="s">
        <v>92</v>
      </c>
      <c r="B2269">
        <v>20518349253</v>
      </c>
      <c r="C2269" t="s">
        <v>1911</v>
      </c>
      <c r="E2269" s="1">
        <v>45992</v>
      </c>
      <c r="F2269">
        <v>130.66</v>
      </c>
      <c r="G2269" t="s">
        <v>2099</v>
      </c>
      <c r="H2269">
        <f>_xlfn.XLOOKUP(E2269,K:K,L:L)</f>
        <v>18</v>
      </c>
    </row>
    <row r="2270" spans="1:8" x14ac:dyDescent="0.3">
      <c r="A2270" t="s">
        <v>92</v>
      </c>
      <c r="B2270">
        <v>20546104673</v>
      </c>
      <c r="C2270" t="s">
        <v>2029</v>
      </c>
      <c r="E2270" s="1">
        <v>45992</v>
      </c>
      <c r="F2270">
        <v>231.27</v>
      </c>
      <c r="G2270" t="s">
        <v>2099</v>
      </c>
      <c r="H2270">
        <f>_xlfn.XLOOKUP(E2270,K:K,L:L)</f>
        <v>18</v>
      </c>
    </row>
    <row r="2271" spans="1:8" x14ac:dyDescent="0.3">
      <c r="A2271" t="s">
        <v>92</v>
      </c>
      <c r="B2271">
        <v>20602467733</v>
      </c>
      <c r="C2271" t="s">
        <v>1633</v>
      </c>
      <c r="E2271" s="1">
        <v>45992</v>
      </c>
      <c r="F2271">
        <v>143.22</v>
      </c>
      <c r="G2271" t="s">
        <v>2099</v>
      </c>
      <c r="H2271">
        <f>_xlfn.XLOOKUP(E2271,K:K,L:L)</f>
        <v>18</v>
      </c>
    </row>
    <row r="2272" spans="1:8" x14ac:dyDescent="0.3">
      <c r="A2272" t="s">
        <v>92</v>
      </c>
      <c r="B2272">
        <v>20610751661</v>
      </c>
      <c r="C2272" t="s">
        <v>2030</v>
      </c>
      <c r="E2272" s="1">
        <v>45992</v>
      </c>
      <c r="F2272">
        <v>300.65000000000003</v>
      </c>
      <c r="G2272" t="s">
        <v>2099</v>
      </c>
      <c r="H2272">
        <f>_xlfn.XLOOKUP(E2272,K:K,L:L)</f>
        <v>18</v>
      </c>
    </row>
    <row r="2273" spans="1:8" x14ac:dyDescent="0.3">
      <c r="A2273" t="s">
        <v>92</v>
      </c>
      <c r="B2273">
        <v>20612577421</v>
      </c>
      <c r="C2273" t="s">
        <v>2031</v>
      </c>
      <c r="E2273" s="1">
        <v>45992</v>
      </c>
      <c r="F2273">
        <v>391.99</v>
      </c>
      <c r="G2273" t="s">
        <v>2099</v>
      </c>
      <c r="H2273">
        <f>_xlfn.XLOOKUP(E2273,K:K,L:L)</f>
        <v>18</v>
      </c>
    </row>
    <row r="2274" spans="1:8" x14ac:dyDescent="0.3">
      <c r="A2274" t="s">
        <v>92</v>
      </c>
      <c r="B2274">
        <v>20555197226</v>
      </c>
      <c r="C2274" t="s">
        <v>2032</v>
      </c>
      <c r="E2274" s="1">
        <v>45992</v>
      </c>
      <c r="F2274">
        <v>233.31</v>
      </c>
      <c r="G2274" t="s">
        <v>2099</v>
      </c>
      <c r="H2274">
        <f>_xlfn.XLOOKUP(E2274,K:K,L:L)</f>
        <v>18</v>
      </c>
    </row>
    <row r="2275" spans="1:8" x14ac:dyDescent="0.3">
      <c r="A2275" t="s">
        <v>92</v>
      </c>
      <c r="B2275">
        <v>20612577421</v>
      </c>
      <c r="C2275" t="s">
        <v>2031</v>
      </c>
      <c r="E2275" s="1">
        <v>45992</v>
      </c>
      <c r="F2275">
        <v>263.64</v>
      </c>
      <c r="G2275" t="s">
        <v>2099</v>
      </c>
      <c r="H2275">
        <f>_xlfn.XLOOKUP(E2275,K:K,L:L)</f>
        <v>18</v>
      </c>
    </row>
    <row r="2276" spans="1:8" x14ac:dyDescent="0.3">
      <c r="A2276" t="s">
        <v>92</v>
      </c>
      <c r="B2276">
        <v>20555197226</v>
      </c>
      <c r="C2276" t="s">
        <v>2032</v>
      </c>
      <c r="E2276" s="1">
        <v>45992</v>
      </c>
      <c r="F2276">
        <v>235.36</v>
      </c>
      <c r="G2276" t="s">
        <v>2099</v>
      </c>
      <c r="H2276">
        <f>_xlfn.XLOOKUP(E2276,K:K,L:L)</f>
        <v>18</v>
      </c>
    </row>
    <row r="2277" spans="1:8" x14ac:dyDescent="0.3">
      <c r="A2277" t="s">
        <v>92</v>
      </c>
      <c r="B2277">
        <v>20601787815</v>
      </c>
      <c r="C2277" t="s">
        <v>2033</v>
      </c>
      <c r="E2277" s="1">
        <v>45992</v>
      </c>
      <c r="F2277">
        <v>132.97999999999999</v>
      </c>
      <c r="G2277" t="s">
        <v>2099</v>
      </c>
      <c r="H2277">
        <f>_xlfn.XLOOKUP(E2277,K:K,L:L)</f>
        <v>18</v>
      </c>
    </row>
    <row r="2278" spans="1:8" x14ac:dyDescent="0.3">
      <c r="A2278" t="s">
        <v>92</v>
      </c>
      <c r="B2278">
        <v>20555197226</v>
      </c>
      <c r="C2278" t="s">
        <v>2032</v>
      </c>
      <c r="E2278" s="1">
        <v>45992</v>
      </c>
      <c r="F2278">
        <v>237.41000000000003</v>
      </c>
      <c r="G2278" t="s">
        <v>2099</v>
      </c>
      <c r="H2278">
        <f>_xlfn.XLOOKUP(E2278,K:K,L:L)</f>
        <v>18</v>
      </c>
    </row>
    <row r="2279" spans="1:8" x14ac:dyDescent="0.3">
      <c r="A2279" t="s">
        <v>92</v>
      </c>
      <c r="B2279">
        <v>20602467733</v>
      </c>
      <c r="C2279" t="s">
        <v>1633</v>
      </c>
      <c r="E2279" s="1">
        <v>45992</v>
      </c>
      <c r="F2279">
        <v>149.54000000000002</v>
      </c>
      <c r="G2279" t="s">
        <v>2099</v>
      </c>
      <c r="H2279">
        <f>_xlfn.XLOOKUP(E2279,K:K,L:L)</f>
        <v>18</v>
      </c>
    </row>
    <row r="2280" spans="1:8" x14ac:dyDescent="0.3">
      <c r="A2280" t="s">
        <v>92</v>
      </c>
      <c r="B2280">
        <v>20602467733</v>
      </c>
      <c r="C2280" t="s">
        <v>1633</v>
      </c>
      <c r="E2280" s="1">
        <v>45992</v>
      </c>
      <c r="F2280">
        <v>164.45999999999998</v>
      </c>
      <c r="G2280" t="s">
        <v>2099</v>
      </c>
      <c r="H2280">
        <f>_xlfn.XLOOKUP(E2280,K:K,L:L)</f>
        <v>18</v>
      </c>
    </row>
    <row r="2281" spans="1:8" x14ac:dyDescent="0.3">
      <c r="A2281" t="s">
        <v>93</v>
      </c>
      <c r="B2281">
        <v>20509793779</v>
      </c>
      <c r="C2281" t="s">
        <v>1150</v>
      </c>
      <c r="E2281" s="1">
        <v>45992</v>
      </c>
      <c r="F2281">
        <v>250.83</v>
      </c>
      <c r="G2281" t="s">
        <v>2099</v>
      </c>
      <c r="H2281">
        <f>_xlfn.XLOOKUP(E2281,K:K,L:L)</f>
        <v>18</v>
      </c>
    </row>
    <row r="2282" spans="1:8" x14ac:dyDescent="0.3">
      <c r="A2282" t="s">
        <v>93</v>
      </c>
      <c r="B2282">
        <v>20509793779</v>
      </c>
      <c r="C2282" t="s">
        <v>1150</v>
      </c>
      <c r="E2282" s="1">
        <v>45992</v>
      </c>
      <c r="F2282">
        <v>115.54</v>
      </c>
      <c r="G2282" t="s">
        <v>2099</v>
      </c>
      <c r="H2282">
        <f>_xlfn.XLOOKUP(E2282,K:K,L:L)</f>
        <v>18</v>
      </c>
    </row>
    <row r="2283" spans="1:8" x14ac:dyDescent="0.3">
      <c r="A2283" t="s">
        <v>93</v>
      </c>
      <c r="B2283">
        <v>20509793779</v>
      </c>
      <c r="C2283" t="s">
        <v>1150</v>
      </c>
      <c r="E2283" s="1">
        <v>45992</v>
      </c>
      <c r="F2283">
        <v>298.72000000000003</v>
      </c>
      <c r="G2283" t="s">
        <v>2099</v>
      </c>
      <c r="H2283">
        <f>_xlfn.XLOOKUP(E2283,K:K,L:L)</f>
        <v>18</v>
      </c>
    </row>
    <row r="2284" spans="1:8" x14ac:dyDescent="0.3">
      <c r="A2284" t="s">
        <v>93</v>
      </c>
      <c r="B2284">
        <v>20509793779</v>
      </c>
      <c r="C2284" t="s">
        <v>1150</v>
      </c>
      <c r="E2284" s="1">
        <v>45992</v>
      </c>
      <c r="F2284">
        <v>324.85000000000002</v>
      </c>
      <c r="G2284" t="s">
        <v>2099</v>
      </c>
      <c r="H2284">
        <f>_xlfn.XLOOKUP(E2284,K:K,L:L)</f>
        <v>18</v>
      </c>
    </row>
    <row r="2285" spans="1:8" x14ac:dyDescent="0.3">
      <c r="A2285" t="s">
        <v>93</v>
      </c>
      <c r="B2285">
        <v>20122895883</v>
      </c>
      <c r="C2285" t="s">
        <v>2096</v>
      </c>
      <c r="E2285" s="1">
        <v>45992</v>
      </c>
      <c r="F2285">
        <v>439.25</v>
      </c>
      <c r="G2285" t="s">
        <v>2099</v>
      </c>
      <c r="H2285">
        <f>_xlfn.XLOOKUP(E2285,K:K,L:L)</f>
        <v>18</v>
      </c>
    </row>
    <row r="2286" spans="1:8" x14ac:dyDescent="0.3">
      <c r="A2286" t="s">
        <v>93</v>
      </c>
      <c r="B2286">
        <v>20603338481</v>
      </c>
      <c r="C2286" t="s">
        <v>327</v>
      </c>
      <c r="E2286" s="1">
        <v>45992</v>
      </c>
      <c r="F2286">
        <v>203.93</v>
      </c>
      <c r="G2286" t="s">
        <v>2099</v>
      </c>
      <c r="H2286">
        <f>_xlfn.XLOOKUP(E2286,K:K,L:L)</f>
        <v>18</v>
      </c>
    </row>
    <row r="2287" spans="1:8" x14ac:dyDescent="0.3">
      <c r="A2287" t="s">
        <v>93</v>
      </c>
      <c r="B2287">
        <v>20603338481</v>
      </c>
      <c r="C2287" t="s">
        <v>327</v>
      </c>
      <c r="E2287" s="1">
        <v>45992</v>
      </c>
      <c r="F2287">
        <v>205.69</v>
      </c>
      <c r="G2287" t="s">
        <v>2099</v>
      </c>
      <c r="H2287">
        <f>_xlfn.XLOOKUP(E2287,K:K,L:L)</f>
        <v>18</v>
      </c>
    </row>
    <row r="2288" spans="1:8" x14ac:dyDescent="0.3">
      <c r="A2288" t="s">
        <v>93</v>
      </c>
      <c r="B2288">
        <v>20603338481</v>
      </c>
      <c r="C2288" t="s">
        <v>327</v>
      </c>
      <c r="E2288" s="1">
        <v>45992</v>
      </c>
      <c r="F2288">
        <v>207.44</v>
      </c>
      <c r="G2288" t="s">
        <v>2099</v>
      </c>
      <c r="H2288">
        <f>_xlfn.XLOOKUP(E2288,K:K,L:L)</f>
        <v>18</v>
      </c>
    </row>
    <row r="2289" spans="1:8" x14ac:dyDescent="0.3">
      <c r="A2289" t="s">
        <v>92</v>
      </c>
      <c r="B2289">
        <v>10070860665</v>
      </c>
      <c r="C2289" t="s">
        <v>2034</v>
      </c>
      <c r="E2289" s="1">
        <v>45993</v>
      </c>
      <c r="F2289">
        <v>130.66</v>
      </c>
      <c r="G2289" t="s">
        <v>2099</v>
      </c>
      <c r="H2289">
        <f>_xlfn.XLOOKUP(E2289,K:K,L:L)</f>
        <v>19</v>
      </c>
    </row>
    <row r="2290" spans="1:8" x14ac:dyDescent="0.3">
      <c r="A2290" t="s">
        <v>92</v>
      </c>
      <c r="B2290">
        <v>10417744008</v>
      </c>
      <c r="C2290" t="s">
        <v>2035</v>
      </c>
      <c r="E2290" s="1">
        <v>45993</v>
      </c>
      <c r="F2290">
        <v>130.66</v>
      </c>
      <c r="G2290" t="s">
        <v>2099</v>
      </c>
      <c r="H2290">
        <f>_xlfn.XLOOKUP(E2290,K:K,L:L)</f>
        <v>19</v>
      </c>
    </row>
    <row r="2291" spans="1:8" x14ac:dyDescent="0.3">
      <c r="A2291" t="s">
        <v>92</v>
      </c>
      <c r="B2291">
        <v>20493594622</v>
      </c>
      <c r="C2291" t="s">
        <v>2036</v>
      </c>
      <c r="E2291" s="1">
        <v>45993</v>
      </c>
      <c r="F2291">
        <v>130.66</v>
      </c>
      <c r="G2291" t="s">
        <v>2099</v>
      </c>
      <c r="H2291">
        <f>_xlfn.XLOOKUP(E2291,K:K,L:L)</f>
        <v>19</v>
      </c>
    </row>
    <row r="2292" spans="1:8" x14ac:dyDescent="0.3">
      <c r="A2292" t="s">
        <v>92</v>
      </c>
      <c r="B2292">
        <v>20600734751</v>
      </c>
      <c r="C2292" t="s">
        <v>2037</v>
      </c>
      <c r="E2292" s="1">
        <v>45993</v>
      </c>
      <c r="F2292">
        <v>803.67</v>
      </c>
      <c r="G2292" t="s">
        <v>2099</v>
      </c>
      <c r="H2292">
        <f>_xlfn.XLOOKUP(E2292,K:K,L:L)</f>
        <v>19</v>
      </c>
    </row>
    <row r="2293" spans="1:8" x14ac:dyDescent="0.3">
      <c r="A2293" t="s">
        <v>92</v>
      </c>
      <c r="B2293">
        <v>20607679551</v>
      </c>
      <c r="C2293" t="s">
        <v>2038</v>
      </c>
      <c r="E2293" s="1">
        <v>45993</v>
      </c>
      <c r="F2293">
        <v>130.66</v>
      </c>
      <c r="G2293" t="s">
        <v>2099</v>
      </c>
      <c r="H2293">
        <f>_xlfn.XLOOKUP(E2293,K:K,L:L)</f>
        <v>19</v>
      </c>
    </row>
    <row r="2294" spans="1:8" x14ac:dyDescent="0.3">
      <c r="A2294" t="s">
        <v>92</v>
      </c>
      <c r="B2294">
        <v>20610390863</v>
      </c>
      <c r="C2294" t="s">
        <v>2039</v>
      </c>
      <c r="E2294" s="1">
        <v>45993</v>
      </c>
      <c r="F2294">
        <v>138.76</v>
      </c>
      <c r="G2294" t="s">
        <v>2099</v>
      </c>
      <c r="H2294">
        <f>_xlfn.XLOOKUP(E2294,K:K,L:L)</f>
        <v>19</v>
      </c>
    </row>
    <row r="2295" spans="1:8" x14ac:dyDescent="0.3">
      <c r="A2295" t="s">
        <v>92</v>
      </c>
      <c r="B2295">
        <v>20611870826</v>
      </c>
      <c r="C2295" t="s">
        <v>2040</v>
      </c>
      <c r="E2295" s="1">
        <v>45993</v>
      </c>
      <c r="F2295">
        <v>130.66</v>
      </c>
      <c r="G2295" t="s">
        <v>2099</v>
      </c>
      <c r="H2295">
        <f>_xlfn.XLOOKUP(E2295,K:K,L:L)</f>
        <v>19</v>
      </c>
    </row>
    <row r="2296" spans="1:8" x14ac:dyDescent="0.3">
      <c r="A2296" t="s">
        <v>92</v>
      </c>
      <c r="B2296">
        <v>20613436163</v>
      </c>
      <c r="C2296" t="s">
        <v>2041</v>
      </c>
      <c r="E2296" s="1">
        <v>45993</v>
      </c>
      <c r="F2296">
        <v>451.43</v>
      </c>
      <c r="G2296" t="s">
        <v>2099</v>
      </c>
      <c r="H2296">
        <f>_xlfn.XLOOKUP(E2296,K:K,L:L)</f>
        <v>19</v>
      </c>
    </row>
    <row r="2297" spans="1:8" x14ac:dyDescent="0.3">
      <c r="A2297" t="s">
        <v>92</v>
      </c>
      <c r="B2297">
        <v>10070860665</v>
      </c>
      <c r="C2297" t="s">
        <v>2034</v>
      </c>
      <c r="E2297" s="1">
        <v>45993</v>
      </c>
      <c r="F2297">
        <v>131.82</v>
      </c>
      <c r="G2297" t="s">
        <v>2099</v>
      </c>
      <c r="H2297">
        <f>_xlfn.XLOOKUP(E2297,K:K,L:L)</f>
        <v>19</v>
      </c>
    </row>
    <row r="2298" spans="1:8" x14ac:dyDescent="0.3">
      <c r="A2298" t="s">
        <v>92</v>
      </c>
      <c r="B2298">
        <v>10412188379</v>
      </c>
      <c r="C2298" t="s">
        <v>2042</v>
      </c>
      <c r="E2298" s="1">
        <v>45993</v>
      </c>
      <c r="F2298">
        <v>641.6099999999999</v>
      </c>
      <c r="G2298" t="s">
        <v>2099</v>
      </c>
      <c r="H2298">
        <f>_xlfn.XLOOKUP(E2298,K:K,L:L)</f>
        <v>19</v>
      </c>
    </row>
    <row r="2299" spans="1:8" x14ac:dyDescent="0.3">
      <c r="A2299" t="s">
        <v>92</v>
      </c>
      <c r="B2299">
        <v>10417744008</v>
      </c>
      <c r="C2299" t="s">
        <v>2035</v>
      </c>
      <c r="E2299" s="1">
        <v>45993</v>
      </c>
      <c r="F2299">
        <v>131.82</v>
      </c>
      <c r="G2299" t="s">
        <v>2099</v>
      </c>
      <c r="H2299">
        <f>_xlfn.XLOOKUP(E2299,K:K,L:L)</f>
        <v>19</v>
      </c>
    </row>
    <row r="2300" spans="1:8" x14ac:dyDescent="0.3">
      <c r="A2300" t="s">
        <v>92</v>
      </c>
      <c r="B2300">
        <v>20523909071</v>
      </c>
      <c r="C2300" t="s">
        <v>2043</v>
      </c>
      <c r="E2300" s="1">
        <v>45993</v>
      </c>
      <c r="F2300">
        <v>131.82</v>
      </c>
      <c r="G2300" t="s">
        <v>2099</v>
      </c>
      <c r="H2300">
        <f>_xlfn.XLOOKUP(E2300,K:K,L:L)</f>
        <v>19</v>
      </c>
    </row>
    <row r="2301" spans="1:8" x14ac:dyDescent="0.3">
      <c r="A2301" t="s">
        <v>92</v>
      </c>
      <c r="B2301">
        <v>20607679551</v>
      </c>
      <c r="C2301" t="s">
        <v>2038</v>
      </c>
      <c r="E2301" s="1">
        <v>45993</v>
      </c>
      <c r="F2301">
        <v>131.82</v>
      </c>
      <c r="G2301" t="s">
        <v>2099</v>
      </c>
      <c r="H2301">
        <f>_xlfn.XLOOKUP(E2301,K:K,L:L)</f>
        <v>19</v>
      </c>
    </row>
    <row r="2302" spans="1:8" x14ac:dyDescent="0.3">
      <c r="A2302" t="s">
        <v>92</v>
      </c>
      <c r="B2302">
        <v>20610390863</v>
      </c>
      <c r="C2302" t="s">
        <v>2039</v>
      </c>
      <c r="E2302" s="1">
        <v>45993</v>
      </c>
      <c r="F2302">
        <v>139.99</v>
      </c>
      <c r="G2302" t="s">
        <v>2099</v>
      </c>
      <c r="H2302">
        <f>_xlfn.XLOOKUP(E2302,K:K,L:L)</f>
        <v>19</v>
      </c>
    </row>
    <row r="2303" spans="1:8" x14ac:dyDescent="0.3">
      <c r="A2303" t="s">
        <v>92</v>
      </c>
      <c r="B2303">
        <v>10070860665</v>
      </c>
      <c r="C2303" t="s">
        <v>2034</v>
      </c>
      <c r="E2303" s="1">
        <v>45993</v>
      </c>
      <c r="F2303">
        <v>132.97999999999999</v>
      </c>
      <c r="G2303" t="s">
        <v>2099</v>
      </c>
      <c r="H2303">
        <f>_xlfn.XLOOKUP(E2303,K:K,L:L)</f>
        <v>19</v>
      </c>
    </row>
    <row r="2304" spans="1:8" x14ac:dyDescent="0.3">
      <c r="A2304" t="s">
        <v>92</v>
      </c>
      <c r="B2304">
        <v>10459678218</v>
      </c>
      <c r="C2304" t="s">
        <v>2044</v>
      </c>
      <c r="E2304" s="1">
        <v>45993</v>
      </c>
      <c r="F2304">
        <v>232.5</v>
      </c>
      <c r="G2304" t="s">
        <v>2099</v>
      </c>
      <c r="H2304">
        <f>_xlfn.XLOOKUP(E2304,K:K,L:L)</f>
        <v>19</v>
      </c>
    </row>
    <row r="2305" spans="1:8" x14ac:dyDescent="0.3">
      <c r="A2305" t="s">
        <v>92</v>
      </c>
      <c r="B2305">
        <v>20523909071</v>
      </c>
      <c r="C2305" t="s">
        <v>2043</v>
      </c>
      <c r="E2305" s="1">
        <v>45993</v>
      </c>
      <c r="F2305">
        <v>132.97999999999999</v>
      </c>
      <c r="G2305" t="s">
        <v>2099</v>
      </c>
      <c r="H2305">
        <f>_xlfn.XLOOKUP(E2305,K:K,L:L)</f>
        <v>19</v>
      </c>
    </row>
    <row r="2306" spans="1:8" x14ac:dyDescent="0.3">
      <c r="A2306" t="s">
        <v>92</v>
      </c>
      <c r="B2306">
        <v>20607679551</v>
      </c>
      <c r="C2306" t="s">
        <v>2038</v>
      </c>
      <c r="E2306" s="1">
        <v>45993</v>
      </c>
      <c r="F2306">
        <v>132.97999999999999</v>
      </c>
      <c r="G2306" t="s">
        <v>2099</v>
      </c>
      <c r="H2306">
        <f>_xlfn.XLOOKUP(E2306,K:K,L:L)</f>
        <v>19</v>
      </c>
    </row>
    <row r="2307" spans="1:8" x14ac:dyDescent="0.3">
      <c r="A2307" t="s">
        <v>92</v>
      </c>
      <c r="B2307">
        <v>10736183191</v>
      </c>
      <c r="C2307" t="s">
        <v>1814</v>
      </c>
      <c r="E2307" s="1">
        <v>45993</v>
      </c>
      <c r="F2307">
        <v>135.41999999999999</v>
      </c>
      <c r="G2307" t="s">
        <v>2099</v>
      </c>
      <c r="H2307">
        <f>_xlfn.XLOOKUP(E2307,K:K,L:L)</f>
        <v>19</v>
      </c>
    </row>
    <row r="2308" spans="1:8" x14ac:dyDescent="0.3">
      <c r="A2308" t="s">
        <v>92</v>
      </c>
      <c r="B2308">
        <v>20603570503</v>
      </c>
      <c r="C2308" t="s">
        <v>2045</v>
      </c>
      <c r="E2308" s="1">
        <v>45993</v>
      </c>
      <c r="F2308">
        <v>368.73</v>
      </c>
      <c r="G2308" t="s">
        <v>2099</v>
      </c>
      <c r="H2308">
        <f>_xlfn.XLOOKUP(E2308,K:K,L:L)</f>
        <v>19</v>
      </c>
    </row>
    <row r="2309" spans="1:8" x14ac:dyDescent="0.3">
      <c r="A2309" t="s">
        <v>6</v>
      </c>
      <c r="B2309">
        <v>10082604419</v>
      </c>
      <c r="C2309" t="s">
        <v>2072</v>
      </c>
      <c r="E2309" s="1">
        <v>45993</v>
      </c>
      <c r="F2309">
        <v>1042.01</v>
      </c>
      <c r="G2309" t="s">
        <v>2099</v>
      </c>
      <c r="H2309">
        <f>_xlfn.XLOOKUP(E2309,K:K,L:L)</f>
        <v>19</v>
      </c>
    </row>
    <row r="2310" spans="1:8" x14ac:dyDescent="0.3">
      <c r="A2310" t="s">
        <v>6</v>
      </c>
      <c r="B2310">
        <v>20601791570</v>
      </c>
      <c r="C2310" t="s">
        <v>2073</v>
      </c>
      <c r="E2310" s="1">
        <v>45993</v>
      </c>
      <c r="F2310">
        <v>1318.2399999999998</v>
      </c>
      <c r="G2310" t="s">
        <v>2099</v>
      </c>
      <c r="H2310">
        <f>_xlfn.XLOOKUP(E2310,K:K,L:L)</f>
        <v>19</v>
      </c>
    </row>
    <row r="2311" spans="1:8" x14ac:dyDescent="0.3">
      <c r="A2311" t="s">
        <v>92</v>
      </c>
      <c r="B2311">
        <v>20451716558</v>
      </c>
      <c r="C2311" t="s">
        <v>2046</v>
      </c>
      <c r="E2311" s="1">
        <v>45994</v>
      </c>
      <c r="F2311">
        <v>126.41</v>
      </c>
      <c r="G2311" t="s">
        <v>2099</v>
      </c>
      <c r="H2311">
        <f>_xlfn.XLOOKUP(E2311,K:K,L:L)</f>
        <v>20</v>
      </c>
    </row>
    <row r="2312" spans="1:8" x14ac:dyDescent="0.3">
      <c r="A2312" t="s">
        <v>92</v>
      </c>
      <c r="B2312">
        <v>20522409724</v>
      </c>
      <c r="C2312" t="s">
        <v>2047</v>
      </c>
      <c r="E2312" s="1">
        <v>45994</v>
      </c>
      <c r="F2312">
        <v>130.66</v>
      </c>
      <c r="G2312" t="s">
        <v>2099</v>
      </c>
      <c r="H2312">
        <f>_xlfn.XLOOKUP(E2312,K:K,L:L)</f>
        <v>20</v>
      </c>
    </row>
    <row r="2313" spans="1:8" x14ac:dyDescent="0.3">
      <c r="A2313" t="s">
        <v>92</v>
      </c>
      <c r="B2313">
        <v>20561166723</v>
      </c>
      <c r="C2313" t="s">
        <v>2048</v>
      </c>
      <c r="E2313" s="1">
        <v>45994</v>
      </c>
      <c r="F2313">
        <v>511.46999999999997</v>
      </c>
      <c r="G2313" t="s">
        <v>2099</v>
      </c>
      <c r="H2313">
        <f>_xlfn.XLOOKUP(E2313,K:K,L:L)</f>
        <v>20</v>
      </c>
    </row>
    <row r="2314" spans="1:8" x14ac:dyDescent="0.3">
      <c r="A2314" t="s">
        <v>92</v>
      </c>
      <c r="B2314">
        <v>20600510330</v>
      </c>
      <c r="C2314" t="s">
        <v>1844</v>
      </c>
      <c r="E2314" s="1">
        <v>45994</v>
      </c>
      <c r="F2314">
        <v>130.66</v>
      </c>
      <c r="G2314" t="s">
        <v>2099</v>
      </c>
      <c r="H2314">
        <f>_xlfn.XLOOKUP(E2314,K:K,L:L)</f>
        <v>20</v>
      </c>
    </row>
    <row r="2315" spans="1:8" x14ac:dyDescent="0.3">
      <c r="A2315" t="s">
        <v>92</v>
      </c>
      <c r="B2315">
        <v>20601662087</v>
      </c>
      <c r="C2315" t="s">
        <v>2049</v>
      </c>
      <c r="E2315" s="1">
        <v>45994</v>
      </c>
      <c r="F2315">
        <v>130.66</v>
      </c>
      <c r="G2315" t="s">
        <v>2099</v>
      </c>
      <c r="H2315">
        <f>_xlfn.XLOOKUP(E2315,K:K,L:L)</f>
        <v>20</v>
      </c>
    </row>
    <row r="2316" spans="1:8" x14ac:dyDescent="0.3">
      <c r="A2316" t="s">
        <v>92</v>
      </c>
      <c r="B2316">
        <v>20602573363</v>
      </c>
      <c r="C2316" t="s">
        <v>2050</v>
      </c>
      <c r="E2316" s="1">
        <v>45994</v>
      </c>
      <c r="F2316">
        <v>330.26</v>
      </c>
      <c r="G2316" t="s">
        <v>2099</v>
      </c>
      <c r="H2316">
        <f>_xlfn.XLOOKUP(E2316,K:K,L:L)</f>
        <v>20</v>
      </c>
    </row>
    <row r="2317" spans="1:8" x14ac:dyDescent="0.3">
      <c r="A2317" t="s">
        <v>92</v>
      </c>
      <c r="B2317">
        <v>20604501114</v>
      </c>
      <c r="C2317" t="s">
        <v>2051</v>
      </c>
      <c r="E2317" s="1">
        <v>45994</v>
      </c>
      <c r="F2317">
        <v>462.53000000000003</v>
      </c>
      <c r="G2317" t="s">
        <v>2099</v>
      </c>
      <c r="H2317">
        <f>_xlfn.XLOOKUP(E2317,K:K,L:L)</f>
        <v>20</v>
      </c>
    </row>
    <row r="2318" spans="1:8" x14ac:dyDescent="0.3">
      <c r="A2318" t="s">
        <v>92</v>
      </c>
      <c r="B2318">
        <v>20608138839</v>
      </c>
      <c r="C2318" t="s">
        <v>2052</v>
      </c>
      <c r="E2318" s="1">
        <v>45994</v>
      </c>
      <c r="F2318">
        <v>130.66</v>
      </c>
      <c r="G2318" t="s">
        <v>2099</v>
      </c>
      <c r="H2318">
        <f>_xlfn.XLOOKUP(E2318,K:K,L:L)</f>
        <v>20</v>
      </c>
    </row>
    <row r="2319" spans="1:8" x14ac:dyDescent="0.3">
      <c r="A2319" t="s">
        <v>92</v>
      </c>
      <c r="B2319">
        <v>20609079046</v>
      </c>
      <c r="C2319" t="s">
        <v>2053</v>
      </c>
      <c r="E2319" s="1">
        <v>45994</v>
      </c>
      <c r="F2319">
        <v>243.45999999999998</v>
      </c>
      <c r="G2319" t="s">
        <v>2099</v>
      </c>
      <c r="H2319">
        <f>_xlfn.XLOOKUP(E2319,K:K,L:L)</f>
        <v>20</v>
      </c>
    </row>
    <row r="2320" spans="1:8" x14ac:dyDescent="0.3">
      <c r="A2320" t="s">
        <v>92</v>
      </c>
      <c r="B2320">
        <v>20611131985</v>
      </c>
      <c r="C2320" t="s">
        <v>2054</v>
      </c>
      <c r="E2320" s="1">
        <v>45994</v>
      </c>
      <c r="F2320">
        <v>326.77999999999997</v>
      </c>
      <c r="G2320" t="s">
        <v>2099</v>
      </c>
      <c r="H2320">
        <f>_xlfn.XLOOKUP(E2320,K:K,L:L)</f>
        <v>20</v>
      </c>
    </row>
    <row r="2321" spans="1:8" x14ac:dyDescent="0.3">
      <c r="A2321" t="s">
        <v>92</v>
      </c>
      <c r="B2321">
        <v>20451716558</v>
      </c>
      <c r="C2321" t="s">
        <v>2046</v>
      </c>
      <c r="E2321" s="1">
        <v>45994</v>
      </c>
      <c r="F2321">
        <v>127.66</v>
      </c>
      <c r="G2321" t="s">
        <v>2099</v>
      </c>
      <c r="H2321">
        <f>_xlfn.XLOOKUP(E2321,K:K,L:L)</f>
        <v>20</v>
      </c>
    </row>
    <row r="2322" spans="1:8" x14ac:dyDescent="0.3">
      <c r="A2322" t="s">
        <v>92</v>
      </c>
      <c r="B2322">
        <v>20522409724</v>
      </c>
      <c r="C2322" t="s">
        <v>2047</v>
      </c>
      <c r="E2322" s="1">
        <v>45994</v>
      </c>
      <c r="F2322">
        <v>131.94999999999999</v>
      </c>
      <c r="G2322" t="s">
        <v>2099</v>
      </c>
      <c r="H2322">
        <f>_xlfn.XLOOKUP(E2322,K:K,L:L)</f>
        <v>20</v>
      </c>
    </row>
    <row r="2323" spans="1:8" x14ac:dyDescent="0.3">
      <c r="A2323" t="s">
        <v>92</v>
      </c>
      <c r="B2323">
        <v>20561166723</v>
      </c>
      <c r="C2323" t="s">
        <v>2048</v>
      </c>
      <c r="E2323" s="1">
        <v>45994</v>
      </c>
      <c r="F2323">
        <v>541.9</v>
      </c>
      <c r="G2323" t="s">
        <v>2099</v>
      </c>
      <c r="H2323">
        <f>_xlfn.XLOOKUP(E2323,K:K,L:L)</f>
        <v>20</v>
      </c>
    </row>
    <row r="2324" spans="1:8" x14ac:dyDescent="0.3">
      <c r="A2324" t="s">
        <v>92</v>
      </c>
      <c r="B2324">
        <v>20601662087</v>
      </c>
      <c r="C2324" t="s">
        <v>2049</v>
      </c>
      <c r="E2324" s="1">
        <v>45994</v>
      </c>
      <c r="F2324">
        <v>131.94999999999999</v>
      </c>
      <c r="G2324" t="s">
        <v>2099</v>
      </c>
      <c r="H2324">
        <f>_xlfn.XLOOKUP(E2324,K:K,L:L)</f>
        <v>20</v>
      </c>
    </row>
    <row r="2325" spans="1:8" x14ac:dyDescent="0.3">
      <c r="A2325" t="s">
        <v>92</v>
      </c>
      <c r="B2325">
        <v>20602573363</v>
      </c>
      <c r="C2325" t="s">
        <v>2050</v>
      </c>
      <c r="E2325" s="1">
        <v>45994</v>
      </c>
      <c r="F2325">
        <v>333.5</v>
      </c>
      <c r="G2325" t="s">
        <v>2099</v>
      </c>
      <c r="H2325">
        <f>_xlfn.XLOOKUP(E2325,K:K,L:L)</f>
        <v>20</v>
      </c>
    </row>
    <row r="2326" spans="1:8" x14ac:dyDescent="0.3">
      <c r="A2326" t="s">
        <v>92</v>
      </c>
      <c r="B2326">
        <v>20608138839</v>
      </c>
      <c r="C2326" t="s">
        <v>2052</v>
      </c>
      <c r="E2326" s="1">
        <v>45994</v>
      </c>
      <c r="F2326">
        <v>131.94999999999999</v>
      </c>
      <c r="G2326" t="s">
        <v>2099</v>
      </c>
      <c r="H2326">
        <f>_xlfn.XLOOKUP(E2326,K:K,L:L)</f>
        <v>20</v>
      </c>
    </row>
    <row r="2327" spans="1:8" x14ac:dyDescent="0.3">
      <c r="A2327" t="s">
        <v>92</v>
      </c>
      <c r="B2327">
        <v>20609079046</v>
      </c>
      <c r="C2327" t="s">
        <v>2053</v>
      </c>
      <c r="E2327" s="1">
        <v>45994</v>
      </c>
      <c r="F2327">
        <v>261.57</v>
      </c>
      <c r="G2327" t="s">
        <v>2099</v>
      </c>
      <c r="H2327">
        <f>_xlfn.XLOOKUP(E2327,K:K,L:L)</f>
        <v>20</v>
      </c>
    </row>
    <row r="2328" spans="1:8" x14ac:dyDescent="0.3">
      <c r="A2328" t="s">
        <v>92</v>
      </c>
      <c r="B2328">
        <v>20611870826</v>
      </c>
      <c r="C2328" t="s">
        <v>2040</v>
      </c>
      <c r="E2328" s="1">
        <v>45994</v>
      </c>
      <c r="F2328">
        <v>131.94999999999999</v>
      </c>
      <c r="G2328" t="s">
        <v>2099</v>
      </c>
      <c r="H2328">
        <f>_xlfn.XLOOKUP(E2328,K:K,L:L)</f>
        <v>20</v>
      </c>
    </row>
    <row r="2329" spans="1:8" x14ac:dyDescent="0.3">
      <c r="A2329" t="s">
        <v>92</v>
      </c>
      <c r="B2329">
        <v>20451716558</v>
      </c>
      <c r="C2329" t="s">
        <v>2046</v>
      </c>
      <c r="E2329" s="1">
        <v>45994</v>
      </c>
      <c r="F2329">
        <v>128.65</v>
      </c>
      <c r="G2329" t="s">
        <v>2099</v>
      </c>
      <c r="H2329">
        <f>_xlfn.XLOOKUP(E2329,K:K,L:L)</f>
        <v>20</v>
      </c>
    </row>
    <row r="2330" spans="1:8" x14ac:dyDescent="0.3">
      <c r="A2330" t="s">
        <v>92</v>
      </c>
      <c r="B2330">
        <v>20561166723</v>
      </c>
      <c r="C2330" t="s">
        <v>2048</v>
      </c>
      <c r="E2330" s="1">
        <v>45994</v>
      </c>
      <c r="F2330">
        <v>555.63</v>
      </c>
      <c r="G2330" t="s">
        <v>2099</v>
      </c>
      <c r="H2330">
        <f>_xlfn.XLOOKUP(E2330,K:K,L:L)</f>
        <v>20</v>
      </c>
    </row>
    <row r="2331" spans="1:8" x14ac:dyDescent="0.3">
      <c r="A2331" t="s">
        <v>92</v>
      </c>
      <c r="B2331">
        <v>20609079046</v>
      </c>
      <c r="C2331" t="s">
        <v>2053</v>
      </c>
      <c r="E2331" s="1">
        <v>45994</v>
      </c>
      <c r="F2331">
        <v>247.13</v>
      </c>
      <c r="G2331" t="s">
        <v>2099</v>
      </c>
      <c r="H2331">
        <f>_xlfn.XLOOKUP(E2331,K:K,L:L)</f>
        <v>20</v>
      </c>
    </row>
    <row r="2332" spans="1:8" x14ac:dyDescent="0.3">
      <c r="A2332" t="s">
        <v>92</v>
      </c>
      <c r="B2332">
        <v>20451716558</v>
      </c>
      <c r="C2332" t="s">
        <v>2046</v>
      </c>
      <c r="E2332" s="1">
        <v>45994</v>
      </c>
      <c r="F2332">
        <v>129.88999999999999</v>
      </c>
      <c r="G2332" t="s">
        <v>2099</v>
      </c>
      <c r="H2332">
        <f>_xlfn.XLOOKUP(E2332,K:K,L:L)</f>
        <v>20</v>
      </c>
    </row>
    <row r="2333" spans="1:8" x14ac:dyDescent="0.3">
      <c r="A2333" t="s">
        <v>92</v>
      </c>
      <c r="B2333">
        <v>20561166723</v>
      </c>
      <c r="C2333" t="s">
        <v>2048</v>
      </c>
      <c r="E2333" s="1">
        <v>45994</v>
      </c>
      <c r="F2333">
        <v>617.62</v>
      </c>
      <c r="G2333" t="s">
        <v>2099</v>
      </c>
      <c r="H2333">
        <f>_xlfn.XLOOKUP(E2333,K:K,L:L)</f>
        <v>20</v>
      </c>
    </row>
    <row r="2334" spans="1:8" x14ac:dyDescent="0.3">
      <c r="A2334" t="s">
        <v>92</v>
      </c>
      <c r="B2334">
        <v>20602573363</v>
      </c>
      <c r="C2334" t="s">
        <v>2050</v>
      </c>
      <c r="E2334" s="1">
        <v>45994</v>
      </c>
      <c r="F2334">
        <v>339.34</v>
      </c>
      <c r="G2334" t="s">
        <v>2099</v>
      </c>
      <c r="H2334">
        <f>_xlfn.XLOOKUP(E2334,K:K,L:L)</f>
        <v>20</v>
      </c>
    </row>
    <row r="2335" spans="1:8" x14ac:dyDescent="0.3">
      <c r="A2335" t="s">
        <v>92</v>
      </c>
      <c r="B2335">
        <v>20609079046</v>
      </c>
      <c r="C2335" t="s">
        <v>2053</v>
      </c>
      <c r="E2335" s="1">
        <v>45994</v>
      </c>
      <c r="F2335">
        <v>249.51</v>
      </c>
      <c r="G2335" t="s">
        <v>2099</v>
      </c>
      <c r="H2335">
        <f>_xlfn.XLOOKUP(E2335,K:K,L:L)</f>
        <v>20</v>
      </c>
    </row>
    <row r="2336" spans="1:8" x14ac:dyDescent="0.3">
      <c r="A2336" t="s">
        <v>92</v>
      </c>
      <c r="B2336">
        <v>20451716558</v>
      </c>
      <c r="C2336" t="s">
        <v>2046</v>
      </c>
      <c r="E2336" s="1">
        <v>45994</v>
      </c>
      <c r="F2336">
        <v>131.01</v>
      </c>
      <c r="G2336" t="s">
        <v>2099</v>
      </c>
      <c r="H2336">
        <f>_xlfn.XLOOKUP(E2336,K:K,L:L)</f>
        <v>20</v>
      </c>
    </row>
    <row r="2337" spans="1:8" x14ac:dyDescent="0.3">
      <c r="A2337" t="s">
        <v>92</v>
      </c>
      <c r="B2337">
        <v>20561166723</v>
      </c>
      <c r="C2337" t="s">
        <v>2048</v>
      </c>
      <c r="E2337" s="1">
        <v>45994</v>
      </c>
      <c r="F2337">
        <v>783.8900000000001</v>
      </c>
      <c r="G2337" t="s">
        <v>2099</v>
      </c>
      <c r="H2337">
        <f>_xlfn.XLOOKUP(E2337,K:K,L:L)</f>
        <v>20</v>
      </c>
    </row>
    <row r="2338" spans="1:8" x14ac:dyDescent="0.3">
      <c r="A2338" t="s">
        <v>92</v>
      </c>
      <c r="B2338">
        <v>20602573363</v>
      </c>
      <c r="C2338" t="s">
        <v>2050</v>
      </c>
      <c r="E2338" s="1">
        <v>45994</v>
      </c>
      <c r="F2338">
        <v>342.26</v>
      </c>
      <c r="G2338" t="s">
        <v>2099</v>
      </c>
      <c r="H2338">
        <f>_xlfn.XLOOKUP(E2338,K:K,L:L)</f>
        <v>20</v>
      </c>
    </row>
    <row r="2339" spans="1:8" x14ac:dyDescent="0.3">
      <c r="A2339" t="s">
        <v>92</v>
      </c>
      <c r="B2339">
        <v>20451716558</v>
      </c>
      <c r="C2339" t="s">
        <v>2046</v>
      </c>
      <c r="E2339" s="1">
        <v>45994</v>
      </c>
      <c r="F2339">
        <v>132.13</v>
      </c>
      <c r="G2339" t="s">
        <v>2099</v>
      </c>
      <c r="H2339">
        <f>_xlfn.XLOOKUP(E2339,K:K,L:L)</f>
        <v>20</v>
      </c>
    </row>
    <row r="2340" spans="1:8" x14ac:dyDescent="0.3">
      <c r="A2340" t="s">
        <v>92</v>
      </c>
      <c r="B2340">
        <v>20561166723</v>
      </c>
      <c r="C2340" t="s">
        <v>2048</v>
      </c>
      <c r="E2340" s="1">
        <v>45994</v>
      </c>
      <c r="F2340">
        <v>625.83999999999992</v>
      </c>
      <c r="G2340" t="s">
        <v>2099</v>
      </c>
      <c r="H2340">
        <f>_xlfn.XLOOKUP(E2340,K:K,L:L)</f>
        <v>20</v>
      </c>
    </row>
    <row r="2341" spans="1:8" x14ac:dyDescent="0.3">
      <c r="A2341" t="s">
        <v>92</v>
      </c>
      <c r="B2341">
        <v>20602573363</v>
      </c>
      <c r="C2341" t="s">
        <v>2050</v>
      </c>
      <c r="E2341" s="1">
        <v>45994</v>
      </c>
      <c r="F2341">
        <v>345.19</v>
      </c>
      <c r="G2341" t="s">
        <v>2099</v>
      </c>
      <c r="H2341">
        <f>_xlfn.XLOOKUP(E2341,K:K,L:L)</f>
        <v>20</v>
      </c>
    </row>
    <row r="2342" spans="1:8" x14ac:dyDescent="0.3">
      <c r="A2342" t="s">
        <v>6</v>
      </c>
      <c r="B2342">
        <v>20601333342</v>
      </c>
      <c r="C2342" t="s">
        <v>2074</v>
      </c>
      <c r="E2342" s="1">
        <v>45994</v>
      </c>
      <c r="F2342">
        <v>171.48000000000002</v>
      </c>
      <c r="G2342" t="s">
        <v>2099</v>
      </c>
      <c r="H2342">
        <f>_xlfn.XLOOKUP(E2342,K:K,L:L)</f>
        <v>20</v>
      </c>
    </row>
    <row r="2343" spans="1:8" x14ac:dyDescent="0.3">
      <c r="A2343" t="s">
        <v>6</v>
      </c>
      <c r="B2343">
        <v>20604001626</v>
      </c>
      <c r="C2343" t="s">
        <v>2075</v>
      </c>
      <c r="E2343" s="1">
        <v>45994</v>
      </c>
      <c r="F2343">
        <v>175.15</v>
      </c>
      <c r="G2343" t="s">
        <v>2099</v>
      </c>
      <c r="H2343">
        <f>_xlfn.XLOOKUP(E2343,K:K,L:L)</f>
        <v>20</v>
      </c>
    </row>
    <row r="2344" spans="1:8" x14ac:dyDescent="0.3">
      <c r="A2344" t="s">
        <v>6</v>
      </c>
      <c r="B2344">
        <v>20611590149</v>
      </c>
      <c r="C2344" t="s">
        <v>2076</v>
      </c>
      <c r="E2344" s="1">
        <v>45996</v>
      </c>
      <c r="F2344">
        <v>65.400000000000006</v>
      </c>
      <c r="G2344" t="s">
        <v>2099</v>
      </c>
      <c r="H2344">
        <f>_xlfn.XLOOKUP(E2344,K:K,L:L)</f>
        <v>22</v>
      </c>
    </row>
    <row r="2345" spans="1:8" x14ac:dyDescent="0.3">
      <c r="A2345" t="s">
        <v>6</v>
      </c>
      <c r="B2345">
        <v>20603035772</v>
      </c>
      <c r="C2345" t="s">
        <v>2077</v>
      </c>
      <c r="E2345" s="1">
        <v>45996</v>
      </c>
      <c r="F2345">
        <v>305.70999999999998</v>
      </c>
      <c r="G2345" t="s">
        <v>2099</v>
      </c>
      <c r="H2345">
        <f>_xlfn.XLOOKUP(E2345,K:K,L:L)</f>
        <v>22</v>
      </c>
    </row>
    <row r="2346" spans="1:8" x14ac:dyDescent="0.3">
      <c r="A2346" t="s">
        <v>6</v>
      </c>
      <c r="B2346">
        <v>20606643978</v>
      </c>
      <c r="C2346" t="s">
        <v>2078</v>
      </c>
      <c r="E2346" s="1">
        <v>45999</v>
      </c>
      <c r="F2346">
        <v>130.92000000000002</v>
      </c>
      <c r="G2346" t="s">
        <v>2099</v>
      </c>
      <c r="H2346">
        <f>_xlfn.XLOOKUP(E2346,K:K,L:L)</f>
        <v>1</v>
      </c>
    </row>
  </sheetData>
  <autoFilter ref="A1:H1154" xr:uid="{C0AE8C6C-60E4-4176-991E-A813CA923611}">
    <sortState xmlns:xlrd2="http://schemas.microsoft.com/office/spreadsheetml/2017/richdata2" ref="A2:H2346">
      <sortCondition ref="E1:E1154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AEAC6-2A68-4B18-96E1-16F9B2E4F060}">
  <dimension ref="A3:C55"/>
  <sheetViews>
    <sheetView workbookViewId="0">
      <selection activeCell="B18" sqref="B18"/>
    </sheetView>
  </sheetViews>
  <sheetFormatPr baseColWidth="10" defaultRowHeight="14.4" x14ac:dyDescent="0.3"/>
  <cols>
    <col min="1" max="1" width="17.109375" bestFit="1" customWidth="1"/>
    <col min="2" max="2" width="22.109375" bestFit="1" customWidth="1"/>
    <col min="3" max="3" width="18.33203125" bestFit="1" customWidth="1"/>
    <col min="4" max="23" width="6.33203125" bestFit="1" customWidth="1"/>
    <col min="24" max="32" width="5.5546875" bestFit="1" customWidth="1"/>
    <col min="33" max="53" width="6.5546875" bestFit="1" customWidth="1"/>
    <col min="54" max="55" width="6.109375" bestFit="1" customWidth="1"/>
    <col min="56" max="56" width="11.88671875" bestFit="1" customWidth="1"/>
    <col min="57" max="57" width="8" bestFit="1" customWidth="1"/>
    <col min="58" max="58" width="9.109375" bestFit="1" customWidth="1"/>
    <col min="59" max="59" width="11.88671875" bestFit="1" customWidth="1"/>
  </cols>
  <sheetData>
    <row r="3" spans="1:3" x14ac:dyDescent="0.3">
      <c r="A3" s="2" t="s">
        <v>701</v>
      </c>
      <c r="B3" t="s">
        <v>1531</v>
      </c>
      <c r="C3" t="s">
        <v>709</v>
      </c>
    </row>
    <row r="4" spans="1:3" x14ac:dyDescent="0.3">
      <c r="A4" s="3" t="s">
        <v>1505</v>
      </c>
      <c r="B4" s="4">
        <v>23</v>
      </c>
      <c r="C4" s="4">
        <v>7028.14</v>
      </c>
    </row>
    <row r="5" spans="1:3" x14ac:dyDescent="0.3">
      <c r="A5" s="3" t="s">
        <v>1506</v>
      </c>
      <c r="B5" s="4">
        <v>46</v>
      </c>
      <c r="C5" s="4">
        <v>22665.600000000002</v>
      </c>
    </row>
    <row r="6" spans="1:3" x14ac:dyDescent="0.3">
      <c r="A6" s="3" t="s">
        <v>1507</v>
      </c>
      <c r="B6" s="4">
        <v>49</v>
      </c>
      <c r="C6" s="4">
        <v>24138.450000000004</v>
      </c>
    </row>
    <row r="7" spans="1:3" x14ac:dyDescent="0.3">
      <c r="A7" s="3" t="s">
        <v>1508</v>
      </c>
      <c r="B7" s="4">
        <v>44</v>
      </c>
      <c r="C7" s="4">
        <v>23324.109999999993</v>
      </c>
    </row>
    <row r="8" spans="1:3" x14ac:dyDescent="0.3">
      <c r="A8" s="3" t="s">
        <v>1509</v>
      </c>
      <c r="B8" s="4">
        <v>39</v>
      </c>
      <c r="C8" s="4">
        <v>32190.779999999988</v>
      </c>
    </row>
    <row r="9" spans="1:3" x14ac:dyDescent="0.3">
      <c r="A9" s="3" t="s">
        <v>1510</v>
      </c>
      <c r="B9" s="4">
        <v>4</v>
      </c>
      <c r="C9" s="4">
        <v>944.92</v>
      </c>
    </row>
    <row r="10" spans="1:3" x14ac:dyDescent="0.3">
      <c r="A10" s="3" t="s">
        <v>1511</v>
      </c>
      <c r="B10" s="4">
        <v>5</v>
      </c>
      <c r="C10" s="4">
        <v>1301.9599999999998</v>
      </c>
    </row>
    <row r="11" spans="1:3" x14ac:dyDescent="0.3">
      <c r="A11" s="3" t="s">
        <v>1512</v>
      </c>
      <c r="B11" s="4">
        <v>19</v>
      </c>
      <c r="C11" s="4">
        <v>13028.679999999997</v>
      </c>
    </row>
    <row r="12" spans="1:3" x14ac:dyDescent="0.3">
      <c r="A12" s="3" t="s">
        <v>1513</v>
      </c>
      <c r="B12" s="4">
        <v>26</v>
      </c>
      <c r="C12" s="4">
        <v>17544.099999999999</v>
      </c>
    </row>
    <row r="13" spans="1:3" x14ac:dyDescent="0.3">
      <c r="A13" s="3" t="s">
        <v>1514</v>
      </c>
      <c r="B13" s="4">
        <v>45</v>
      </c>
      <c r="C13" s="4">
        <v>25059.62</v>
      </c>
    </row>
    <row r="14" spans="1:3" x14ac:dyDescent="0.3">
      <c r="A14" s="3" t="s">
        <v>1515</v>
      </c>
      <c r="B14" s="4">
        <v>33</v>
      </c>
      <c r="C14" s="4">
        <v>14925.390000000001</v>
      </c>
    </row>
    <row r="15" spans="1:3" x14ac:dyDescent="0.3">
      <c r="A15" s="3" t="s">
        <v>1516</v>
      </c>
      <c r="B15" s="4">
        <v>23</v>
      </c>
      <c r="C15" s="4">
        <v>40547.550000000003</v>
      </c>
    </row>
    <row r="16" spans="1:3" x14ac:dyDescent="0.3">
      <c r="A16" s="3" t="s">
        <v>1517</v>
      </c>
      <c r="B16" s="4">
        <v>13</v>
      </c>
      <c r="C16" s="4">
        <v>9846.44</v>
      </c>
    </row>
    <row r="17" spans="1:3" x14ac:dyDescent="0.3">
      <c r="A17" s="3" t="s">
        <v>1518</v>
      </c>
      <c r="B17" s="4">
        <v>1</v>
      </c>
      <c r="C17" s="4">
        <v>261.72000000000003</v>
      </c>
    </row>
    <row r="18" spans="1:3" x14ac:dyDescent="0.3">
      <c r="A18" s="3" t="s">
        <v>1519</v>
      </c>
      <c r="B18" s="4">
        <v>14</v>
      </c>
      <c r="C18" s="4">
        <v>6165.6399999999994</v>
      </c>
    </row>
    <row r="19" spans="1:3" x14ac:dyDescent="0.3">
      <c r="A19" s="3" t="s">
        <v>1520</v>
      </c>
      <c r="B19" s="4">
        <v>23</v>
      </c>
      <c r="C19" s="4">
        <v>11526.39</v>
      </c>
    </row>
    <row r="20" spans="1:3" x14ac:dyDescent="0.3">
      <c r="A20" s="3" t="s">
        <v>1521</v>
      </c>
      <c r="B20" s="4">
        <v>21</v>
      </c>
      <c r="C20" s="4">
        <v>13165.15</v>
      </c>
    </row>
    <row r="21" spans="1:3" x14ac:dyDescent="0.3">
      <c r="A21" s="3" t="s">
        <v>1522</v>
      </c>
      <c r="B21" s="4">
        <v>26</v>
      </c>
      <c r="C21" s="4">
        <v>10654.599999999999</v>
      </c>
    </row>
    <row r="22" spans="1:3" x14ac:dyDescent="0.3">
      <c r="A22" s="3" t="s">
        <v>1523</v>
      </c>
      <c r="B22" s="4">
        <v>22</v>
      </c>
      <c r="C22" s="4">
        <v>11325.130000000001</v>
      </c>
    </row>
    <row r="23" spans="1:3" x14ac:dyDescent="0.3">
      <c r="A23" s="3" t="s">
        <v>1524</v>
      </c>
      <c r="B23" s="4">
        <v>9</v>
      </c>
      <c r="C23" s="4">
        <v>86203.489999999991</v>
      </c>
    </row>
    <row r="24" spans="1:3" x14ac:dyDescent="0.3">
      <c r="A24" s="3" t="s">
        <v>1525</v>
      </c>
      <c r="B24" s="4">
        <v>21</v>
      </c>
      <c r="C24" s="4">
        <v>36950.340000000004</v>
      </c>
    </row>
    <row r="25" spans="1:3" x14ac:dyDescent="0.3">
      <c r="A25" s="3" t="s">
        <v>1526</v>
      </c>
      <c r="B25" s="4">
        <v>21</v>
      </c>
      <c r="C25" s="4">
        <v>29537.409999999996</v>
      </c>
    </row>
    <row r="26" spans="1:3" x14ac:dyDescent="0.3">
      <c r="A26" s="3" t="s">
        <v>1527</v>
      </c>
      <c r="B26" s="4">
        <v>21</v>
      </c>
      <c r="C26" s="4">
        <v>8786.5799999999981</v>
      </c>
    </row>
    <row r="27" spans="1:3" x14ac:dyDescent="0.3">
      <c r="A27" s="3" t="s">
        <v>1528</v>
      </c>
      <c r="B27" s="4">
        <v>9</v>
      </c>
      <c r="C27" s="4">
        <v>2557.1499999999996</v>
      </c>
    </row>
    <row r="28" spans="1:3" x14ac:dyDescent="0.3">
      <c r="A28" s="3" t="s">
        <v>704</v>
      </c>
      <c r="B28" s="4">
        <v>18</v>
      </c>
      <c r="C28" s="4">
        <v>39296.530000000013</v>
      </c>
    </row>
    <row r="29" spans="1:3" x14ac:dyDescent="0.3">
      <c r="A29" s="3" t="s">
        <v>705</v>
      </c>
      <c r="B29" s="4">
        <v>10</v>
      </c>
      <c r="C29" s="4">
        <v>3470.2799999999997</v>
      </c>
    </row>
    <row r="30" spans="1:3" x14ac:dyDescent="0.3">
      <c r="A30" s="3" t="s">
        <v>1348</v>
      </c>
      <c r="B30" s="4">
        <v>1</v>
      </c>
      <c r="C30" s="4">
        <v>229.45000000000002</v>
      </c>
    </row>
    <row r="31" spans="1:3" x14ac:dyDescent="0.3">
      <c r="A31" s="3" t="s">
        <v>706</v>
      </c>
      <c r="B31" s="4">
        <v>24</v>
      </c>
      <c r="C31" s="4">
        <v>14706.049999999997</v>
      </c>
    </row>
    <row r="32" spans="1:3" x14ac:dyDescent="0.3">
      <c r="A32" s="3" t="s">
        <v>707</v>
      </c>
      <c r="B32" s="4">
        <v>44</v>
      </c>
      <c r="C32" s="4">
        <v>35626.649999999994</v>
      </c>
    </row>
    <row r="33" spans="1:3" x14ac:dyDescent="0.3">
      <c r="A33" s="3" t="s">
        <v>1349</v>
      </c>
      <c r="B33" s="4">
        <v>7</v>
      </c>
      <c r="C33" s="4">
        <v>6721.43</v>
      </c>
    </row>
    <row r="34" spans="1:3" x14ac:dyDescent="0.3">
      <c r="A34" s="3" t="s">
        <v>708</v>
      </c>
      <c r="B34" s="4">
        <v>36</v>
      </c>
      <c r="C34" s="4">
        <v>21623.65</v>
      </c>
    </row>
    <row r="35" spans="1:3" x14ac:dyDescent="0.3">
      <c r="A35" s="3" t="s">
        <v>1350</v>
      </c>
      <c r="B35" s="4">
        <v>45</v>
      </c>
      <c r="C35" s="4">
        <v>56087.340000000004</v>
      </c>
    </row>
    <row r="36" spans="1:3" x14ac:dyDescent="0.3">
      <c r="A36" s="3" t="s">
        <v>1351</v>
      </c>
      <c r="B36" s="4">
        <v>19</v>
      </c>
      <c r="C36" s="4">
        <v>6562.73</v>
      </c>
    </row>
    <row r="37" spans="1:3" x14ac:dyDescent="0.3">
      <c r="A37" s="3" t="s">
        <v>1352</v>
      </c>
      <c r="B37" s="4">
        <v>3</v>
      </c>
      <c r="C37" s="4">
        <v>2682.9300000000003</v>
      </c>
    </row>
    <row r="38" spans="1:3" x14ac:dyDescent="0.3">
      <c r="A38" s="3" t="s">
        <v>1353</v>
      </c>
      <c r="B38" s="4">
        <v>23</v>
      </c>
      <c r="C38" s="4">
        <v>19346.329999999998</v>
      </c>
    </row>
    <row r="39" spans="1:3" x14ac:dyDescent="0.3">
      <c r="A39" s="3" t="s">
        <v>1354</v>
      </c>
      <c r="B39" s="4">
        <v>26</v>
      </c>
      <c r="C39" s="4">
        <v>25410.940000000002</v>
      </c>
    </row>
    <row r="40" spans="1:3" x14ac:dyDescent="0.3">
      <c r="A40" s="3" t="s">
        <v>1355</v>
      </c>
      <c r="B40" s="4">
        <v>40</v>
      </c>
      <c r="C40" s="4">
        <v>26511.91</v>
      </c>
    </row>
    <row r="41" spans="1:3" x14ac:dyDescent="0.3">
      <c r="A41" s="3" t="s">
        <v>1356</v>
      </c>
      <c r="B41" s="4">
        <v>61</v>
      </c>
      <c r="C41" s="4">
        <v>58719.119999999988</v>
      </c>
    </row>
    <row r="42" spans="1:3" x14ac:dyDescent="0.3">
      <c r="A42" s="3" t="s">
        <v>1357</v>
      </c>
      <c r="B42" s="4">
        <v>27</v>
      </c>
      <c r="C42" s="4">
        <v>19721.869999999995</v>
      </c>
    </row>
    <row r="43" spans="1:3" x14ac:dyDescent="0.3">
      <c r="A43" s="3" t="s">
        <v>1358</v>
      </c>
      <c r="B43" s="4">
        <v>12</v>
      </c>
      <c r="C43" s="4">
        <v>9094.35</v>
      </c>
    </row>
    <row r="44" spans="1:3" x14ac:dyDescent="0.3">
      <c r="A44" s="3" t="s">
        <v>1359</v>
      </c>
      <c r="B44" s="4">
        <v>2</v>
      </c>
      <c r="C44" s="4">
        <v>523.27</v>
      </c>
    </row>
    <row r="45" spans="1:3" x14ac:dyDescent="0.3">
      <c r="A45" s="3" t="s">
        <v>1360</v>
      </c>
      <c r="B45" s="4">
        <v>26</v>
      </c>
      <c r="C45" s="4">
        <v>20335.22</v>
      </c>
    </row>
    <row r="46" spans="1:3" x14ac:dyDescent="0.3">
      <c r="A46" s="3" t="s">
        <v>1361</v>
      </c>
      <c r="B46" s="4">
        <v>22</v>
      </c>
      <c r="C46" s="4">
        <v>16717.039999999997</v>
      </c>
    </row>
    <row r="47" spans="1:3" x14ac:dyDescent="0.3">
      <c r="A47" s="3" t="s">
        <v>1362</v>
      </c>
      <c r="B47" s="4">
        <v>23</v>
      </c>
      <c r="C47" s="4">
        <v>9155.9800000000014</v>
      </c>
    </row>
    <row r="48" spans="1:3" x14ac:dyDescent="0.3">
      <c r="A48" s="3" t="s">
        <v>1363</v>
      </c>
      <c r="B48" s="4">
        <v>23</v>
      </c>
      <c r="C48" s="4">
        <v>14312.799999999997</v>
      </c>
    </row>
    <row r="49" spans="1:3" x14ac:dyDescent="0.3">
      <c r="A49" s="3" t="s">
        <v>1364</v>
      </c>
      <c r="B49" s="4">
        <v>30</v>
      </c>
      <c r="C49" s="4">
        <v>17593.520000000004</v>
      </c>
    </row>
    <row r="50" spans="1:3" x14ac:dyDescent="0.3">
      <c r="A50" s="3" t="s">
        <v>1365</v>
      </c>
      <c r="B50" s="4">
        <v>6</v>
      </c>
      <c r="C50" s="4">
        <v>3206.42</v>
      </c>
    </row>
    <row r="51" spans="1:3" x14ac:dyDescent="0.3">
      <c r="A51" s="3" t="s">
        <v>1366</v>
      </c>
      <c r="B51" s="4">
        <v>22</v>
      </c>
      <c r="C51" s="4">
        <v>14624.430000000004</v>
      </c>
    </row>
    <row r="52" spans="1:3" x14ac:dyDescent="0.3">
      <c r="A52" s="3" t="s">
        <v>1367</v>
      </c>
      <c r="B52" s="4">
        <v>19</v>
      </c>
      <c r="C52" s="4">
        <v>18876.530000000002</v>
      </c>
    </row>
    <row r="53" spans="1:3" x14ac:dyDescent="0.3">
      <c r="A53" s="3" t="s">
        <v>1368</v>
      </c>
      <c r="B53" s="4">
        <v>19</v>
      </c>
      <c r="C53" s="4">
        <v>9942.41</v>
      </c>
    </row>
    <row r="54" spans="1:3" x14ac:dyDescent="0.3">
      <c r="A54" s="3" t="s">
        <v>1369</v>
      </c>
      <c r="B54" s="4">
        <v>8</v>
      </c>
      <c r="C54" s="4">
        <v>4737.3</v>
      </c>
    </row>
    <row r="55" spans="1:3" x14ac:dyDescent="0.3">
      <c r="A55" s="3" t="s">
        <v>702</v>
      </c>
      <c r="B55" s="4">
        <v>1153</v>
      </c>
      <c r="C55" s="4">
        <v>925515.81999999902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5C21-9F9C-4C9B-8424-909BC850AF8B}">
  <dimension ref="A1:B33"/>
  <sheetViews>
    <sheetView workbookViewId="0">
      <selection activeCell="A9" sqref="A9"/>
    </sheetView>
  </sheetViews>
  <sheetFormatPr baseColWidth="10" defaultRowHeight="14.4" x14ac:dyDescent="0.3"/>
  <cols>
    <col min="1" max="1" width="16.5546875" bestFit="1" customWidth="1"/>
    <col min="2" max="2" width="18.33203125" bestFit="1" customWidth="1"/>
  </cols>
  <sheetData>
    <row r="1" spans="1:2" x14ac:dyDescent="0.3">
      <c r="A1" s="2" t="s">
        <v>1485</v>
      </c>
      <c r="B1" t="s">
        <v>1436</v>
      </c>
    </row>
    <row r="3" spans="1:2" x14ac:dyDescent="0.3">
      <c r="A3" s="2" t="s">
        <v>701</v>
      </c>
      <c r="B3" t="s">
        <v>709</v>
      </c>
    </row>
    <row r="4" spans="1:2" x14ac:dyDescent="0.3">
      <c r="A4" s="3" t="s">
        <v>1505</v>
      </c>
      <c r="B4" s="4">
        <v>7028.14</v>
      </c>
    </row>
    <row r="5" spans="1:2" x14ac:dyDescent="0.3">
      <c r="A5" s="3" t="s">
        <v>1506</v>
      </c>
      <c r="B5" s="4">
        <v>22665.600000000002</v>
      </c>
    </row>
    <row r="6" spans="1:2" x14ac:dyDescent="0.3">
      <c r="A6" s="3" t="s">
        <v>1507</v>
      </c>
      <c r="B6" s="4">
        <v>24138.450000000004</v>
      </c>
    </row>
    <row r="7" spans="1:2" x14ac:dyDescent="0.3">
      <c r="A7" s="3" t="s">
        <v>1508</v>
      </c>
      <c r="B7" s="4">
        <v>23324.109999999993</v>
      </c>
    </row>
    <row r="8" spans="1:2" x14ac:dyDescent="0.3">
      <c r="A8" s="3" t="s">
        <v>1509</v>
      </c>
      <c r="B8" s="4">
        <v>32190.779999999988</v>
      </c>
    </row>
    <row r="9" spans="1:2" x14ac:dyDescent="0.3">
      <c r="A9" s="3" t="s">
        <v>1510</v>
      </c>
      <c r="B9" s="4">
        <v>944.92</v>
      </c>
    </row>
    <row r="10" spans="1:2" x14ac:dyDescent="0.3">
      <c r="A10" s="3" t="s">
        <v>1511</v>
      </c>
      <c r="B10" s="4">
        <v>1301.9599999999998</v>
      </c>
    </row>
    <row r="11" spans="1:2" x14ac:dyDescent="0.3">
      <c r="A11" s="3" t="s">
        <v>1512</v>
      </c>
      <c r="B11" s="4">
        <v>13028.679999999997</v>
      </c>
    </row>
    <row r="12" spans="1:2" x14ac:dyDescent="0.3">
      <c r="A12" s="3" t="s">
        <v>1513</v>
      </c>
      <c r="B12" s="4">
        <v>17544.099999999999</v>
      </c>
    </row>
    <row r="13" spans="1:2" x14ac:dyDescent="0.3">
      <c r="A13" s="3" t="s">
        <v>1514</v>
      </c>
      <c r="B13" s="4">
        <v>25059.62</v>
      </c>
    </row>
    <row r="14" spans="1:2" x14ac:dyDescent="0.3">
      <c r="A14" s="3" t="s">
        <v>1515</v>
      </c>
      <c r="B14" s="4">
        <v>14925.390000000001</v>
      </c>
    </row>
    <row r="15" spans="1:2" x14ac:dyDescent="0.3">
      <c r="A15" s="3" t="s">
        <v>1516</v>
      </c>
      <c r="B15" s="4">
        <v>40547.550000000003</v>
      </c>
    </row>
    <row r="16" spans="1:2" x14ac:dyDescent="0.3">
      <c r="A16" s="3" t="s">
        <v>1517</v>
      </c>
      <c r="B16" s="4">
        <v>9846.44</v>
      </c>
    </row>
    <row r="17" spans="1:2" x14ac:dyDescent="0.3">
      <c r="A17" s="3" t="s">
        <v>1518</v>
      </c>
      <c r="B17" s="4">
        <v>261.72000000000003</v>
      </c>
    </row>
    <row r="18" spans="1:2" x14ac:dyDescent="0.3">
      <c r="A18" s="3" t="s">
        <v>1519</v>
      </c>
      <c r="B18" s="4">
        <v>6165.6399999999994</v>
      </c>
    </row>
    <row r="19" spans="1:2" x14ac:dyDescent="0.3">
      <c r="A19" s="3" t="s">
        <v>1520</v>
      </c>
      <c r="B19" s="4">
        <v>11526.39</v>
      </c>
    </row>
    <row r="20" spans="1:2" x14ac:dyDescent="0.3">
      <c r="A20" s="3" t="s">
        <v>1521</v>
      </c>
      <c r="B20" s="4">
        <v>13165.15</v>
      </c>
    </row>
    <row r="21" spans="1:2" x14ac:dyDescent="0.3">
      <c r="A21" s="3" t="s">
        <v>1522</v>
      </c>
      <c r="B21" s="4">
        <v>10654.599999999999</v>
      </c>
    </row>
    <row r="22" spans="1:2" x14ac:dyDescent="0.3">
      <c r="A22" s="3" t="s">
        <v>1523</v>
      </c>
      <c r="B22" s="4">
        <v>11325.130000000001</v>
      </c>
    </row>
    <row r="23" spans="1:2" x14ac:dyDescent="0.3">
      <c r="A23" s="3" t="s">
        <v>1524</v>
      </c>
      <c r="B23" s="4">
        <v>86203.489999999991</v>
      </c>
    </row>
    <row r="24" spans="1:2" x14ac:dyDescent="0.3">
      <c r="A24" s="3" t="s">
        <v>1525</v>
      </c>
      <c r="B24" s="4">
        <v>36950.340000000004</v>
      </c>
    </row>
    <row r="25" spans="1:2" x14ac:dyDescent="0.3">
      <c r="A25" s="3" t="s">
        <v>1526</v>
      </c>
      <c r="B25" s="4">
        <v>29537.409999999996</v>
      </c>
    </row>
    <row r="26" spans="1:2" x14ac:dyDescent="0.3">
      <c r="A26" s="3" t="s">
        <v>1527</v>
      </c>
      <c r="B26" s="4">
        <v>8786.5799999999981</v>
      </c>
    </row>
    <row r="27" spans="1:2" x14ac:dyDescent="0.3">
      <c r="A27" s="3" t="s">
        <v>1528</v>
      </c>
      <c r="B27" s="4">
        <v>2557.1499999999996</v>
      </c>
    </row>
    <row r="28" spans="1:2" x14ac:dyDescent="0.3">
      <c r="A28" s="3" t="s">
        <v>704</v>
      </c>
      <c r="B28" s="4">
        <v>37352.100000000006</v>
      </c>
    </row>
    <row r="29" spans="1:2" x14ac:dyDescent="0.3">
      <c r="A29" s="3" t="s">
        <v>705</v>
      </c>
      <c r="B29" s="4">
        <v>1161.1000000000001</v>
      </c>
    </row>
    <row r="30" spans="1:2" x14ac:dyDescent="0.3">
      <c r="A30" s="3" t="s">
        <v>706</v>
      </c>
      <c r="B30" s="4">
        <v>1172.78</v>
      </c>
    </row>
    <row r="31" spans="1:2" x14ac:dyDescent="0.3">
      <c r="A31" s="3" t="s">
        <v>707</v>
      </c>
      <c r="B31" s="4">
        <v>17699.419999999998</v>
      </c>
    </row>
    <row r="32" spans="1:2" x14ac:dyDescent="0.3">
      <c r="A32" s="3" t="s">
        <v>708</v>
      </c>
      <c r="B32" s="4">
        <v>1604.3799999999999</v>
      </c>
    </row>
    <row r="33" spans="1:2" x14ac:dyDescent="0.3">
      <c r="A33" s="3" t="s">
        <v>702</v>
      </c>
      <c r="B33" s="4">
        <v>508669.12000000005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PLANILLAS</vt:lpstr>
      <vt:lpstr>planillasss</vt:lpstr>
      <vt:lpstr>GASTOS ADMIN</vt:lpstr>
      <vt:lpstr>TIMMING NOVIEMBRE</vt:lpstr>
      <vt:lpstr>GASTOS DIC</vt:lpstr>
      <vt:lpstr>CUADRO GAST</vt:lpstr>
      <vt:lpstr>PLANILLAS DIC</vt:lpstr>
      <vt:lpstr>CUADRO PLAN</vt:lpstr>
      <vt:lpstr>Hoja2</vt:lpstr>
      <vt:lpstr>Hoja12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 Mariscal Almeyda</dc:creator>
  <cp:lastModifiedBy>Alexander  Mariscal Almeyda</cp:lastModifiedBy>
  <dcterms:created xsi:type="dcterms:W3CDTF">2025-11-05T14:39:52Z</dcterms:created>
  <dcterms:modified xsi:type="dcterms:W3CDTF">2025-12-19T20:53:31Z</dcterms:modified>
</cp:coreProperties>
</file>